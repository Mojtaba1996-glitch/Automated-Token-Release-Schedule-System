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B5811FD-153F-4738-83F0-A26F8785E96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oken Model" sheetId="1" r:id="rId1"/>
    <sheet name="Monthly Release Schedule" sheetId="2" r:id="rId2"/>
    <sheet name="indicators " sheetId="3" r:id="rId3"/>
  </sheets>
  <definedNames>
    <definedName name="do">'indicators '!#REF!</definedName>
    <definedName name="Moji">'indicators '!$C$46</definedName>
    <definedName name="release">'indicators '!$C$30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29" i="3"/>
  <c r="F20" i="3"/>
  <c r="AC3" i="2"/>
  <c r="AC23" i="1"/>
  <c r="E26" i="3"/>
  <c r="D8" i="3"/>
  <c r="D3" i="3"/>
  <c r="D2" i="3"/>
  <c r="AB23" i="1"/>
  <c r="Z24" i="1"/>
  <c r="X23" i="1"/>
  <c r="AC187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P32" i="3" s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E28" i="3"/>
  <c r="E27" i="3"/>
  <c r="E22" i="3"/>
  <c r="E25" i="3" s="1"/>
  <c r="E21" i="3"/>
  <c r="E20" i="3"/>
  <c r="E19" i="3"/>
  <c r="E18" i="3"/>
  <c r="E17" i="3"/>
  <c r="D7" i="3"/>
  <c r="D6" i="3"/>
  <c r="E30" i="3" s="1"/>
  <c r="D5" i="3"/>
  <c r="D4" i="3"/>
  <c r="E24" i="3" s="1"/>
  <c r="P5" i="3"/>
  <c r="P7" i="3" s="1"/>
  <c r="O5" i="3"/>
  <c r="O7" i="3" s="1"/>
  <c r="N5" i="3"/>
  <c r="N7" i="3" s="1"/>
  <c r="M5" i="3"/>
  <c r="M7" i="3" s="1"/>
  <c r="L5" i="3"/>
  <c r="L7" i="3" s="1"/>
  <c r="K5" i="3"/>
  <c r="K7" i="3" s="1"/>
  <c r="J5" i="3"/>
  <c r="J7" i="3" s="1"/>
  <c r="I5" i="3"/>
  <c r="I7" i="3" s="1"/>
  <c r="H5" i="3"/>
  <c r="H7" i="3" s="1"/>
  <c r="P4" i="3"/>
  <c r="P6" i="3" s="1"/>
  <c r="O4" i="3"/>
  <c r="O6" i="3" s="1"/>
  <c r="N4" i="3"/>
  <c r="N6" i="3" s="1"/>
  <c r="M4" i="3"/>
  <c r="M6" i="3" s="1"/>
  <c r="L4" i="3"/>
  <c r="L6" i="3" s="1"/>
  <c r="K4" i="3"/>
  <c r="K6" i="3" s="1"/>
  <c r="J4" i="3"/>
  <c r="J6" i="3" s="1"/>
  <c r="I4" i="3"/>
  <c r="I6" i="3" s="1"/>
  <c r="H4" i="3"/>
  <c r="H6" i="3" s="1"/>
  <c r="P3" i="3"/>
  <c r="O3" i="3"/>
  <c r="N3" i="3"/>
  <c r="M3" i="3"/>
  <c r="L3" i="3"/>
  <c r="K3" i="3"/>
  <c r="J3" i="3"/>
  <c r="I3" i="3"/>
  <c r="H3" i="3"/>
  <c r="V59" i="2"/>
  <c r="AC51" i="2"/>
  <c r="AA51" i="2"/>
  <c r="Z51" i="2"/>
  <c r="Q33" i="3" s="1"/>
  <c r="Y51" i="2"/>
  <c r="X51" i="2"/>
  <c r="AC50" i="2"/>
  <c r="Q35" i="3" s="1"/>
  <c r="AA50" i="2"/>
  <c r="AB50" i="2" s="1"/>
  <c r="Q34" i="3" s="1"/>
  <c r="Z50" i="2"/>
  <c r="Y50" i="2"/>
  <c r="X50" i="2"/>
  <c r="AC49" i="2"/>
  <c r="AA49" i="2"/>
  <c r="AB49" i="2" s="1"/>
  <c r="Z49" i="2"/>
  <c r="Y49" i="2"/>
  <c r="X49" i="2"/>
  <c r="AC48" i="2"/>
  <c r="AA48" i="2"/>
  <c r="AB48" i="2" s="1"/>
  <c r="Z48" i="2"/>
  <c r="Y48" i="2"/>
  <c r="X48" i="2"/>
  <c r="AC47" i="2"/>
  <c r="AA47" i="2"/>
  <c r="AB47" i="2" s="1"/>
  <c r="Z47" i="2"/>
  <c r="Y47" i="2"/>
  <c r="X47" i="2"/>
  <c r="AC46" i="2"/>
  <c r="AA46" i="2"/>
  <c r="AB46" i="2" s="1"/>
  <c r="Z46" i="2"/>
  <c r="Y46" i="2"/>
  <c r="X46" i="2"/>
  <c r="AC45" i="2"/>
  <c r="AA45" i="2"/>
  <c r="AB45" i="2" s="1"/>
  <c r="Z45" i="2"/>
  <c r="Y45" i="2"/>
  <c r="X45" i="2"/>
  <c r="AC44" i="2"/>
  <c r="AA44" i="2"/>
  <c r="AB44" i="2" s="1"/>
  <c r="Z44" i="2"/>
  <c r="Y44" i="2"/>
  <c r="X44" i="2"/>
  <c r="AC43" i="2"/>
  <c r="AA43" i="2"/>
  <c r="AB43" i="2" s="1"/>
  <c r="Z43" i="2"/>
  <c r="Y43" i="2"/>
  <c r="X43" i="2"/>
  <c r="AC42" i="2"/>
  <c r="AA42" i="2"/>
  <c r="AB42" i="2" s="1"/>
  <c r="Z42" i="2"/>
  <c r="Y42" i="2"/>
  <c r="X42" i="2"/>
  <c r="AC41" i="2"/>
  <c r="AA41" i="2"/>
  <c r="AB41" i="2" s="1"/>
  <c r="Z41" i="2"/>
  <c r="Y41" i="2"/>
  <c r="X41" i="2"/>
  <c r="AC40" i="2"/>
  <c r="AA40" i="2"/>
  <c r="AB40" i="2" s="1"/>
  <c r="Z40" i="2"/>
  <c r="Y40" i="2"/>
  <c r="X40" i="2"/>
  <c r="AC39" i="2"/>
  <c r="AA39" i="2"/>
  <c r="AB39" i="2" s="1"/>
  <c r="Z39" i="2"/>
  <c r="Y39" i="2"/>
  <c r="X39" i="2"/>
  <c r="AC38" i="2"/>
  <c r="AA38" i="2"/>
  <c r="AB38" i="2" s="1"/>
  <c r="Z38" i="2"/>
  <c r="Y38" i="2"/>
  <c r="X38" i="2"/>
  <c r="AC37" i="2"/>
  <c r="AA37" i="2"/>
  <c r="AB37" i="2" s="1"/>
  <c r="Z37" i="2"/>
  <c r="Y37" i="2"/>
  <c r="X37" i="2"/>
  <c r="AC36" i="2"/>
  <c r="AA36" i="2"/>
  <c r="AB36" i="2" s="1"/>
  <c r="Z36" i="2"/>
  <c r="Y36" i="2"/>
  <c r="X36" i="2"/>
  <c r="AC35" i="2"/>
  <c r="AA35" i="2"/>
  <c r="AB35" i="2" s="1"/>
  <c r="Z35" i="2"/>
  <c r="Y35" i="2"/>
  <c r="X35" i="2"/>
  <c r="AC34" i="2"/>
  <c r="AA34" i="2"/>
  <c r="AB34" i="2" s="1"/>
  <c r="Z34" i="2"/>
  <c r="Y34" i="2"/>
  <c r="X34" i="2"/>
  <c r="AC33" i="2"/>
  <c r="AA33" i="2"/>
  <c r="AB33" i="2" s="1"/>
  <c r="Z33" i="2"/>
  <c r="Y33" i="2"/>
  <c r="X33" i="2"/>
  <c r="AC32" i="2"/>
  <c r="AA32" i="2"/>
  <c r="AB32" i="2" s="1"/>
  <c r="Z32" i="2"/>
  <c r="Y32" i="2"/>
  <c r="X32" i="2"/>
  <c r="AC31" i="2"/>
  <c r="AA31" i="2"/>
  <c r="AB31" i="2" s="1"/>
  <c r="Z31" i="2"/>
  <c r="Y31" i="2"/>
  <c r="X31" i="2"/>
  <c r="AC30" i="2"/>
  <c r="AA30" i="2"/>
  <c r="AB30" i="2" s="1"/>
  <c r="Z30" i="2"/>
  <c r="Y30" i="2"/>
  <c r="X30" i="2"/>
  <c r="AC29" i="2"/>
  <c r="AA29" i="2"/>
  <c r="AB29" i="2" s="1"/>
  <c r="Z29" i="2"/>
  <c r="Y29" i="2"/>
  <c r="X29" i="2"/>
  <c r="AC28" i="2"/>
  <c r="AA28" i="2"/>
  <c r="AB28" i="2" s="1"/>
  <c r="Z28" i="2"/>
  <c r="Y28" i="2"/>
  <c r="X28" i="2"/>
  <c r="AC27" i="2"/>
  <c r="O35" i="3" s="1"/>
  <c r="AA27" i="2"/>
  <c r="AB27" i="2" s="1"/>
  <c r="Z27" i="2"/>
  <c r="Y27" i="2"/>
  <c r="X27" i="2"/>
  <c r="AC26" i="2"/>
  <c r="AA26" i="2"/>
  <c r="AB26" i="2" s="1"/>
  <c r="Z26" i="2"/>
  <c r="Y26" i="2"/>
  <c r="X26" i="2"/>
  <c r="AC25" i="2"/>
  <c r="AA25" i="2"/>
  <c r="AB25" i="2" s="1"/>
  <c r="Z25" i="2"/>
  <c r="Y25" i="2"/>
  <c r="X25" i="2"/>
  <c r="AC24" i="2"/>
  <c r="AA24" i="2"/>
  <c r="AB24" i="2" s="1"/>
  <c r="Z24" i="2"/>
  <c r="Y24" i="2"/>
  <c r="X24" i="2"/>
  <c r="AC23" i="2"/>
  <c r="AA23" i="2"/>
  <c r="AB23" i="2" s="1"/>
  <c r="Z23" i="2"/>
  <c r="Y23" i="2"/>
  <c r="X23" i="2"/>
  <c r="AC22" i="2"/>
  <c r="AA22" i="2"/>
  <c r="AB22" i="2" s="1"/>
  <c r="Z22" i="2"/>
  <c r="Y22" i="2"/>
  <c r="X22" i="2"/>
  <c r="AC21" i="2"/>
  <c r="AA21" i="2"/>
  <c r="AB21" i="2" s="1"/>
  <c r="Z21" i="2"/>
  <c r="Y21" i="2"/>
  <c r="X21" i="2"/>
  <c r="AC20" i="2"/>
  <c r="AA20" i="2"/>
  <c r="AB20" i="2" s="1"/>
  <c r="Z20" i="2"/>
  <c r="Y20" i="2"/>
  <c r="X20" i="2"/>
  <c r="AC19" i="2"/>
  <c r="AA19" i="2"/>
  <c r="AB19" i="2" s="1"/>
  <c r="Z19" i="2"/>
  <c r="Y19" i="2"/>
  <c r="X19" i="2"/>
  <c r="AC18" i="2"/>
  <c r="AA18" i="2"/>
  <c r="AB18" i="2" s="1"/>
  <c r="Z18" i="2"/>
  <c r="Y18" i="2"/>
  <c r="X18" i="2"/>
  <c r="AC17" i="2"/>
  <c r="AA17" i="2"/>
  <c r="AB17" i="2" s="1"/>
  <c r="Z17" i="2"/>
  <c r="Y17" i="2"/>
  <c r="X17" i="2"/>
  <c r="AC16" i="2"/>
  <c r="AA16" i="2"/>
  <c r="AB16" i="2" s="1"/>
  <c r="Z16" i="2"/>
  <c r="Y16" i="2"/>
  <c r="X16" i="2"/>
  <c r="AC15" i="2"/>
  <c r="AA15" i="2"/>
  <c r="AB15" i="2" s="1"/>
  <c r="Z15" i="2"/>
  <c r="Y15" i="2"/>
  <c r="X15" i="2"/>
  <c r="AC14" i="2"/>
  <c r="AA14" i="2"/>
  <c r="AB14" i="2" s="1"/>
  <c r="Z14" i="2"/>
  <c r="Y14" i="2"/>
  <c r="X14" i="2"/>
  <c r="AC13" i="2"/>
  <c r="AA13" i="2"/>
  <c r="AB13" i="2" s="1"/>
  <c r="Z13" i="2"/>
  <c r="Y13" i="2"/>
  <c r="X13" i="2"/>
  <c r="AC12" i="2"/>
  <c r="L35" i="3" s="1"/>
  <c r="AA12" i="2"/>
  <c r="AB12" i="2" s="1"/>
  <c r="Z12" i="2"/>
  <c r="Y12" i="2"/>
  <c r="X12" i="2"/>
  <c r="AC11" i="2"/>
  <c r="AA11" i="2"/>
  <c r="AB11" i="2" s="1"/>
  <c r="Z11" i="2"/>
  <c r="Y11" i="2"/>
  <c r="X11" i="2"/>
  <c r="AC10" i="2"/>
  <c r="AA10" i="2"/>
  <c r="AB10" i="2" s="1"/>
  <c r="Z10" i="2"/>
  <c r="K33" i="3" s="1"/>
  <c r="Y10" i="2"/>
  <c r="X10" i="2"/>
  <c r="AC9" i="2"/>
  <c r="AA9" i="2"/>
  <c r="AB9" i="2" s="1"/>
  <c r="Z9" i="2"/>
  <c r="Y9" i="2"/>
  <c r="X9" i="2"/>
  <c r="AC8" i="2"/>
  <c r="AA8" i="2"/>
  <c r="AB8" i="2" s="1"/>
  <c r="Z8" i="2"/>
  <c r="Y8" i="2"/>
  <c r="X8" i="2"/>
  <c r="AC7" i="2"/>
  <c r="AA7" i="2"/>
  <c r="AB7" i="2" s="1"/>
  <c r="Z7" i="2"/>
  <c r="Y7" i="2"/>
  <c r="X7" i="2"/>
  <c r="AC6" i="2"/>
  <c r="AA6" i="2"/>
  <c r="AB6" i="2" s="1"/>
  <c r="Z6" i="2"/>
  <c r="Y6" i="2"/>
  <c r="X6" i="2"/>
  <c r="AC5" i="2"/>
  <c r="AA5" i="2"/>
  <c r="AB5" i="2" s="1"/>
  <c r="Z5" i="2"/>
  <c r="Y5" i="2"/>
  <c r="X5" i="2"/>
  <c r="AC4" i="2"/>
  <c r="AA4" i="2"/>
  <c r="AB4" i="2" s="1"/>
  <c r="Z4" i="2"/>
  <c r="Y4" i="2"/>
  <c r="X4" i="2"/>
  <c r="AA3" i="2"/>
  <c r="AB3" i="2" s="1"/>
  <c r="Y3" i="2"/>
  <c r="X3" i="2"/>
  <c r="AB1492" i="1"/>
  <c r="AA1492" i="1"/>
  <c r="Z1492" i="1"/>
  <c r="Y1492" i="1"/>
  <c r="X1492" i="1"/>
  <c r="AA1491" i="1"/>
  <c r="AB1491" i="1" s="1"/>
  <c r="Z1491" i="1"/>
  <c r="Y1491" i="1"/>
  <c r="X1491" i="1"/>
  <c r="AB1490" i="1"/>
  <c r="AA1490" i="1"/>
  <c r="Z1490" i="1"/>
  <c r="Y1490" i="1"/>
  <c r="X1490" i="1"/>
  <c r="AA1489" i="1"/>
  <c r="AB1489" i="1" s="1"/>
  <c r="Z1489" i="1"/>
  <c r="Y1489" i="1"/>
  <c r="X1489" i="1"/>
  <c r="AB1488" i="1"/>
  <c r="AA1488" i="1"/>
  <c r="Z1488" i="1"/>
  <c r="Y1488" i="1"/>
  <c r="X1488" i="1"/>
  <c r="AA1487" i="1"/>
  <c r="AB1487" i="1" s="1"/>
  <c r="Z1487" i="1"/>
  <c r="Y1487" i="1"/>
  <c r="X1487" i="1"/>
  <c r="AA1486" i="1"/>
  <c r="AB1486" i="1" s="1"/>
  <c r="Z1486" i="1"/>
  <c r="Y1486" i="1"/>
  <c r="X1486" i="1"/>
  <c r="AB1485" i="1"/>
  <c r="AA1485" i="1"/>
  <c r="Z1485" i="1"/>
  <c r="Y1485" i="1"/>
  <c r="X1485" i="1"/>
  <c r="AB1484" i="1"/>
  <c r="AA1484" i="1"/>
  <c r="Z1484" i="1"/>
  <c r="Y1484" i="1"/>
  <c r="X1484" i="1"/>
  <c r="AA1483" i="1"/>
  <c r="AB1483" i="1" s="1"/>
  <c r="Z1483" i="1"/>
  <c r="Y1483" i="1"/>
  <c r="X1483" i="1"/>
  <c r="AA1482" i="1"/>
  <c r="AB1482" i="1" s="1"/>
  <c r="Z1482" i="1"/>
  <c r="Y1482" i="1"/>
  <c r="X1482" i="1"/>
  <c r="AA1481" i="1"/>
  <c r="AB1481" i="1" s="1"/>
  <c r="Z1481" i="1"/>
  <c r="Y1481" i="1"/>
  <c r="X1481" i="1"/>
  <c r="AB1480" i="1"/>
  <c r="AA1480" i="1"/>
  <c r="Z1480" i="1"/>
  <c r="Y1480" i="1"/>
  <c r="X1480" i="1"/>
  <c r="AA1479" i="1"/>
  <c r="AB1479" i="1" s="1"/>
  <c r="Z1479" i="1"/>
  <c r="Y1479" i="1"/>
  <c r="X1479" i="1"/>
  <c r="AA1478" i="1"/>
  <c r="AB1478" i="1" s="1"/>
  <c r="Z1478" i="1"/>
  <c r="Y1478" i="1"/>
  <c r="X1478" i="1"/>
  <c r="AB1477" i="1"/>
  <c r="AA1477" i="1"/>
  <c r="Z1477" i="1"/>
  <c r="Y1477" i="1"/>
  <c r="X1477" i="1"/>
  <c r="AB1476" i="1"/>
  <c r="AA1476" i="1"/>
  <c r="Z1476" i="1"/>
  <c r="Y1476" i="1"/>
  <c r="X1476" i="1"/>
  <c r="AA1475" i="1"/>
  <c r="AB1475" i="1" s="1"/>
  <c r="Z1475" i="1"/>
  <c r="Y1475" i="1"/>
  <c r="X1475" i="1"/>
  <c r="AB1474" i="1"/>
  <c r="AA1474" i="1"/>
  <c r="Z1474" i="1"/>
  <c r="Y1474" i="1"/>
  <c r="X1474" i="1"/>
  <c r="AA1473" i="1"/>
  <c r="AB1473" i="1" s="1"/>
  <c r="Z1473" i="1"/>
  <c r="Y1473" i="1"/>
  <c r="X1473" i="1"/>
  <c r="AB1472" i="1"/>
  <c r="AA1472" i="1"/>
  <c r="Z1472" i="1"/>
  <c r="Y1472" i="1"/>
  <c r="X1472" i="1"/>
  <c r="AA1471" i="1"/>
  <c r="AB1471" i="1" s="1"/>
  <c r="Z1471" i="1"/>
  <c r="Y1471" i="1"/>
  <c r="X1471" i="1"/>
  <c r="AB1470" i="1"/>
  <c r="AA1470" i="1"/>
  <c r="Z1470" i="1"/>
  <c r="Y1470" i="1"/>
  <c r="X1470" i="1"/>
  <c r="AB1469" i="1"/>
  <c r="AA1469" i="1"/>
  <c r="Z1469" i="1"/>
  <c r="Y1469" i="1"/>
  <c r="X1469" i="1"/>
  <c r="AB1468" i="1"/>
  <c r="AA1468" i="1"/>
  <c r="Z1468" i="1"/>
  <c r="Y1468" i="1"/>
  <c r="X1468" i="1"/>
  <c r="AA1467" i="1"/>
  <c r="AB1467" i="1" s="1"/>
  <c r="Z1467" i="1"/>
  <c r="Y1467" i="1"/>
  <c r="X1467" i="1"/>
  <c r="AB1466" i="1"/>
  <c r="AA1466" i="1"/>
  <c r="Z1466" i="1"/>
  <c r="Y1466" i="1"/>
  <c r="X1466" i="1"/>
  <c r="AB1465" i="1"/>
  <c r="AA1465" i="1"/>
  <c r="Z1465" i="1"/>
  <c r="Y1465" i="1"/>
  <c r="X1465" i="1"/>
  <c r="AB1464" i="1"/>
  <c r="AA1464" i="1"/>
  <c r="Z1464" i="1"/>
  <c r="Y1464" i="1"/>
  <c r="X1464" i="1"/>
  <c r="AA1463" i="1"/>
  <c r="AB1463" i="1" s="1"/>
  <c r="Z1463" i="1"/>
  <c r="Y1463" i="1"/>
  <c r="X1463" i="1"/>
  <c r="AA1462" i="1"/>
  <c r="AB1462" i="1" s="1"/>
  <c r="Z1462" i="1"/>
  <c r="Y1462" i="1"/>
  <c r="X1462" i="1"/>
  <c r="AA1461" i="1"/>
  <c r="AB1461" i="1" s="1"/>
  <c r="Z1461" i="1"/>
  <c r="Y1461" i="1"/>
  <c r="X1461" i="1"/>
  <c r="AB1460" i="1"/>
  <c r="AA1460" i="1"/>
  <c r="Z1460" i="1"/>
  <c r="Y1460" i="1"/>
  <c r="X1460" i="1"/>
  <c r="AA1459" i="1"/>
  <c r="AB1459" i="1" s="1"/>
  <c r="Z1459" i="1"/>
  <c r="Y1459" i="1"/>
  <c r="X1459" i="1"/>
  <c r="AB1458" i="1"/>
  <c r="AA1458" i="1"/>
  <c r="Z1458" i="1"/>
  <c r="Y1458" i="1"/>
  <c r="X1458" i="1"/>
  <c r="AA1457" i="1"/>
  <c r="AB1457" i="1" s="1"/>
  <c r="Z1457" i="1"/>
  <c r="Y1457" i="1"/>
  <c r="X1457" i="1"/>
  <c r="AB1456" i="1"/>
  <c r="AA1456" i="1"/>
  <c r="Z1456" i="1"/>
  <c r="Y1456" i="1"/>
  <c r="X1456" i="1"/>
  <c r="AA1455" i="1"/>
  <c r="AB1455" i="1" s="1"/>
  <c r="Z1455" i="1"/>
  <c r="Y1455" i="1"/>
  <c r="X1455" i="1"/>
  <c r="AA1454" i="1"/>
  <c r="AB1454" i="1" s="1"/>
  <c r="Z1454" i="1"/>
  <c r="Y1454" i="1"/>
  <c r="X1454" i="1"/>
  <c r="AB1453" i="1"/>
  <c r="AA1453" i="1"/>
  <c r="Z1453" i="1"/>
  <c r="Y1453" i="1"/>
  <c r="X1453" i="1"/>
  <c r="AB1452" i="1"/>
  <c r="AA1452" i="1"/>
  <c r="Z1452" i="1"/>
  <c r="Y1452" i="1"/>
  <c r="X1452" i="1"/>
  <c r="AA1451" i="1"/>
  <c r="AB1451" i="1" s="1"/>
  <c r="Z1451" i="1"/>
  <c r="Y1451" i="1"/>
  <c r="X1451" i="1"/>
  <c r="AA1450" i="1"/>
  <c r="AB1450" i="1" s="1"/>
  <c r="Z1450" i="1"/>
  <c r="Y1450" i="1"/>
  <c r="X1450" i="1"/>
  <c r="AA1449" i="1"/>
  <c r="AB1449" i="1" s="1"/>
  <c r="Z1449" i="1"/>
  <c r="Y1449" i="1"/>
  <c r="X1449" i="1"/>
  <c r="AB1448" i="1"/>
  <c r="AA1448" i="1"/>
  <c r="Z1448" i="1"/>
  <c r="Y1448" i="1"/>
  <c r="X1448" i="1"/>
  <c r="AA1447" i="1"/>
  <c r="AB1447" i="1" s="1"/>
  <c r="Z1447" i="1"/>
  <c r="Y1447" i="1"/>
  <c r="X1447" i="1"/>
  <c r="AA1446" i="1"/>
  <c r="AB1446" i="1" s="1"/>
  <c r="Z1446" i="1"/>
  <c r="Y1446" i="1"/>
  <c r="X1446" i="1"/>
  <c r="AB1445" i="1"/>
  <c r="AA1445" i="1"/>
  <c r="Z1445" i="1"/>
  <c r="Y1445" i="1"/>
  <c r="X1445" i="1"/>
  <c r="AB1444" i="1"/>
  <c r="AA1444" i="1"/>
  <c r="Z1444" i="1"/>
  <c r="Y1444" i="1"/>
  <c r="X1444" i="1"/>
  <c r="AA1443" i="1"/>
  <c r="AB1443" i="1" s="1"/>
  <c r="Z1443" i="1"/>
  <c r="Y1443" i="1"/>
  <c r="X1443" i="1"/>
  <c r="AB1442" i="1"/>
  <c r="AA1442" i="1"/>
  <c r="Z1442" i="1"/>
  <c r="Y1442" i="1"/>
  <c r="X1442" i="1"/>
  <c r="AA1441" i="1"/>
  <c r="AB1441" i="1" s="1"/>
  <c r="Z1441" i="1"/>
  <c r="Y1441" i="1"/>
  <c r="X1441" i="1"/>
  <c r="AB1440" i="1"/>
  <c r="AA1440" i="1"/>
  <c r="Z1440" i="1"/>
  <c r="Y1440" i="1"/>
  <c r="X1440" i="1"/>
  <c r="AA1439" i="1"/>
  <c r="AB1439" i="1" s="1"/>
  <c r="Z1439" i="1"/>
  <c r="Y1439" i="1"/>
  <c r="X1439" i="1"/>
  <c r="AB1438" i="1"/>
  <c r="AA1438" i="1"/>
  <c r="Z1438" i="1"/>
  <c r="Y1438" i="1"/>
  <c r="X1438" i="1"/>
  <c r="AB1437" i="1"/>
  <c r="AA1437" i="1"/>
  <c r="Z1437" i="1"/>
  <c r="Y1437" i="1"/>
  <c r="X1437" i="1"/>
  <c r="AB1436" i="1"/>
  <c r="AA1436" i="1"/>
  <c r="Z1436" i="1"/>
  <c r="Y1436" i="1"/>
  <c r="X1436" i="1"/>
  <c r="AA1435" i="1"/>
  <c r="AB1435" i="1" s="1"/>
  <c r="Z1435" i="1"/>
  <c r="Y1435" i="1"/>
  <c r="X1435" i="1"/>
  <c r="AB1434" i="1"/>
  <c r="AA1434" i="1"/>
  <c r="Z1434" i="1"/>
  <c r="Y1434" i="1"/>
  <c r="X1434" i="1"/>
  <c r="AB1433" i="1"/>
  <c r="AA1433" i="1"/>
  <c r="Z1433" i="1"/>
  <c r="Y1433" i="1"/>
  <c r="X1433" i="1"/>
  <c r="AB1432" i="1"/>
  <c r="AA1432" i="1"/>
  <c r="Z1432" i="1"/>
  <c r="Y1432" i="1"/>
  <c r="X1432" i="1"/>
  <c r="AA1431" i="1"/>
  <c r="AB1431" i="1" s="1"/>
  <c r="Z1431" i="1"/>
  <c r="Y1431" i="1"/>
  <c r="X1431" i="1"/>
  <c r="AA1430" i="1"/>
  <c r="AB1430" i="1" s="1"/>
  <c r="Z1430" i="1"/>
  <c r="Y1430" i="1"/>
  <c r="X1430" i="1"/>
  <c r="AA1429" i="1"/>
  <c r="AB1429" i="1" s="1"/>
  <c r="Z1429" i="1"/>
  <c r="Y1429" i="1"/>
  <c r="X1429" i="1"/>
  <c r="AB1428" i="1"/>
  <c r="AA1428" i="1"/>
  <c r="Z1428" i="1"/>
  <c r="Y1428" i="1"/>
  <c r="X1428" i="1"/>
  <c r="AA1427" i="1"/>
  <c r="AB1427" i="1" s="1"/>
  <c r="Z1427" i="1"/>
  <c r="Y1427" i="1"/>
  <c r="X1427" i="1"/>
  <c r="AB1426" i="1"/>
  <c r="AA1426" i="1"/>
  <c r="Z1426" i="1"/>
  <c r="Y1426" i="1"/>
  <c r="X1426" i="1"/>
  <c r="AA1425" i="1"/>
  <c r="AB1425" i="1" s="1"/>
  <c r="Z1425" i="1"/>
  <c r="Y1425" i="1"/>
  <c r="X1425" i="1"/>
  <c r="AB1424" i="1"/>
  <c r="AA1424" i="1"/>
  <c r="Z1424" i="1"/>
  <c r="Y1424" i="1"/>
  <c r="X1424" i="1"/>
  <c r="AA1423" i="1"/>
  <c r="AB1423" i="1" s="1"/>
  <c r="Z1423" i="1"/>
  <c r="Y1423" i="1"/>
  <c r="X1423" i="1"/>
  <c r="AA1422" i="1"/>
  <c r="AB1422" i="1" s="1"/>
  <c r="Z1422" i="1"/>
  <c r="Y1422" i="1"/>
  <c r="X1422" i="1"/>
  <c r="AB1421" i="1"/>
  <c r="AA1421" i="1"/>
  <c r="Z1421" i="1"/>
  <c r="Y1421" i="1"/>
  <c r="X1421" i="1"/>
  <c r="AB1420" i="1"/>
  <c r="AA1420" i="1"/>
  <c r="Z1420" i="1"/>
  <c r="Y1420" i="1"/>
  <c r="X1420" i="1"/>
  <c r="AA1419" i="1"/>
  <c r="AB1419" i="1" s="1"/>
  <c r="Z1419" i="1"/>
  <c r="Y1419" i="1"/>
  <c r="X1419" i="1"/>
  <c r="AA1418" i="1"/>
  <c r="AB1418" i="1" s="1"/>
  <c r="Z1418" i="1"/>
  <c r="Y1418" i="1"/>
  <c r="X1418" i="1"/>
  <c r="AA1417" i="1"/>
  <c r="AB1417" i="1" s="1"/>
  <c r="Z1417" i="1"/>
  <c r="Y1417" i="1"/>
  <c r="X1417" i="1"/>
  <c r="AB1416" i="1"/>
  <c r="AA1416" i="1"/>
  <c r="Z1416" i="1"/>
  <c r="Y1416" i="1"/>
  <c r="X1416" i="1"/>
  <c r="AA1415" i="1"/>
  <c r="AB1415" i="1" s="1"/>
  <c r="Z1415" i="1"/>
  <c r="Y1415" i="1"/>
  <c r="X1415" i="1"/>
  <c r="AA1414" i="1"/>
  <c r="AB1414" i="1" s="1"/>
  <c r="Z1414" i="1"/>
  <c r="Y1414" i="1"/>
  <c r="X1414" i="1"/>
  <c r="AB1413" i="1"/>
  <c r="AA1413" i="1"/>
  <c r="Z1413" i="1"/>
  <c r="Y1413" i="1"/>
  <c r="X1413" i="1"/>
  <c r="AB1412" i="1"/>
  <c r="AA1412" i="1"/>
  <c r="Z1412" i="1"/>
  <c r="Y1412" i="1"/>
  <c r="X1412" i="1"/>
  <c r="AA1411" i="1"/>
  <c r="AB1411" i="1" s="1"/>
  <c r="Z1411" i="1"/>
  <c r="Y1411" i="1"/>
  <c r="X1411" i="1"/>
  <c r="AB1410" i="1"/>
  <c r="AA1410" i="1"/>
  <c r="Z1410" i="1"/>
  <c r="Y1410" i="1"/>
  <c r="X1410" i="1"/>
  <c r="AA1409" i="1"/>
  <c r="AB1409" i="1" s="1"/>
  <c r="Z1409" i="1"/>
  <c r="Y1409" i="1"/>
  <c r="X1409" i="1"/>
  <c r="AB1408" i="1"/>
  <c r="AA1408" i="1"/>
  <c r="Z1408" i="1"/>
  <c r="Y1408" i="1"/>
  <c r="X1408" i="1"/>
  <c r="AA1407" i="1"/>
  <c r="AB1407" i="1" s="1"/>
  <c r="Z1407" i="1"/>
  <c r="Y1407" i="1"/>
  <c r="X1407" i="1"/>
  <c r="AB1406" i="1"/>
  <c r="AA1406" i="1"/>
  <c r="Z1406" i="1"/>
  <c r="Y1406" i="1"/>
  <c r="X1406" i="1"/>
  <c r="AB1405" i="1"/>
  <c r="AA1405" i="1"/>
  <c r="Z1405" i="1"/>
  <c r="Y1405" i="1"/>
  <c r="X1405" i="1"/>
  <c r="AB1404" i="1"/>
  <c r="AA1404" i="1"/>
  <c r="Z1404" i="1"/>
  <c r="Y1404" i="1"/>
  <c r="X1404" i="1"/>
  <c r="AA1403" i="1"/>
  <c r="AB1403" i="1" s="1"/>
  <c r="Z1403" i="1"/>
  <c r="Y1403" i="1"/>
  <c r="X1403" i="1"/>
  <c r="AB1402" i="1"/>
  <c r="AA1402" i="1"/>
  <c r="Z1402" i="1"/>
  <c r="Y1402" i="1"/>
  <c r="X1402" i="1"/>
  <c r="AB1401" i="1"/>
  <c r="AA1401" i="1"/>
  <c r="Z1401" i="1"/>
  <c r="Y1401" i="1"/>
  <c r="X1401" i="1"/>
  <c r="AB1400" i="1"/>
  <c r="AA1400" i="1"/>
  <c r="Z1400" i="1"/>
  <c r="Y1400" i="1"/>
  <c r="X1400" i="1"/>
  <c r="AA1399" i="1"/>
  <c r="AB1399" i="1" s="1"/>
  <c r="Z1399" i="1"/>
  <c r="Y1399" i="1"/>
  <c r="X1399" i="1"/>
  <c r="AA1398" i="1"/>
  <c r="AB1398" i="1" s="1"/>
  <c r="Z1398" i="1"/>
  <c r="Y1398" i="1"/>
  <c r="X1398" i="1"/>
  <c r="AA1397" i="1"/>
  <c r="AB1397" i="1" s="1"/>
  <c r="Z1397" i="1"/>
  <c r="Y1397" i="1"/>
  <c r="X1397" i="1"/>
  <c r="AB1396" i="1"/>
  <c r="AA1396" i="1"/>
  <c r="Z1396" i="1"/>
  <c r="Y1396" i="1"/>
  <c r="X1396" i="1"/>
  <c r="AA1395" i="1"/>
  <c r="AB1395" i="1" s="1"/>
  <c r="Z1395" i="1"/>
  <c r="Y1395" i="1"/>
  <c r="X1395" i="1"/>
  <c r="AB1394" i="1"/>
  <c r="AA1394" i="1"/>
  <c r="Z1394" i="1"/>
  <c r="Y1394" i="1"/>
  <c r="X1394" i="1"/>
  <c r="AA1393" i="1"/>
  <c r="AB1393" i="1" s="1"/>
  <c r="Z1393" i="1"/>
  <c r="Y1393" i="1"/>
  <c r="X1393" i="1"/>
  <c r="AB1392" i="1"/>
  <c r="AA1392" i="1"/>
  <c r="Z1392" i="1"/>
  <c r="Y1392" i="1"/>
  <c r="X1392" i="1"/>
  <c r="AA1391" i="1"/>
  <c r="AB1391" i="1" s="1"/>
  <c r="Z1391" i="1"/>
  <c r="Y1391" i="1"/>
  <c r="X1391" i="1"/>
  <c r="AA1390" i="1"/>
  <c r="AB1390" i="1" s="1"/>
  <c r="Z1390" i="1"/>
  <c r="Y1390" i="1"/>
  <c r="X1390" i="1"/>
  <c r="AB1389" i="1"/>
  <c r="AA1389" i="1"/>
  <c r="Z1389" i="1"/>
  <c r="Y1389" i="1"/>
  <c r="X1389" i="1"/>
  <c r="AB1388" i="1"/>
  <c r="AA1388" i="1"/>
  <c r="Z1388" i="1"/>
  <c r="Y1388" i="1"/>
  <c r="X1388" i="1"/>
  <c r="AA1387" i="1"/>
  <c r="AB1387" i="1" s="1"/>
  <c r="Z1387" i="1"/>
  <c r="Y1387" i="1"/>
  <c r="X1387" i="1"/>
  <c r="AA1386" i="1"/>
  <c r="AB1386" i="1" s="1"/>
  <c r="Z1386" i="1"/>
  <c r="Y1386" i="1"/>
  <c r="X1386" i="1"/>
  <c r="AA1385" i="1"/>
  <c r="AB1385" i="1" s="1"/>
  <c r="Z1385" i="1"/>
  <c r="Y1385" i="1"/>
  <c r="X1385" i="1"/>
  <c r="AB1384" i="1"/>
  <c r="AA1384" i="1"/>
  <c r="Z1384" i="1"/>
  <c r="Y1384" i="1"/>
  <c r="X1384" i="1"/>
  <c r="AA1383" i="1"/>
  <c r="AB1383" i="1" s="1"/>
  <c r="Z1383" i="1"/>
  <c r="Y1383" i="1"/>
  <c r="X1383" i="1"/>
  <c r="AA1382" i="1"/>
  <c r="AB1382" i="1" s="1"/>
  <c r="Z1382" i="1"/>
  <c r="Y1382" i="1"/>
  <c r="X1382" i="1"/>
  <c r="AB1381" i="1"/>
  <c r="AA1381" i="1"/>
  <c r="Z1381" i="1"/>
  <c r="Y1381" i="1"/>
  <c r="X1381" i="1"/>
  <c r="AB1380" i="1"/>
  <c r="AA1380" i="1"/>
  <c r="Z1380" i="1"/>
  <c r="Y1380" i="1"/>
  <c r="X1380" i="1"/>
  <c r="AA1379" i="1"/>
  <c r="AB1379" i="1" s="1"/>
  <c r="Z1379" i="1"/>
  <c r="Y1379" i="1"/>
  <c r="X1379" i="1"/>
  <c r="AB1378" i="1"/>
  <c r="AA1378" i="1"/>
  <c r="Z1378" i="1"/>
  <c r="Y1378" i="1"/>
  <c r="X1378" i="1"/>
  <c r="AA1377" i="1"/>
  <c r="AB1377" i="1" s="1"/>
  <c r="Z1377" i="1"/>
  <c r="Y1377" i="1"/>
  <c r="X1377" i="1"/>
  <c r="AB1376" i="1"/>
  <c r="AA1376" i="1"/>
  <c r="Z1376" i="1"/>
  <c r="Y1376" i="1"/>
  <c r="X1376" i="1"/>
  <c r="AA1375" i="1"/>
  <c r="AB1375" i="1" s="1"/>
  <c r="Z1375" i="1"/>
  <c r="Y1375" i="1"/>
  <c r="X1375" i="1"/>
  <c r="AB1374" i="1"/>
  <c r="AA1374" i="1"/>
  <c r="Z1374" i="1"/>
  <c r="Y1374" i="1"/>
  <c r="X1374" i="1"/>
  <c r="AB1373" i="1"/>
  <c r="AA1373" i="1"/>
  <c r="Z1373" i="1"/>
  <c r="Y1373" i="1"/>
  <c r="X1373" i="1"/>
  <c r="AB1372" i="1"/>
  <c r="AA1372" i="1"/>
  <c r="Z1372" i="1"/>
  <c r="Y1372" i="1"/>
  <c r="X1372" i="1"/>
  <c r="AA1371" i="1"/>
  <c r="AB1371" i="1" s="1"/>
  <c r="Z1371" i="1"/>
  <c r="Y1371" i="1"/>
  <c r="X1371" i="1"/>
  <c r="AB1370" i="1"/>
  <c r="AA1370" i="1"/>
  <c r="Z1370" i="1"/>
  <c r="Y1370" i="1"/>
  <c r="X1370" i="1"/>
  <c r="AB1369" i="1"/>
  <c r="AA1369" i="1"/>
  <c r="Z1369" i="1"/>
  <c r="Y1369" i="1"/>
  <c r="X1369" i="1"/>
  <c r="AB1368" i="1"/>
  <c r="AA1368" i="1"/>
  <c r="Z1368" i="1"/>
  <c r="Y1368" i="1"/>
  <c r="X1368" i="1"/>
  <c r="AA1367" i="1"/>
  <c r="AB1367" i="1" s="1"/>
  <c r="Z1367" i="1"/>
  <c r="Y1367" i="1"/>
  <c r="X1367" i="1"/>
  <c r="AA1366" i="1"/>
  <c r="AB1366" i="1" s="1"/>
  <c r="Z1366" i="1"/>
  <c r="Y1366" i="1"/>
  <c r="X1366" i="1"/>
  <c r="AA1365" i="1"/>
  <c r="AB1365" i="1" s="1"/>
  <c r="Z1365" i="1"/>
  <c r="Y1365" i="1"/>
  <c r="X1365" i="1"/>
  <c r="AB1364" i="1"/>
  <c r="AA1364" i="1"/>
  <c r="Z1364" i="1"/>
  <c r="Y1364" i="1"/>
  <c r="X1364" i="1"/>
  <c r="AA1363" i="1"/>
  <c r="AB1363" i="1" s="1"/>
  <c r="Z1363" i="1"/>
  <c r="Y1363" i="1"/>
  <c r="X1363" i="1"/>
  <c r="AB1362" i="1"/>
  <c r="AA1362" i="1"/>
  <c r="Z1362" i="1"/>
  <c r="Y1362" i="1"/>
  <c r="X1362" i="1"/>
  <c r="AA1361" i="1"/>
  <c r="AB1361" i="1" s="1"/>
  <c r="Z1361" i="1"/>
  <c r="Y1361" i="1"/>
  <c r="X1361" i="1"/>
  <c r="AB1360" i="1"/>
  <c r="AA1360" i="1"/>
  <c r="Z1360" i="1"/>
  <c r="Y1360" i="1"/>
  <c r="X1360" i="1"/>
  <c r="AA1359" i="1"/>
  <c r="AB1359" i="1" s="1"/>
  <c r="Z1359" i="1"/>
  <c r="Y1359" i="1"/>
  <c r="X1359" i="1"/>
  <c r="AA1358" i="1"/>
  <c r="AB1358" i="1" s="1"/>
  <c r="Z1358" i="1"/>
  <c r="Y1358" i="1"/>
  <c r="X1358" i="1"/>
  <c r="AB1357" i="1"/>
  <c r="AA1357" i="1"/>
  <c r="Z1357" i="1"/>
  <c r="Y1357" i="1"/>
  <c r="X1357" i="1"/>
  <c r="AB1356" i="1"/>
  <c r="AA1356" i="1"/>
  <c r="Z1356" i="1"/>
  <c r="Y1356" i="1"/>
  <c r="X1356" i="1"/>
  <c r="AA1355" i="1"/>
  <c r="AB1355" i="1" s="1"/>
  <c r="Z1355" i="1"/>
  <c r="Y1355" i="1"/>
  <c r="X1355" i="1"/>
  <c r="AA1354" i="1"/>
  <c r="AB1354" i="1" s="1"/>
  <c r="Z1354" i="1"/>
  <c r="Y1354" i="1"/>
  <c r="X1354" i="1"/>
  <c r="AA1353" i="1"/>
  <c r="AB1353" i="1" s="1"/>
  <c r="Z1353" i="1"/>
  <c r="Y1353" i="1"/>
  <c r="X1353" i="1"/>
  <c r="AB1352" i="1"/>
  <c r="AA1352" i="1"/>
  <c r="Z1352" i="1"/>
  <c r="Y1352" i="1"/>
  <c r="X1352" i="1"/>
  <c r="AA1351" i="1"/>
  <c r="AB1351" i="1" s="1"/>
  <c r="Z1351" i="1"/>
  <c r="Y1351" i="1"/>
  <c r="X1351" i="1"/>
  <c r="AA1350" i="1"/>
  <c r="AB1350" i="1" s="1"/>
  <c r="Z1350" i="1"/>
  <c r="Y1350" i="1"/>
  <c r="X1350" i="1"/>
  <c r="AB1349" i="1"/>
  <c r="AA1349" i="1"/>
  <c r="Z1349" i="1"/>
  <c r="Y1349" i="1"/>
  <c r="X1349" i="1"/>
  <c r="AB1348" i="1"/>
  <c r="AA1348" i="1"/>
  <c r="Z1348" i="1"/>
  <c r="Y1348" i="1"/>
  <c r="X1348" i="1"/>
  <c r="AA1347" i="1"/>
  <c r="AB1347" i="1" s="1"/>
  <c r="Z1347" i="1"/>
  <c r="Y1347" i="1"/>
  <c r="X1347" i="1"/>
  <c r="AB1346" i="1"/>
  <c r="AA1346" i="1"/>
  <c r="Z1346" i="1"/>
  <c r="Y1346" i="1"/>
  <c r="X1346" i="1"/>
  <c r="AA1345" i="1"/>
  <c r="AB1345" i="1" s="1"/>
  <c r="Z1345" i="1"/>
  <c r="Y1345" i="1"/>
  <c r="X1345" i="1"/>
  <c r="AB1344" i="1"/>
  <c r="AA1344" i="1"/>
  <c r="Z1344" i="1"/>
  <c r="Y1344" i="1"/>
  <c r="X1344" i="1"/>
  <c r="AA1343" i="1"/>
  <c r="AB1343" i="1" s="1"/>
  <c r="Z1343" i="1"/>
  <c r="Y1343" i="1"/>
  <c r="X1343" i="1"/>
  <c r="AB1342" i="1"/>
  <c r="AA1342" i="1"/>
  <c r="Z1342" i="1"/>
  <c r="Y1342" i="1"/>
  <c r="X1342" i="1"/>
  <c r="AB1341" i="1"/>
  <c r="AA1341" i="1"/>
  <c r="Z1341" i="1"/>
  <c r="Y1341" i="1"/>
  <c r="X1341" i="1"/>
  <c r="AB1340" i="1"/>
  <c r="AA1340" i="1"/>
  <c r="Z1340" i="1"/>
  <c r="Y1340" i="1"/>
  <c r="X1340" i="1"/>
  <c r="AA1339" i="1"/>
  <c r="AB1339" i="1" s="1"/>
  <c r="Z1339" i="1"/>
  <c r="Y1339" i="1"/>
  <c r="X1339" i="1"/>
  <c r="AB1338" i="1"/>
  <c r="AA1338" i="1"/>
  <c r="Z1338" i="1"/>
  <c r="Y1338" i="1"/>
  <c r="X1338" i="1"/>
  <c r="AB1337" i="1"/>
  <c r="AA1337" i="1"/>
  <c r="Z1337" i="1"/>
  <c r="Y1337" i="1"/>
  <c r="X1337" i="1"/>
  <c r="AB1336" i="1"/>
  <c r="AA1336" i="1"/>
  <c r="Z1336" i="1"/>
  <c r="Y1336" i="1"/>
  <c r="X1336" i="1"/>
  <c r="AA1335" i="1"/>
  <c r="AB1335" i="1" s="1"/>
  <c r="Z1335" i="1"/>
  <c r="Y1335" i="1"/>
  <c r="X1335" i="1"/>
  <c r="AA1334" i="1"/>
  <c r="AB1334" i="1" s="1"/>
  <c r="Z1334" i="1"/>
  <c r="Y1334" i="1"/>
  <c r="X1334" i="1"/>
  <c r="AA1333" i="1"/>
  <c r="AB1333" i="1" s="1"/>
  <c r="Z1333" i="1"/>
  <c r="Y1333" i="1"/>
  <c r="X1333" i="1"/>
  <c r="AB1332" i="1"/>
  <c r="AA1332" i="1"/>
  <c r="Z1332" i="1"/>
  <c r="Y1332" i="1"/>
  <c r="X1332" i="1"/>
  <c r="AA1331" i="1"/>
  <c r="AB1331" i="1" s="1"/>
  <c r="Z1331" i="1"/>
  <c r="Y1331" i="1"/>
  <c r="X1331" i="1"/>
  <c r="AB1330" i="1"/>
  <c r="AA1330" i="1"/>
  <c r="Z1330" i="1"/>
  <c r="Y1330" i="1"/>
  <c r="X1330" i="1"/>
  <c r="AA1329" i="1"/>
  <c r="AB1329" i="1" s="1"/>
  <c r="Z1329" i="1"/>
  <c r="Y1329" i="1"/>
  <c r="X1329" i="1"/>
  <c r="AB1328" i="1"/>
  <c r="AA1328" i="1"/>
  <c r="Z1328" i="1"/>
  <c r="Y1328" i="1"/>
  <c r="X1328" i="1"/>
  <c r="AA1327" i="1"/>
  <c r="AB1327" i="1" s="1"/>
  <c r="Z1327" i="1"/>
  <c r="Y1327" i="1"/>
  <c r="X1327" i="1"/>
  <c r="AA1326" i="1"/>
  <c r="AB1326" i="1" s="1"/>
  <c r="Z1326" i="1"/>
  <c r="Y1326" i="1"/>
  <c r="X1326" i="1"/>
  <c r="AB1325" i="1"/>
  <c r="AA1325" i="1"/>
  <c r="Z1325" i="1"/>
  <c r="Y1325" i="1"/>
  <c r="X1325" i="1"/>
  <c r="AB1324" i="1"/>
  <c r="AA1324" i="1"/>
  <c r="Z1324" i="1"/>
  <c r="Y1324" i="1"/>
  <c r="X1324" i="1"/>
  <c r="AA1323" i="1"/>
  <c r="AB1323" i="1" s="1"/>
  <c r="Z1323" i="1"/>
  <c r="Y1323" i="1"/>
  <c r="X1323" i="1"/>
  <c r="AA1322" i="1"/>
  <c r="AB1322" i="1" s="1"/>
  <c r="Z1322" i="1"/>
  <c r="Y1322" i="1"/>
  <c r="X1322" i="1"/>
  <c r="AA1321" i="1"/>
  <c r="AB1321" i="1" s="1"/>
  <c r="Z1321" i="1"/>
  <c r="Y1321" i="1"/>
  <c r="X1321" i="1"/>
  <c r="AB1320" i="1"/>
  <c r="AA1320" i="1"/>
  <c r="Z1320" i="1"/>
  <c r="Y1320" i="1"/>
  <c r="X1320" i="1"/>
  <c r="AA1319" i="1"/>
  <c r="AB1319" i="1" s="1"/>
  <c r="Z1319" i="1"/>
  <c r="Y1319" i="1"/>
  <c r="X1319" i="1"/>
  <c r="AA1318" i="1"/>
  <c r="AB1318" i="1" s="1"/>
  <c r="Z1318" i="1"/>
  <c r="Y1318" i="1"/>
  <c r="X1318" i="1"/>
  <c r="AB1317" i="1"/>
  <c r="AA1317" i="1"/>
  <c r="Z1317" i="1"/>
  <c r="Y1317" i="1"/>
  <c r="X1317" i="1"/>
  <c r="AB1316" i="1"/>
  <c r="AA1316" i="1"/>
  <c r="Z1316" i="1"/>
  <c r="Y1316" i="1"/>
  <c r="X1316" i="1"/>
  <c r="AA1315" i="1"/>
  <c r="AB1315" i="1" s="1"/>
  <c r="Z1315" i="1"/>
  <c r="Y1315" i="1"/>
  <c r="X1315" i="1"/>
  <c r="AB1314" i="1"/>
  <c r="AA1314" i="1"/>
  <c r="Z1314" i="1"/>
  <c r="Y1314" i="1"/>
  <c r="X1314" i="1"/>
  <c r="AA1313" i="1"/>
  <c r="AB1313" i="1" s="1"/>
  <c r="Z1313" i="1"/>
  <c r="Y1313" i="1"/>
  <c r="X1313" i="1"/>
  <c r="AB1312" i="1"/>
  <c r="AA1312" i="1"/>
  <c r="Z1312" i="1"/>
  <c r="Y1312" i="1"/>
  <c r="X1312" i="1"/>
  <c r="AA1311" i="1"/>
  <c r="AB1311" i="1" s="1"/>
  <c r="Z1311" i="1"/>
  <c r="Y1311" i="1"/>
  <c r="X1311" i="1"/>
  <c r="AB1310" i="1"/>
  <c r="AA1310" i="1"/>
  <c r="Z1310" i="1"/>
  <c r="Y1310" i="1"/>
  <c r="X1310" i="1"/>
  <c r="AB1309" i="1"/>
  <c r="AA1309" i="1"/>
  <c r="Z1309" i="1"/>
  <c r="Y1309" i="1"/>
  <c r="X1309" i="1"/>
  <c r="AB1308" i="1"/>
  <c r="AA1308" i="1"/>
  <c r="Z1308" i="1"/>
  <c r="Y1308" i="1"/>
  <c r="X1308" i="1"/>
  <c r="AA1307" i="1"/>
  <c r="AB1307" i="1" s="1"/>
  <c r="Z1307" i="1"/>
  <c r="Y1307" i="1"/>
  <c r="X1307" i="1"/>
  <c r="AB1306" i="1"/>
  <c r="AA1306" i="1"/>
  <c r="Z1306" i="1"/>
  <c r="Y1306" i="1"/>
  <c r="X1306" i="1"/>
  <c r="AB1305" i="1"/>
  <c r="AA1305" i="1"/>
  <c r="Z1305" i="1"/>
  <c r="Y1305" i="1"/>
  <c r="X1305" i="1"/>
  <c r="AB1304" i="1"/>
  <c r="AA1304" i="1"/>
  <c r="Z1304" i="1"/>
  <c r="Y1304" i="1"/>
  <c r="X1304" i="1"/>
  <c r="AA1303" i="1"/>
  <c r="AB1303" i="1" s="1"/>
  <c r="Z1303" i="1"/>
  <c r="Y1303" i="1"/>
  <c r="X1303" i="1"/>
  <c r="AA1302" i="1"/>
  <c r="AB1302" i="1" s="1"/>
  <c r="Z1302" i="1"/>
  <c r="Y1302" i="1"/>
  <c r="X1302" i="1"/>
  <c r="AA1301" i="1"/>
  <c r="AB1301" i="1" s="1"/>
  <c r="Z1301" i="1"/>
  <c r="Y1301" i="1"/>
  <c r="X1301" i="1"/>
  <c r="AB1300" i="1"/>
  <c r="AA1300" i="1"/>
  <c r="Z1300" i="1"/>
  <c r="Y1300" i="1"/>
  <c r="X1300" i="1"/>
  <c r="AA1299" i="1"/>
  <c r="AB1299" i="1" s="1"/>
  <c r="Z1299" i="1"/>
  <c r="Y1299" i="1"/>
  <c r="X1299" i="1"/>
  <c r="AB1298" i="1"/>
  <c r="AA1298" i="1"/>
  <c r="Z1298" i="1"/>
  <c r="Y1298" i="1"/>
  <c r="X1298" i="1"/>
  <c r="AA1297" i="1"/>
  <c r="AB1297" i="1" s="1"/>
  <c r="Z1297" i="1"/>
  <c r="Y1297" i="1"/>
  <c r="X1297" i="1"/>
  <c r="AB1296" i="1"/>
  <c r="AA1296" i="1"/>
  <c r="Z1296" i="1"/>
  <c r="Y1296" i="1"/>
  <c r="X1296" i="1"/>
  <c r="AA1295" i="1"/>
  <c r="AB1295" i="1" s="1"/>
  <c r="Z1295" i="1"/>
  <c r="Y1295" i="1"/>
  <c r="X1295" i="1"/>
  <c r="AA1294" i="1"/>
  <c r="AB1294" i="1" s="1"/>
  <c r="Z1294" i="1"/>
  <c r="Y1294" i="1"/>
  <c r="X1294" i="1"/>
  <c r="AB1293" i="1"/>
  <c r="AA1293" i="1"/>
  <c r="Z1293" i="1"/>
  <c r="Y1293" i="1"/>
  <c r="X1293" i="1"/>
  <c r="AB1292" i="1"/>
  <c r="AA1292" i="1"/>
  <c r="Z1292" i="1"/>
  <c r="Y1292" i="1"/>
  <c r="X1292" i="1"/>
  <c r="AA1291" i="1"/>
  <c r="AB1291" i="1" s="1"/>
  <c r="Z1291" i="1"/>
  <c r="Y1291" i="1"/>
  <c r="X1291" i="1"/>
  <c r="AA1290" i="1"/>
  <c r="AB1290" i="1" s="1"/>
  <c r="Z1290" i="1"/>
  <c r="Y1290" i="1"/>
  <c r="X1290" i="1"/>
  <c r="AA1289" i="1"/>
  <c r="AB1289" i="1" s="1"/>
  <c r="Z1289" i="1"/>
  <c r="Y1289" i="1"/>
  <c r="X1289" i="1"/>
  <c r="AB1288" i="1"/>
  <c r="AA1288" i="1"/>
  <c r="Z1288" i="1"/>
  <c r="Y1288" i="1"/>
  <c r="X1288" i="1"/>
  <c r="AA1287" i="1"/>
  <c r="AB1287" i="1" s="1"/>
  <c r="Z1287" i="1"/>
  <c r="Y1287" i="1"/>
  <c r="X1287" i="1"/>
  <c r="AA1286" i="1"/>
  <c r="AB1286" i="1" s="1"/>
  <c r="Z1286" i="1"/>
  <c r="Y1286" i="1"/>
  <c r="X1286" i="1"/>
  <c r="AB1285" i="1"/>
  <c r="AA1285" i="1"/>
  <c r="Z1285" i="1"/>
  <c r="Y1285" i="1"/>
  <c r="X1285" i="1"/>
  <c r="AB1284" i="1"/>
  <c r="AA1284" i="1"/>
  <c r="Z1284" i="1"/>
  <c r="Y1284" i="1"/>
  <c r="X1284" i="1"/>
  <c r="AA1283" i="1"/>
  <c r="AB1283" i="1" s="1"/>
  <c r="Z1283" i="1"/>
  <c r="Y1283" i="1"/>
  <c r="X1283" i="1"/>
  <c r="AB1282" i="1"/>
  <c r="AA1282" i="1"/>
  <c r="Z1282" i="1"/>
  <c r="Y1282" i="1"/>
  <c r="X1282" i="1"/>
  <c r="AA1281" i="1"/>
  <c r="AB1281" i="1" s="1"/>
  <c r="Z1281" i="1"/>
  <c r="Y1281" i="1"/>
  <c r="X1281" i="1"/>
  <c r="AB1280" i="1"/>
  <c r="AA1280" i="1"/>
  <c r="Z1280" i="1"/>
  <c r="Y1280" i="1"/>
  <c r="X1280" i="1"/>
  <c r="AA1279" i="1"/>
  <c r="AB1279" i="1" s="1"/>
  <c r="Z1279" i="1"/>
  <c r="Y1279" i="1"/>
  <c r="X1279" i="1"/>
  <c r="AB1278" i="1"/>
  <c r="AA1278" i="1"/>
  <c r="Z1278" i="1"/>
  <c r="Y1278" i="1"/>
  <c r="X1278" i="1"/>
  <c r="AB1277" i="1"/>
  <c r="AA1277" i="1"/>
  <c r="Z1277" i="1"/>
  <c r="Y1277" i="1"/>
  <c r="X1277" i="1"/>
  <c r="AB1276" i="1"/>
  <c r="AA1276" i="1"/>
  <c r="Z1276" i="1"/>
  <c r="Y1276" i="1"/>
  <c r="X1276" i="1"/>
  <c r="AA1275" i="1"/>
  <c r="AB1275" i="1" s="1"/>
  <c r="Z1275" i="1"/>
  <c r="Y1275" i="1"/>
  <c r="X1275" i="1"/>
  <c r="AB1274" i="1"/>
  <c r="AA1274" i="1"/>
  <c r="Z1274" i="1"/>
  <c r="Y1274" i="1"/>
  <c r="X1274" i="1"/>
  <c r="AB1273" i="1"/>
  <c r="AA1273" i="1"/>
  <c r="Z1273" i="1"/>
  <c r="Y1273" i="1"/>
  <c r="X1273" i="1"/>
  <c r="AB1272" i="1"/>
  <c r="AA1272" i="1"/>
  <c r="Z1272" i="1"/>
  <c r="Y1272" i="1"/>
  <c r="X1272" i="1"/>
  <c r="AA1271" i="1"/>
  <c r="AB1271" i="1" s="1"/>
  <c r="Z1271" i="1"/>
  <c r="Y1271" i="1"/>
  <c r="X1271" i="1"/>
  <c r="AA1270" i="1"/>
  <c r="AB1270" i="1" s="1"/>
  <c r="Z1270" i="1"/>
  <c r="Y1270" i="1"/>
  <c r="X1270" i="1"/>
  <c r="AA1269" i="1"/>
  <c r="AB1269" i="1" s="1"/>
  <c r="Z1269" i="1"/>
  <c r="Y1269" i="1"/>
  <c r="X1269" i="1"/>
  <c r="AB1268" i="1"/>
  <c r="AA1268" i="1"/>
  <c r="Z1268" i="1"/>
  <c r="Y1268" i="1"/>
  <c r="X1268" i="1"/>
  <c r="AA1267" i="1"/>
  <c r="AB1267" i="1" s="1"/>
  <c r="Z1267" i="1"/>
  <c r="Y1267" i="1"/>
  <c r="X1267" i="1"/>
  <c r="AB1266" i="1"/>
  <c r="AA1266" i="1"/>
  <c r="Z1266" i="1"/>
  <c r="Y1266" i="1"/>
  <c r="X1266" i="1"/>
  <c r="AA1265" i="1"/>
  <c r="AB1265" i="1" s="1"/>
  <c r="Z1265" i="1"/>
  <c r="Y1265" i="1"/>
  <c r="X1265" i="1"/>
  <c r="AB1264" i="1"/>
  <c r="AA1264" i="1"/>
  <c r="Z1264" i="1"/>
  <c r="Y1264" i="1"/>
  <c r="X1264" i="1"/>
  <c r="AA1263" i="1"/>
  <c r="AB1263" i="1" s="1"/>
  <c r="Z1263" i="1"/>
  <c r="Y1263" i="1"/>
  <c r="X1263" i="1"/>
  <c r="AA1262" i="1"/>
  <c r="AB1262" i="1" s="1"/>
  <c r="Z1262" i="1"/>
  <c r="Y1262" i="1"/>
  <c r="X1262" i="1"/>
  <c r="AB1261" i="1"/>
  <c r="AA1261" i="1"/>
  <c r="Z1261" i="1"/>
  <c r="Y1261" i="1"/>
  <c r="X1261" i="1"/>
  <c r="AB1260" i="1"/>
  <c r="AA1260" i="1"/>
  <c r="Z1260" i="1"/>
  <c r="Y1260" i="1"/>
  <c r="X1260" i="1"/>
  <c r="AA1259" i="1"/>
  <c r="AB1259" i="1" s="1"/>
  <c r="Z1259" i="1"/>
  <c r="Y1259" i="1"/>
  <c r="X1259" i="1"/>
  <c r="AA1258" i="1"/>
  <c r="AB1258" i="1" s="1"/>
  <c r="Z1258" i="1"/>
  <c r="Y1258" i="1"/>
  <c r="X1258" i="1"/>
  <c r="AA1257" i="1"/>
  <c r="AB1257" i="1" s="1"/>
  <c r="Z1257" i="1"/>
  <c r="Y1257" i="1"/>
  <c r="X1257" i="1"/>
  <c r="AB1256" i="1"/>
  <c r="AA1256" i="1"/>
  <c r="Z1256" i="1"/>
  <c r="Y1256" i="1"/>
  <c r="X1256" i="1"/>
  <c r="AA1255" i="1"/>
  <c r="AB1255" i="1" s="1"/>
  <c r="Z1255" i="1"/>
  <c r="Y1255" i="1"/>
  <c r="X1255" i="1"/>
  <c r="AA1254" i="1"/>
  <c r="AB1254" i="1" s="1"/>
  <c r="Z1254" i="1"/>
  <c r="Y1254" i="1"/>
  <c r="X1254" i="1"/>
  <c r="AB1253" i="1"/>
  <c r="AA1253" i="1"/>
  <c r="Z1253" i="1"/>
  <c r="Y1253" i="1"/>
  <c r="X1253" i="1"/>
  <c r="AB1252" i="1"/>
  <c r="AA1252" i="1"/>
  <c r="Z1252" i="1"/>
  <c r="Y1252" i="1"/>
  <c r="X1252" i="1"/>
  <c r="AA1251" i="1"/>
  <c r="AB1251" i="1" s="1"/>
  <c r="Z1251" i="1"/>
  <c r="Y1251" i="1"/>
  <c r="X1251" i="1"/>
  <c r="AB1250" i="1"/>
  <c r="AA1250" i="1"/>
  <c r="Z1250" i="1"/>
  <c r="Y1250" i="1"/>
  <c r="X1250" i="1"/>
  <c r="AA1249" i="1"/>
  <c r="AB1249" i="1" s="1"/>
  <c r="Z1249" i="1"/>
  <c r="Y1249" i="1"/>
  <c r="X1249" i="1"/>
  <c r="AB1248" i="1"/>
  <c r="AA1248" i="1"/>
  <c r="Z1248" i="1"/>
  <c r="Y1248" i="1"/>
  <c r="X1248" i="1"/>
  <c r="AA1247" i="1"/>
  <c r="AB1247" i="1" s="1"/>
  <c r="Z1247" i="1"/>
  <c r="Y1247" i="1"/>
  <c r="X1247" i="1"/>
  <c r="AB1246" i="1"/>
  <c r="AA1246" i="1"/>
  <c r="Z1246" i="1"/>
  <c r="Y1246" i="1"/>
  <c r="X1246" i="1"/>
  <c r="AB1245" i="1"/>
  <c r="AA1245" i="1"/>
  <c r="Z1245" i="1"/>
  <c r="Y1245" i="1"/>
  <c r="X1245" i="1"/>
  <c r="AB1244" i="1"/>
  <c r="AA1244" i="1"/>
  <c r="Z1244" i="1"/>
  <c r="Y1244" i="1"/>
  <c r="X1244" i="1"/>
  <c r="AA1243" i="1"/>
  <c r="AB1243" i="1" s="1"/>
  <c r="Z1243" i="1"/>
  <c r="Y1243" i="1"/>
  <c r="X1243" i="1"/>
  <c r="AB1242" i="1"/>
  <c r="AA1242" i="1"/>
  <c r="Z1242" i="1"/>
  <c r="Y1242" i="1"/>
  <c r="X1242" i="1"/>
  <c r="AB1241" i="1"/>
  <c r="AA1241" i="1"/>
  <c r="Z1241" i="1"/>
  <c r="Y1241" i="1"/>
  <c r="X1241" i="1"/>
  <c r="AB1240" i="1"/>
  <c r="AA1240" i="1"/>
  <c r="Z1240" i="1"/>
  <c r="Y1240" i="1"/>
  <c r="X1240" i="1"/>
  <c r="AA1239" i="1"/>
  <c r="AB1239" i="1" s="1"/>
  <c r="Z1239" i="1"/>
  <c r="Y1239" i="1"/>
  <c r="X1239" i="1"/>
  <c r="AA1238" i="1"/>
  <c r="AB1238" i="1" s="1"/>
  <c r="Z1238" i="1"/>
  <c r="Y1238" i="1"/>
  <c r="X1238" i="1"/>
  <c r="AA1237" i="1"/>
  <c r="AB1237" i="1" s="1"/>
  <c r="Z1237" i="1"/>
  <c r="Y1237" i="1"/>
  <c r="X1237" i="1"/>
  <c r="AB1236" i="1"/>
  <c r="AA1236" i="1"/>
  <c r="Z1236" i="1"/>
  <c r="Y1236" i="1"/>
  <c r="X1236" i="1"/>
  <c r="AA1235" i="1"/>
  <c r="AB1235" i="1" s="1"/>
  <c r="Z1235" i="1"/>
  <c r="Y1235" i="1"/>
  <c r="X1235" i="1"/>
  <c r="AB1234" i="1"/>
  <c r="AA1234" i="1"/>
  <c r="Z1234" i="1"/>
  <c r="Y1234" i="1"/>
  <c r="X1234" i="1"/>
  <c r="AA1233" i="1"/>
  <c r="AB1233" i="1" s="1"/>
  <c r="Z1233" i="1"/>
  <c r="Y1233" i="1"/>
  <c r="X1233" i="1"/>
  <c r="AB1232" i="1"/>
  <c r="AA1232" i="1"/>
  <c r="Z1232" i="1"/>
  <c r="Y1232" i="1"/>
  <c r="X1232" i="1"/>
  <c r="AA1231" i="1"/>
  <c r="AB1231" i="1" s="1"/>
  <c r="Z1231" i="1"/>
  <c r="Y1231" i="1"/>
  <c r="X1231" i="1"/>
  <c r="AA1230" i="1"/>
  <c r="AB1230" i="1" s="1"/>
  <c r="Z1230" i="1"/>
  <c r="Y1230" i="1"/>
  <c r="X1230" i="1"/>
  <c r="AB1229" i="1"/>
  <c r="AA1229" i="1"/>
  <c r="Z1229" i="1"/>
  <c r="Y1229" i="1"/>
  <c r="X1229" i="1"/>
  <c r="AB1228" i="1"/>
  <c r="AA1228" i="1"/>
  <c r="Z1228" i="1"/>
  <c r="Y1228" i="1"/>
  <c r="X1228" i="1"/>
  <c r="AA1227" i="1"/>
  <c r="AB1227" i="1" s="1"/>
  <c r="Z1227" i="1"/>
  <c r="Y1227" i="1"/>
  <c r="X1227" i="1"/>
  <c r="AA1226" i="1"/>
  <c r="AB1226" i="1" s="1"/>
  <c r="Z1226" i="1"/>
  <c r="Y1226" i="1"/>
  <c r="X1226" i="1"/>
  <c r="AA1225" i="1"/>
  <c r="AB1225" i="1" s="1"/>
  <c r="Z1225" i="1"/>
  <c r="Y1225" i="1"/>
  <c r="X1225" i="1"/>
  <c r="AB1224" i="1"/>
  <c r="AA1224" i="1"/>
  <c r="Z1224" i="1"/>
  <c r="Y1224" i="1"/>
  <c r="X1224" i="1"/>
  <c r="AA1223" i="1"/>
  <c r="AB1223" i="1" s="1"/>
  <c r="Z1223" i="1"/>
  <c r="Y1223" i="1"/>
  <c r="X1223" i="1"/>
  <c r="AA1222" i="1"/>
  <c r="AB1222" i="1" s="1"/>
  <c r="Z1222" i="1"/>
  <c r="Y1222" i="1"/>
  <c r="X1222" i="1"/>
  <c r="AB1221" i="1"/>
  <c r="AA1221" i="1"/>
  <c r="Z1221" i="1"/>
  <c r="Y1221" i="1"/>
  <c r="X1221" i="1"/>
  <c r="AB1220" i="1"/>
  <c r="AA1220" i="1"/>
  <c r="Z1220" i="1"/>
  <c r="Y1220" i="1"/>
  <c r="X1220" i="1"/>
  <c r="AA1219" i="1"/>
  <c r="AB1219" i="1" s="1"/>
  <c r="Z1219" i="1"/>
  <c r="Y1219" i="1"/>
  <c r="X1219" i="1"/>
  <c r="AB1218" i="1"/>
  <c r="AA1218" i="1"/>
  <c r="Z1218" i="1"/>
  <c r="Y1218" i="1"/>
  <c r="X1218" i="1"/>
  <c r="AA1217" i="1"/>
  <c r="AB1217" i="1" s="1"/>
  <c r="Z1217" i="1"/>
  <c r="Y1217" i="1"/>
  <c r="X1217" i="1"/>
  <c r="AB1216" i="1"/>
  <c r="AA1216" i="1"/>
  <c r="Z1216" i="1"/>
  <c r="Y1216" i="1"/>
  <c r="X1216" i="1"/>
  <c r="AA1215" i="1"/>
  <c r="AB1215" i="1" s="1"/>
  <c r="Z1215" i="1"/>
  <c r="Y1215" i="1"/>
  <c r="X1215" i="1"/>
  <c r="AB1214" i="1"/>
  <c r="AA1214" i="1"/>
  <c r="Z1214" i="1"/>
  <c r="Y1214" i="1"/>
  <c r="X1214" i="1"/>
  <c r="AB1213" i="1"/>
  <c r="AA1213" i="1"/>
  <c r="Z1213" i="1"/>
  <c r="Y1213" i="1"/>
  <c r="X1213" i="1"/>
  <c r="AB1212" i="1"/>
  <c r="AA1212" i="1"/>
  <c r="Z1212" i="1"/>
  <c r="Y1212" i="1"/>
  <c r="X1212" i="1"/>
  <c r="AA1211" i="1"/>
  <c r="AB1211" i="1" s="1"/>
  <c r="Z1211" i="1"/>
  <c r="Y1211" i="1"/>
  <c r="X1211" i="1"/>
  <c r="AB1210" i="1"/>
  <c r="AA1210" i="1"/>
  <c r="Z1210" i="1"/>
  <c r="Y1210" i="1"/>
  <c r="X1210" i="1"/>
  <c r="AB1209" i="1"/>
  <c r="AA1209" i="1"/>
  <c r="Z1209" i="1"/>
  <c r="Y1209" i="1"/>
  <c r="X1209" i="1"/>
  <c r="AB1208" i="1"/>
  <c r="AA1208" i="1"/>
  <c r="Z1208" i="1"/>
  <c r="Y1208" i="1"/>
  <c r="X1208" i="1"/>
  <c r="AA1207" i="1"/>
  <c r="AB1207" i="1" s="1"/>
  <c r="Z1207" i="1"/>
  <c r="Y1207" i="1"/>
  <c r="X1207" i="1"/>
  <c r="AA1206" i="1"/>
  <c r="AB1206" i="1" s="1"/>
  <c r="Z1206" i="1"/>
  <c r="Y1206" i="1"/>
  <c r="X1206" i="1"/>
  <c r="AA1205" i="1"/>
  <c r="AB1205" i="1" s="1"/>
  <c r="Z1205" i="1"/>
  <c r="Y1205" i="1"/>
  <c r="X1205" i="1"/>
  <c r="AB1204" i="1"/>
  <c r="AA1204" i="1"/>
  <c r="Z1204" i="1"/>
  <c r="Y1204" i="1"/>
  <c r="X1204" i="1"/>
  <c r="AA1203" i="1"/>
  <c r="AB1203" i="1" s="1"/>
  <c r="Z1203" i="1"/>
  <c r="Y1203" i="1"/>
  <c r="X1203" i="1"/>
  <c r="AB1202" i="1"/>
  <c r="AA1202" i="1"/>
  <c r="Z1202" i="1"/>
  <c r="Y1202" i="1"/>
  <c r="X1202" i="1"/>
  <c r="AA1201" i="1"/>
  <c r="AB1201" i="1" s="1"/>
  <c r="Z1201" i="1"/>
  <c r="Y1201" i="1"/>
  <c r="X1201" i="1"/>
  <c r="AB1200" i="1"/>
  <c r="AA1200" i="1"/>
  <c r="Z1200" i="1"/>
  <c r="Y1200" i="1"/>
  <c r="X1200" i="1"/>
  <c r="AA1199" i="1"/>
  <c r="AB1199" i="1" s="1"/>
  <c r="Z1199" i="1"/>
  <c r="Y1199" i="1"/>
  <c r="X1199" i="1"/>
  <c r="AA1198" i="1"/>
  <c r="AB1198" i="1" s="1"/>
  <c r="Z1198" i="1"/>
  <c r="Y1198" i="1"/>
  <c r="X1198" i="1"/>
  <c r="AB1197" i="1"/>
  <c r="AA1197" i="1"/>
  <c r="Z1197" i="1"/>
  <c r="Y1197" i="1"/>
  <c r="X1197" i="1"/>
  <c r="AB1196" i="1"/>
  <c r="AA1196" i="1"/>
  <c r="Z1196" i="1"/>
  <c r="Y1196" i="1"/>
  <c r="X1196" i="1"/>
  <c r="AA1195" i="1"/>
  <c r="AB1195" i="1" s="1"/>
  <c r="Z1195" i="1"/>
  <c r="Y1195" i="1"/>
  <c r="X1195" i="1"/>
  <c r="AA1194" i="1"/>
  <c r="AB1194" i="1" s="1"/>
  <c r="Z1194" i="1"/>
  <c r="Y1194" i="1"/>
  <c r="X1194" i="1"/>
  <c r="AA1193" i="1"/>
  <c r="AB1193" i="1" s="1"/>
  <c r="Z1193" i="1"/>
  <c r="Y1193" i="1"/>
  <c r="X1193" i="1"/>
  <c r="AB1192" i="1"/>
  <c r="AA1192" i="1"/>
  <c r="Z1192" i="1"/>
  <c r="Y1192" i="1"/>
  <c r="X1192" i="1"/>
  <c r="AA1191" i="1"/>
  <c r="AB1191" i="1" s="1"/>
  <c r="Z1191" i="1"/>
  <c r="Y1191" i="1"/>
  <c r="X1191" i="1"/>
  <c r="AA1190" i="1"/>
  <c r="AB1190" i="1" s="1"/>
  <c r="Z1190" i="1"/>
  <c r="Y1190" i="1"/>
  <c r="X1190" i="1"/>
  <c r="AB1189" i="1"/>
  <c r="AA1189" i="1"/>
  <c r="Z1189" i="1"/>
  <c r="Y1189" i="1"/>
  <c r="X1189" i="1"/>
  <c r="AB1188" i="1"/>
  <c r="AA1188" i="1"/>
  <c r="Z1188" i="1"/>
  <c r="Y1188" i="1"/>
  <c r="X1188" i="1"/>
  <c r="AA1187" i="1"/>
  <c r="AB1187" i="1" s="1"/>
  <c r="Z1187" i="1"/>
  <c r="Y1187" i="1"/>
  <c r="X1187" i="1"/>
  <c r="AB1186" i="1"/>
  <c r="AA1186" i="1"/>
  <c r="Z1186" i="1"/>
  <c r="Y1186" i="1"/>
  <c r="X1186" i="1"/>
  <c r="AA1185" i="1"/>
  <c r="AB1185" i="1" s="1"/>
  <c r="Z1185" i="1"/>
  <c r="Y1185" i="1"/>
  <c r="X1185" i="1"/>
  <c r="AB1184" i="1"/>
  <c r="AA1184" i="1"/>
  <c r="Z1184" i="1"/>
  <c r="Y1184" i="1"/>
  <c r="X1184" i="1"/>
  <c r="AA1183" i="1"/>
  <c r="AB1183" i="1" s="1"/>
  <c r="Z1183" i="1"/>
  <c r="Y1183" i="1"/>
  <c r="X1183" i="1"/>
  <c r="AB1182" i="1"/>
  <c r="AA1182" i="1"/>
  <c r="Z1182" i="1"/>
  <c r="Y1182" i="1"/>
  <c r="X1182" i="1"/>
  <c r="AB1181" i="1"/>
  <c r="AA1181" i="1"/>
  <c r="Z1181" i="1"/>
  <c r="Y1181" i="1"/>
  <c r="X1181" i="1"/>
  <c r="AA1180" i="1"/>
  <c r="AB1180" i="1" s="1"/>
  <c r="Z1180" i="1"/>
  <c r="Y1180" i="1"/>
  <c r="X1180" i="1"/>
  <c r="AA1179" i="1"/>
  <c r="AB1179" i="1" s="1"/>
  <c r="Z1179" i="1"/>
  <c r="Y1179" i="1"/>
  <c r="X1179" i="1"/>
  <c r="AB1178" i="1"/>
  <c r="AA1178" i="1"/>
  <c r="Z1178" i="1"/>
  <c r="Y1178" i="1"/>
  <c r="X1178" i="1"/>
  <c r="AB1177" i="1"/>
  <c r="AA1177" i="1"/>
  <c r="Z1177" i="1"/>
  <c r="Y1177" i="1"/>
  <c r="X1177" i="1"/>
  <c r="AA1176" i="1"/>
  <c r="AB1176" i="1" s="1"/>
  <c r="Z1176" i="1"/>
  <c r="Y1176" i="1"/>
  <c r="X1176" i="1"/>
  <c r="AA1175" i="1"/>
  <c r="AB1175" i="1" s="1"/>
  <c r="Z1175" i="1"/>
  <c r="Y1175" i="1"/>
  <c r="X1175" i="1"/>
  <c r="AA1174" i="1"/>
  <c r="AB1174" i="1" s="1"/>
  <c r="Z1174" i="1"/>
  <c r="Y1174" i="1"/>
  <c r="X1174" i="1"/>
  <c r="AB1173" i="1"/>
  <c r="AA1173" i="1"/>
  <c r="Z1173" i="1"/>
  <c r="Y1173" i="1"/>
  <c r="X1173" i="1"/>
  <c r="AA1172" i="1"/>
  <c r="AB1172" i="1" s="1"/>
  <c r="Z1172" i="1"/>
  <c r="Y1172" i="1"/>
  <c r="X1172" i="1"/>
  <c r="AB1171" i="1"/>
  <c r="AA1171" i="1"/>
  <c r="Z1171" i="1"/>
  <c r="Y1171" i="1"/>
  <c r="X1171" i="1"/>
  <c r="AA1170" i="1"/>
  <c r="AB1170" i="1" s="1"/>
  <c r="Z1170" i="1"/>
  <c r="Y1170" i="1"/>
  <c r="X1170" i="1"/>
  <c r="AB1169" i="1"/>
  <c r="AA1169" i="1"/>
  <c r="Z1169" i="1"/>
  <c r="Y1169" i="1"/>
  <c r="X1169" i="1"/>
  <c r="AA1168" i="1"/>
  <c r="AB1168" i="1" s="1"/>
  <c r="Z1168" i="1"/>
  <c r="Y1168" i="1"/>
  <c r="X1168" i="1"/>
  <c r="AB1167" i="1"/>
  <c r="AA1167" i="1"/>
  <c r="Z1167" i="1"/>
  <c r="Y1167" i="1"/>
  <c r="X1167" i="1"/>
  <c r="AB1166" i="1"/>
  <c r="AA1166" i="1"/>
  <c r="Z1166" i="1"/>
  <c r="Y1166" i="1"/>
  <c r="X1166" i="1"/>
  <c r="AB1165" i="1"/>
  <c r="AA1165" i="1"/>
  <c r="Z1165" i="1"/>
  <c r="Y1165" i="1"/>
  <c r="X1165" i="1"/>
  <c r="AA1164" i="1"/>
  <c r="AB1164" i="1" s="1"/>
  <c r="Z1164" i="1"/>
  <c r="Y1164" i="1"/>
  <c r="X1164" i="1"/>
  <c r="AA1163" i="1"/>
  <c r="AB1163" i="1" s="1"/>
  <c r="Z1163" i="1"/>
  <c r="Y1163" i="1"/>
  <c r="X1163" i="1"/>
  <c r="AB1162" i="1"/>
  <c r="AA1162" i="1"/>
  <c r="Z1162" i="1"/>
  <c r="Y1162" i="1"/>
  <c r="X1162" i="1"/>
  <c r="AB1161" i="1"/>
  <c r="AA1161" i="1"/>
  <c r="Z1161" i="1"/>
  <c r="Y1161" i="1"/>
  <c r="X1161" i="1"/>
  <c r="AA1160" i="1"/>
  <c r="AB1160" i="1" s="1"/>
  <c r="Z1160" i="1"/>
  <c r="Y1160" i="1"/>
  <c r="X1160" i="1"/>
  <c r="AA1159" i="1"/>
  <c r="AB1159" i="1" s="1"/>
  <c r="Z1159" i="1"/>
  <c r="Y1159" i="1"/>
  <c r="X1159" i="1"/>
  <c r="AA1158" i="1"/>
  <c r="AB1158" i="1" s="1"/>
  <c r="Z1158" i="1"/>
  <c r="Y1158" i="1"/>
  <c r="X1158" i="1"/>
  <c r="AB1157" i="1"/>
  <c r="AA1157" i="1"/>
  <c r="Z1157" i="1"/>
  <c r="Y1157" i="1"/>
  <c r="X1157" i="1"/>
  <c r="AA1156" i="1"/>
  <c r="AB1156" i="1" s="1"/>
  <c r="Z1156" i="1"/>
  <c r="Y1156" i="1"/>
  <c r="X1156" i="1"/>
  <c r="AB1155" i="1"/>
  <c r="AA1155" i="1"/>
  <c r="Z1155" i="1"/>
  <c r="Y1155" i="1"/>
  <c r="X1155" i="1"/>
  <c r="AA1154" i="1"/>
  <c r="AB1154" i="1" s="1"/>
  <c r="Z1154" i="1"/>
  <c r="Y1154" i="1"/>
  <c r="X1154" i="1"/>
  <c r="AB1153" i="1"/>
  <c r="AA1153" i="1"/>
  <c r="Z1153" i="1"/>
  <c r="Y1153" i="1"/>
  <c r="X1153" i="1"/>
  <c r="AA1152" i="1"/>
  <c r="AB1152" i="1" s="1"/>
  <c r="Z1152" i="1"/>
  <c r="Y1152" i="1"/>
  <c r="X1152" i="1"/>
  <c r="AB1151" i="1"/>
  <c r="AA1151" i="1"/>
  <c r="Z1151" i="1"/>
  <c r="Y1151" i="1"/>
  <c r="X1151" i="1"/>
  <c r="AB1150" i="1"/>
  <c r="AA1150" i="1"/>
  <c r="Z1150" i="1"/>
  <c r="Y1150" i="1"/>
  <c r="X1150" i="1"/>
  <c r="AB1149" i="1"/>
  <c r="AA1149" i="1"/>
  <c r="Z1149" i="1"/>
  <c r="Y1149" i="1"/>
  <c r="X1149" i="1"/>
  <c r="AA1148" i="1"/>
  <c r="AB1148" i="1" s="1"/>
  <c r="Z1148" i="1"/>
  <c r="Y1148" i="1"/>
  <c r="X1148" i="1"/>
  <c r="AA1147" i="1"/>
  <c r="AB1147" i="1" s="1"/>
  <c r="Z1147" i="1"/>
  <c r="Y1147" i="1"/>
  <c r="X1147" i="1"/>
  <c r="AB1146" i="1"/>
  <c r="AA1146" i="1"/>
  <c r="Z1146" i="1"/>
  <c r="Y1146" i="1"/>
  <c r="X1146" i="1"/>
  <c r="AB1145" i="1"/>
  <c r="AA1145" i="1"/>
  <c r="Z1145" i="1"/>
  <c r="Y1145" i="1"/>
  <c r="X1145" i="1"/>
  <c r="AA1144" i="1"/>
  <c r="AB1144" i="1" s="1"/>
  <c r="Z1144" i="1"/>
  <c r="Y1144" i="1"/>
  <c r="X1144" i="1"/>
  <c r="AA1143" i="1"/>
  <c r="AB1143" i="1" s="1"/>
  <c r="Z1143" i="1"/>
  <c r="Y1143" i="1"/>
  <c r="X1143" i="1"/>
  <c r="AA1142" i="1"/>
  <c r="AB1142" i="1" s="1"/>
  <c r="Z1142" i="1"/>
  <c r="Y1142" i="1"/>
  <c r="X1142" i="1"/>
  <c r="AB1141" i="1"/>
  <c r="AA1141" i="1"/>
  <c r="Z1141" i="1"/>
  <c r="Y1141" i="1"/>
  <c r="X1141" i="1"/>
  <c r="AA1140" i="1"/>
  <c r="AB1140" i="1" s="1"/>
  <c r="Z1140" i="1"/>
  <c r="Y1140" i="1"/>
  <c r="X1140" i="1"/>
  <c r="AB1139" i="1"/>
  <c r="AA1139" i="1"/>
  <c r="Z1139" i="1"/>
  <c r="Y1139" i="1"/>
  <c r="X1139" i="1"/>
  <c r="AA1138" i="1"/>
  <c r="AB1138" i="1" s="1"/>
  <c r="Z1138" i="1"/>
  <c r="Y1138" i="1"/>
  <c r="X1138" i="1"/>
  <c r="AB1137" i="1"/>
  <c r="AA1137" i="1"/>
  <c r="Z1137" i="1"/>
  <c r="Y1137" i="1"/>
  <c r="X1137" i="1"/>
  <c r="AA1136" i="1"/>
  <c r="AB1136" i="1" s="1"/>
  <c r="Z1136" i="1"/>
  <c r="Y1136" i="1"/>
  <c r="X1136" i="1"/>
  <c r="AB1135" i="1"/>
  <c r="AA1135" i="1"/>
  <c r="Z1135" i="1"/>
  <c r="Y1135" i="1"/>
  <c r="X1135" i="1"/>
  <c r="AB1134" i="1"/>
  <c r="AA1134" i="1"/>
  <c r="Z1134" i="1"/>
  <c r="Y1134" i="1"/>
  <c r="X1134" i="1"/>
  <c r="AB1133" i="1"/>
  <c r="AA1133" i="1"/>
  <c r="Z1133" i="1"/>
  <c r="Y1133" i="1"/>
  <c r="X1133" i="1"/>
  <c r="AA1132" i="1"/>
  <c r="AB1132" i="1" s="1"/>
  <c r="Z1132" i="1"/>
  <c r="Y1132" i="1"/>
  <c r="X1132" i="1"/>
  <c r="AA1131" i="1"/>
  <c r="AB1131" i="1" s="1"/>
  <c r="Z1131" i="1"/>
  <c r="Y1131" i="1"/>
  <c r="X1131" i="1"/>
  <c r="AB1130" i="1"/>
  <c r="AA1130" i="1"/>
  <c r="Z1130" i="1"/>
  <c r="Y1130" i="1"/>
  <c r="X1130" i="1"/>
  <c r="AB1129" i="1"/>
  <c r="AA1129" i="1"/>
  <c r="Z1129" i="1"/>
  <c r="Y1129" i="1"/>
  <c r="X1129" i="1"/>
  <c r="AA1128" i="1"/>
  <c r="AB1128" i="1" s="1"/>
  <c r="Z1128" i="1"/>
  <c r="Y1128" i="1"/>
  <c r="X1128" i="1"/>
  <c r="AA1127" i="1"/>
  <c r="AB1127" i="1" s="1"/>
  <c r="Z1127" i="1"/>
  <c r="Y1127" i="1"/>
  <c r="X1127" i="1"/>
  <c r="AA1126" i="1"/>
  <c r="AB1126" i="1" s="1"/>
  <c r="Z1126" i="1"/>
  <c r="Y1126" i="1"/>
  <c r="X1126" i="1"/>
  <c r="AB1125" i="1"/>
  <c r="AA1125" i="1"/>
  <c r="Z1125" i="1"/>
  <c r="Y1125" i="1"/>
  <c r="X1125" i="1"/>
  <c r="AA1124" i="1"/>
  <c r="AB1124" i="1" s="1"/>
  <c r="Z1124" i="1"/>
  <c r="Y1124" i="1"/>
  <c r="X1124" i="1"/>
  <c r="AB1123" i="1"/>
  <c r="AA1123" i="1"/>
  <c r="Z1123" i="1"/>
  <c r="Y1123" i="1"/>
  <c r="X1123" i="1"/>
  <c r="AA1122" i="1"/>
  <c r="AB1122" i="1" s="1"/>
  <c r="Z1122" i="1"/>
  <c r="Y1122" i="1"/>
  <c r="X1122" i="1"/>
  <c r="AB1121" i="1"/>
  <c r="AA1121" i="1"/>
  <c r="Z1121" i="1"/>
  <c r="Y1121" i="1"/>
  <c r="X1121" i="1"/>
  <c r="AA1120" i="1"/>
  <c r="AB1120" i="1" s="1"/>
  <c r="Z1120" i="1"/>
  <c r="Y1120" i="1"/>
  <c r="X1120" i="1"/>
  <c r="AB1119" i="1"/>
  <c r="AA1119" i="1"/>
  <c r="Z1119" i="1"/>
  <c r="Y1119" i="1"/>
  <c r="X1119" i="1"/>
  <c r="AB1118" i="1"/>
  <c r="P31" i="3" s="1"/>
  <c r="AA1118" i="1"/>
  <c r="Z1118" i="1"/>
  <c r="Y1118" i="1"/>
  <c r="X1118" i="1"/>
  <c r="AB1117" i="1"/>
  <c r="AA1117" i="1"/>
  <c r="Z1117" i="1"/>
  <c r="Y1117" i="1"/>
  <c r="X1117" i="1"/>
  <c r="AA1116" i="1"/>
  <c r="AB1116" i="1" s="1"/>
  <c r="Z1116" i="1"/>
  <c r="Y1116" i="1"/>
  <c r="X1116" i="1"/>
  <c r="AA1115" i="1"/>
  <c r="AB1115" i="1" s="1"/>
  <c r="Z1115" i="1"/>
  <c r="Y1115" i="1"/>
  <c r="X1115" i="1"/>
  <c r="AB1114" i="1"/>
  <c r="AA1114" i="1"/>
  <c r="Z1114" i="1"/>
  <c r="Y1114" i="1"/>
  <c r="X1114" i="1"/>
  <c r="AB1113" i="1"/>
  <c r="AA1113" i="1"/>
  <c r="Z1113" i="1"/>
  <c r="Y1113" i="1"/>
  <c r="X1113" i="1"/>
  <c r="AA1112" i="1"/>
  <c r="AB1112" i="1" s="1"/>
  <c r="Z1112" i="1"/>
  <c r="Y1112" i="1"/>
  <c r="X1112" i="1"/>
  <c r="AA1111" i="1"/>
  <c r="AB1111" i="1" s="1"/>
  <c r="Z1111" i="1"/>
  <c r="Y1111" i="1"/>
  <c r="X1111" i="1"/>
  <c r="AA1110" i="1"/>
  <c r="AB1110" i="1" s="1"/>
  <c r="Z1110" i="1"/>
  <c r="Y1110" i="1"/>
  <c r="X1110" i="1"/>
  <c r="AB1109" i="1"/>
  <c r="AA1109" i="1"/>
  <c r="Z1109" i="1"/>
  <c r="Y1109" i="1"/>
  <c r="X1109" i="1"/>
  <c r="AA1108" i="1"/>
  <c r="AB1108" i="1" s="1"/>
  <c r="Z1108" i="1"/>
  <c r="Y1108" i="1"/>
  <c r="X1108" i="1"/>
  <c r="AB1107" i="1"/>
  <c r="AA1107" i="1"/>
  <c r="Z1107" i="1"/>
  <c r="Y1107" i="1"/>
  <c r="X1107" i="1"/>
  <c r="AA1106" i="1"/>
  <c r="AB1106" i="1" s="1"/>
  <c r="Z1106" i="1"/>
  <c r="Y1106" i="1"/>
  <c r="X1106" i="1"/>
  <c r="AB1105" i="1"/>
  <c r="AA1105" i="1"/>
  <c r="Z1105" i="1"/>
  <c r="Y1105" i="1"/>
  <c r="X1105" i="1"/>
  <c r="AA1104" i="1"/>
  <c r="AB1104" i="1" s="1"/>
  <c r="Z1104" i="1"/>
  <c r="Y1104" i="1"/>
  <c r="X1104" i="1"/>
  <c r="AB1103" i="1"/>
  <c r="AA1103" i="1"/>
  <c r="Z1103" i="1"/>
  <c r="Y1103" i="1"/>
  <c r="X1103" i="1"/>
  <c r="AB1102" i="1"/>
  <c r="AA1102" i="1"/>
  <c r="Z1102" i="1"/>
  <c r="Y1102" i="1"/>
  <c r="X1102" i="1"/>
  <c r="AB1101" i="1"/>
  <c r="AA1101" i="1"/>
  <c r="Z1101" i="1"/>
  <c r="Y1101" i="1"/>
  <c r="X1101" i="1"/>
  <c r="AA1100" i="1"/>
  <c r="AB1100" i="1" s="1"/>
  <c r="Z1100" i="1"/>
  <c r="Y1100" i="1"/>
  <c r="X1100" i="1"/>
  <c r="AA1099" i="1"/>
  <c r="AB1099" i="1" s="1"/>
  <c r="Z1099" i="1"/>
  <c r="Y1099" i="1"/>
  <c r="X1099" i="1"/>
  <c r="AB1098" i="1"/>
  <c r="AA1098" i="1"/>
  <c r="Z1098" i="1"/>
  <c r="Y1098" i="1"/>
  <c r="X1098" i="1"/>
  <c r="AB1097" i="1"/>
  <c r="AA1097" i="1"/>
  <c r="Z1097" i="1"/>
  <c r="Y1097" i="1"/>
  <c r="X1097" i="1"/>
  <c r="AA1096" i="1"/>
  <c r="AB1096" i="1" s="1"/>
  <c r="Z1096" i="1"/>
  <c r="Y1096" i="1"/>
  <c r="X1096" i="1"/>
  <c r="AA1095" i="1"/>
  <c r="AB1095" i="1" s="1"/>
  <c r="Z1095" i="1"/>
  <c r="Y1095" i="1"/>
  <c r="X1095" i="1"/>
  <c r="AA1094" i="1"/>
  <c r="AB1094" i="1" s="1"/>
  <c r="Z1094" i="1"/>
  <c r="Y1094" i="1"/>
  <c r="X1094" i="1"/>
  <c r="AB1093" i="1"/>
  <c r="AA1093" i="1"/>
  <c r="Z1093" i="1"/>
  <c r="Y1093" i="1"/>
  <c r="X1093" i="1"/>
  <c r="AA1092" i="1"/>
  <c r="AB1092" i="1" s="1"/>
  <c r="Z1092" i="1"/>
  <c r="Y1092" i="1"/>
  <c r="X1092" i="1"/>
  <c r="AB1091" i="1"/>
  <c r="AA1091" i="1"/>
  <c r="Z1091" i="1"/>
  <c r="Y1091" i="1"/>
  <c r="X1091" i="1"/>
  <c r="AA1090" i="1"/>
  <c r="AB1090" i="1" s="1"/>
  <c r="Z1090" i="1"/>
  <c r="Y1090" i="1"/>
  <c r="X1090" i="1"/>
  <c r="AB1089" i="1"/>
  <c r="AA1089" i="1"/>
  <c r="Z1089" i="1"/>
  <c r="Y1089" i="1"/>
  <c r="X1089" i="1"/>
  <c r="AA1088" i="1"/>
  <c r="AB1088" i="1" s="1"/>
  <c r="Z1088" i="1"/>
  <c r="Y1088" i="1"/>
  <c r="X1088" i="1"/>
  <c r="AB1087" i="1"/>
  <c r="AA1087" i="1"/>
  <c r="Z1087" i="1"/>
  <c r="Y1087" i="1"/>
  <c r="X1087" i="1"/>
  <c r="AB1086" i="1"/>
  <c r="AA1086" i="1"/>
  <c r="Z1086" i="1"/>
  <c r="Y1086" i="1"/>
  <c r="X1086" i="1"/>
  <c r="AB1085" i="1"/>
  <c r="AA1085" i="1"/>
  <c r="Z1085" i="1"/>
  <c r="Y1085" i="1"/>
  <c r="X1085" i="1"/>
  <c r="AA1084" i="1"/>
  <c r="AB1084" i="1" s="1"/>
  <c r="Z1084" i="1"/>
  <c r="Y1084" i="1"/>
  <c r="X1084" i="1"/>
  <c r="AA1083" i="1"/>
  <c r="AB1083" i="1" s="1"/>
  <c r="Z1083" i="1"/>
  <c r="Y1083" i="1"/>
  <c r="X1083" i="1"/>
  <c r="AB1082" i="1"/>
  <c r="AA1082" i="1"/>
  <c r="Z1082" i="1"/>
  <c r="Y1082" i="1"/>
  <c r="X1082" i="1"/>
  <c r="AB1081" i="1"/>
  <c r="AA1081" i="1"/>
  <c r="Z1081" i="1"/>
  <c r="Y1081" i="1"/>
  <c r="X1081" i="1"/>
  <c r="AA1080" i="1"/>
  <c r="AB1080" i="1" s="1"/>
  <c r="Z1080" i="1"/>
  <c r="Y1080" i="1"/>
  <c r="X1080" i="1"/>
  <c r="AA1079" i="1"/>
  <c r="AB1079" i="1" s="1"/>
  <c r="Z1079" i="1"/>
  <c r="Y1079" i="1"/>
  <c r="X1079" i="1"/>
  <c r="AA1078" i="1"/>
  <c r="AB1078" i="1" s="1"/>
  <c r="Z1078" i="1"/>
  <c r="Y1078" i="1"/>
  <c r="X1078" i="1"/>
  <c r="AB1077" i="1"/>
  <c r="AA1077" i="1"/>
  <c r="Z1077" i="1"/>
  <c r="Y1077" i="1"/>
  <c r="X1077" i="1"/>
  <c r="AA1076" i="1"/>
  <c r="AB1076" i="1" s="1"/>
  <c r="Z1076" i="1"/>
  <c r="Y1076" i="1"/>
  <c r="X1076" i="1"/>
  <c r="AB1075" i="1"/>
  <c r="AA1075" i="1"/>
  <c r="Z1075" i="1"/>
  <c r="Y1075" i="1"/>
  <c r="X1075" i="1"/>
  <c r="AA1074" i="1"/>
  <c r="AB1074" i="1" s="1"/>
  <c r="Z1074" i="1"/>
  <c r="Y1074" i="1"/>
  <c r="X1074" i="1"/>
  <c r="AB1073" i="1"/>
  <c r="AA1073" i="1"/>
  <c r="Z1073" i="1"/>
  <c r="Y1073" i="1"/>
  <c r="X1073" i="1"/>
  <c r="AA1072" i="1"/>
  <c r="AB1072" i="1" s="1"/>
  <c r="Z1072" i="1"/>
  <c r="Y1072" i="1"/>
  <c r="X1072" i="1"/>
  <c r="AB1071" i="1"/>
  <c r="AA1071" i="1"/>
  <c r="Z1071" i="1"/>
  <c r="Y1071" i="1"/>
  <c r="X1071" i="1"/>
  <c r="AB1070" i="1"/>
  <c r="AA1070" i="1"/>
  <c r="Z1070" i="1"/>
  <c r="Y1070" i="1"/>
  <c r="X1070" i="1"/>
  <c r="AB1069" i="1"/>
  <c r="AA1069" i="1"/>
  <c r="Z1069" i="1"/>
  <c r="Y1069" i="1"/>
  <c r="X1069" i="1"/>
  <c r="AA1068" i="1"/>
  <c r="AB1068" i="1" s="1"/>
  <c r="Z1068" i="1"/>
  <c r="Y1068" i="1"/>
  <c r="X1068" i="1"/>
  <c r="AA1067" i="1"/>
  <c r="AB1067" i="1" s="1"/>
  <c r="Z1067" i="1"/>
  <c r="Y1067" i="1"/>
  <c r="X1067" i="1"/>
  <c r="AB1066" i="1"/>
  <c r="AA1066" i="1"/>
  <c r="Z1066" i="1"/>
  <c r="Y1066" i="1"/>
  <c r="X1066" i="1"/>
  <c r="AB1065" i="1"/>
  <c r="AA1065" i="1"/>
  <c r="Z1065" i="1"/>
  <c r="Y1065" i="1"/>
  <c r="X1065" i="1"/>
  <c r="AA1064" i="1"/>
  <c r="AB1064" i="1" s="1"/>
  <c r="Z1064" i="1"/>
  <c r="Y1064" i="1"/>
  <c r="X1064" i="1"/>
  <c r="AA1063" i="1"/>
  <c r="AB1063" i="1" s="1"/>
  <c r="Z1063" i="1"/>
  <c r="Y1063" i="1"/>
  <c r="X1063" i="1"/>
  <c r="AA1062" i="1"/>
  <c r="AB1062" i="1" s="1"/>
  <c r="Z1062" i="1"/>
  <c r="Y1062" i="1"/>
  <c r="X1062" i="1"/>
  <c r="AB1061" i="1"/>
  <c r="AA1061" i="1"/>
  <c r="Z1061" i="1"/>
  <c r="Y1061" i="1"/>
  <c r="X1061" i="1"/>
  <c r="AA1060" i="1"/>
  <c r="AB1060" i="1" s="1"/>
  <c r="Z1060" i="1"/>
  <c r="Y1060" i="1"/>
  <c r="X1060" i="1"/>
  <c r="AB1059" i="1"/>
  <c r="AA1059" i="1"/>
  <c r="Z1059" i="1"/>
  <c r="Y1059" i="1"/>
  <c r="X1059" i="1"/>
  <c r="AA1058" i="1"/>
  <c r="AB1058" i="1" s="1"/>
  <c r="Z1058" i="1"/>
  <c r="Y1058" i="1"/>
  <c r="X1058" i="1"/>
  <c r="AB1057" i="1"/>
  <c r="AA1057" i="1"/>
  <c r="Z1057" i="1"/>
  <c r="Y1057" i="1"/>
  <c r="X1057" i="1"/>
  <c r="AA1056" i="1"/>
  <c r="AB1056" i="1" s="1"/>
  <c r="Z1056" i="1"/>
  <c r="Y1056" i="1"/>
  <c r="X1056" i="1"/>
  <c r="AB1055" i="1"/>
  <c r="AA1055" i="1"/>
  <c r="Z1055" i="1"/>
  <c r="Y1055" i="1"/>
  <c r="X1055" i="1"/>
  <c r="AB1054" i="1"/>
  <c r="AA1054" i="1"/>
  <c r="Z1054" i="1"/>
  <c r="Y1054" i="1"/>
  <c r="X1054" i="1"/>
  <c r="AB1053" i="1"/>
  <c r="AA1053" i="1"/>
  <c r="Z1053" i="1"/>
  <c r="Y1053" i="1"/>
  <c r="X1053" i="1"/>
  <c r="AA1052" i="1"/>
  <c r="AB1052" i="1" s="1"/>
  <c r="Z1052" i="1"/>
  <c r="Y1052" i="1"/>
  <c r="X1052" i="1"/>
  <c r="AA1051" i="1"/>
  <c r="AB1051" i="1" s="1"/>
  <c r="Z1051" i="1"/>
  <c r="Y1051" i="1"/>
  <c r="X1051" i="1"/>
  <c r="AB1050" i="1"/>
  <c r="AA1050" i="1"/>
  <c r="Z1050" i="1"/>
  <c r="Y1050" i="1"/>
  <c r="X1050" i="1"/>
  <c r="AB1049" i="1"/>
  <c r="AA1049" i="1"/>
  <c r="Z1049" i="1"/>
  <c r="Y1049" i="1"/>
  <c r="X1049" i="1"/>
  <c r="AA1048" i="1"/>
  <c r="AB1048" i="1" s="1"/>
  <c r="Z1048" i="1"/>
  <c r="Y1048" i="1"/>
  <c r="X1048" i="1"/>
  <c r="AA1047" i="1"/>
  <c r="AB1047" i="1" s="1"/>
  <c r="Z1047" i="1"/>
  <c r="Y1047" i="1"/>
  <c r="X1047" i="1"/>
  <c r="AA1046" i="1"/>
  <c r="AB1046" i="1" s="1"/>
  <c r="Z1046" i="1"/>
  <c r="Y1046" i="1"/>
  <c r="X1046" i="1"/>
  <c r="AB1045" i="1"/>
  <c r="AA1045" i="1"/>
  <c r="Z1045" i="1"/>
  <c r="Y1045" i="1"/>
  <c r="X1045" i="1"/>
  <c r="AA1044" i="1"/>
  <c r="AB1044" i="1" s="1"/>
  <c r="Z1044" i="1"/>
  <c r="Y1044" i="1"/>
  <c r="X1044" i="1"/>
  <c r="AB1043" i="1"/>
  <c r="AA1043" i="1"/>
  <c r="Z1043" i="1"/>
  <c r="Y1043" i="1"/>
  <c r="X1043" i="1"/>
  <c r="AA1042" i="1"/>
  <c r="AB1042" i="1" s="1"/>
  <c r="Z1042" i="1"/>
  <c r="Y1042" i="1"/>
  <c r="X1042" i="1"/>
  <c r="AB1041" i="1"/>
  <c r="AA1041" i="1"/>
  <c r="Z1041" i="1"/>
  <c r="Y1041" i="1"/>
  <c r="X1041" i="1"/>
  <c r="AA1040" i="1"/>
  <c r="AB1040" i="1" s="1"/>
  <c r="Z1040" i="1"/>
  <c r="Y1040" i="1"/>
  <c r="X1040" i="1"/>
  <c r="AB1039" i="1"/>
  <c r="AA1039" i="1"/>
  <c r="Z1039" i="1"/>
  <c r="Y1039" i="1"/>
  <c r="X1039" i="1"/>
  <c r="AB1038" i="1"/>
  <c r="AA1038" i="1"/>
  <c r="Z1038" i="1"/>
  <c r="Y1038" i="1"/>
  <c r="X1038" i="1"/>
  <c r="AB1037" i="1"/>
  <c r="AA1037" i="1"/>
  <c r="Z1037" i="1"/>
  <c r="Y1037" i="1"/>
  <c r="X1037" i="1"/>
  <c r="AA1036" i="1"/>
  <c r="AB1036" i="1" s="1"/>
  <c r="Z1036" i="1"/>
  <c r="Y1036" i="1"/>
  <c r="X1036" i="1"/>
  <c r="AA1035" i="1"/>
  <c r="AB1035" i="1" s="1"/>
  <c r="Z1035" i="1"/>
  <c r="Y1035" i="1"/>
  <c r="X1035" i="1"/>
  <c r="AB1034" i="1"/>
  <c r="AA1034" i="1"/>
  <c r="Z1034" i="1"/>
  <c r="Y1034" i="1"/>
  <c r="X1034" i="1"/>
  <c r="AB1033" i="1"/>
  <c r="AA1033" i="1"/>
  <c r="Z1033" i="1"/>
  <c r="Y1033" i="1"/>
  <c r="X1033" i="1"/>
  <c r="AA1032" i="1"/>
  <c r="AB1032" i="1" s="1"/>
  <c r="Z1032" i="1"/>
  <c r="Y1032" i="1"/>
  <c r="X1032" i="1"/>
  <c r="AA1031" i="1"/>
  <c r="AB1031" i="1" s="1"/>
  <c r="Z1031" i="1"/>
  <c r="Y1031" i="1"/>
  <c r="X1031" i="1"/>
  <c r="AA1030" i="1"/>
  <c r="AB1030" i="1" s="1"/>
  <c r="Z1030" i="1"/>
  <c r="Y1030" i="1"/>
  <c r="X1030" i="1"/>
  <c r="AB1029" i="1"/>
  <c r="AA1029" i="1"/>
  <c r="Z1029" i="1"/>
  <c r="Y1029" i="1"/>
  <c r="X1029" i="1"/>
  <c r="AA1028" i="1"/>
  <c r="AB1028" i="1" s="1"/>
  <c r="Z1028" i="1"/>
  <c r="Y1028" i="1"/>
  <c r="X1028" i="1"/>
  <c r="AB1027" i="1"/>
  <c r="AA1027" i="1"/>
  <c r="Z1027" i="1"/>
  <c r="Y1027" i="1"/>
  <c r="X1027" i="1"/>
  <c r="AA1026" i="1"/>
  <c r="AB1026" i="1" s="1"/>
  <c r="Z1026" i="1"/>
  <c r="Y1026" i="1"/>
  <c r="X1026" i="1"/>
  <c r="AB1025" i="1"/>
  <c r="AA1025" i="1"/>
  <c r="Z1025" i="1"/>
  <c r="Y1025" i="1"/>
  <c r="X1025" i="1"/>
  <c r="AA1024" i="1"/>
  <c r="AB1024" i="1" s="1"/>
  <c r="Z1024" i="1"/>
  <c r="Y1024" i="1"/>
  <c r="X1024" i="1"/>
  <c r="AB1023" i="1"/>
  <c r="AA1023" i="1"/>
  <c r="Z1023" i="1"/>
  <c r="Y1023" i="1"/>
  <c r="X1023" i="1"/>
  <c r="AB1022" i="1"/>
  <c r="AA1022" i="1"/>
  <c r="Z1022" i="1"/>
  <c r="Y1022" i="1"/>
  <c r="X1022" i="1"/>
  <c r="AB1021" i="1"/>
  <c r="AA1021" i="1"/>
  <c r="Z1021" i="1"/>
  <c r="Y1021" i="1"/>
  <c r="X1021" i="1"/>
  <c r="AA1020" i="1"/>
  <c r="AB1020" i="1" s="1"/>
  <c r="Z1020" i="1"/>
  <c r="Y1020" i="1"/>
  <c r="X1020" i="1"/>
  <c r="AA1019" i="1"/>
  <c r="AB1019" i="1" s="1"/>
  <c r="Z1019" i="1"/>
  <c r="Y1019" i="1"/>
  <c r="X1019" i="1"/>
  <c r="AB1018" i="1"/>
  <c r="AA1018" i="1"/>
  <c r="Z1018" i="1"/>
  <c r="Y1018" i="1"/>
  <c r="X1018" i="1"/>
  <c r="AB1017" i="1"/>
  <c r="AA1017" i="1"/>
  <c r="Z1017" i="1"/>
  <c r="Y1017" i="1"/>
  <c r="X1017" i="1"/>
  <c r="AA1016" i="1"/>
  <c r="AB1016" i="1" s="1"/>
  <c r="Z1016" i="1"/>
  <c r="Y1016" i="1"/>
  <c r="X1016" i="1"/>
  <c r="AA1015" i="1"/>
  <c r="AB1015" i="1" s="1"/>
  <c r="Z1015" i="1"/>
  <c r="Y1015" i="1"/>
  <c r="X1015" i="1"/>
  <c r="AB1014" i="1"/>
  <c r="AA1014" i="1"/>
  <c r="Z1014" i="1"/>
  <c r="Y1014" i="1"/>
  <c r="X1014" i="1"/>
  <c r="AA1013" i="1"/>
  <c r="AB1013" i="1" s="1"/>
  <c r="Z1013" i="1"/>
  <c r="Y1013" i="1"/>
  <c r="X1013" i="1"/>
  <c r="AA1012" i="1"/>
  <c r="AB1012" i="1" s="1"/>
  <c r="Z1012" i="1"/>
  <c r="Y1012" i="1"/>
  <c r="X1012" i="1"/>
  <c r="AA1011" i="1"/>
  <c r="AB1011" i="1" s="1"/>
  <c r="Z1011" i="1"/>
  <c r="Y1011" i="1"/>
  <c r="X1011" i="1"/>
  <c r="AB1010" i="1"/>
  <c r="AA1010" i="1"/>
  <c r="Z1010" i="1"/>
  <c r="Y1010" i="1"/>
  <c r="X1010" i="1"/>
  <c r="AA1009" i="1"/>
  <c r="AB1009" i="1" s="1"/>
  <c r="Z1009" i="1"/>
  <c r="Y1009" i="1"/>
  <c r="X1009" i="1"/>
  <c r="AA1008" i="1"/>
  <c r="AB1008" i="1" s="1"/>
  <c r="Z1008" i="1"/>
  <c r="Y1008" i="1"/>
  <c r="X1008" i="1"/>
  <c r="AA1007" i="1"/>
  <c r="AB1007" i="1" s="1"/>
  <c r="Z1007" i="1"/>
  <c r="Y1007" i="1"/>
  <c r="X1007" i="1"/>
  <c r="AB1006" i="1"/>
  <c r="AA1006" i="1"/>
  <c r="Z1006" i="1"/>
  <c r="Y1006" i="1"/>
  <c r="X1006" i="1"/>
  <c r="AA1005" i="1"/>
  <c r="AB1005" i="1" s="1"/>
  <c r="Z1005" i="1"/>
  <c r="Y1005" i="1"/>
  <c r="X1005" i="1"/>
  <c r="AA1004" i="1"/>
  <c r="AB1004" i="1" s="1"/>
  <c r="Z1004" i="1"/>
  <c r="Y1004" i="1"/>
  <c r="X1004" i="1"/>
  <c r="AA1003" i="1"/>
  <c r="AB1003" i="1" s="1"/>
  <c r="Z1003" i="1"/>
  <c r="Y1003" i="1"/>
  <c r="X1003" i="1"/>
  <c r="AB1002" i="1"/>
  <c r="AA1002" i="1"/>
  <c r="Z1002" i="1"/>
  <c r="Y1002" i="1"/>
  <c r="X1002" i="1"/>
  <c r="AA1001" i="1"/>
  <c r="AB1001" i="1" s="1"/>
  <c r="Z1001" i="1"/>
  <c r="Y1001" i="1"/>
  <c r="X1001" i="1"/>
  <c r="AA1000" i="1"/>
  <c r="AB1000" i="1" s="1"/>
  <c r="Z1000" i="1"/>
  <c r="Y1000" i="1"/>
  <c r="X1000" i="1"/>
  <c r="AA999" i="1"/>
  <c r="AB999" i="1" s="1"/>
  <c r="Z999" i="1"/>
  <c r="Y999" i="1"/>
  <c r="X999" i="1"/>
  <c r="AB998" i="1"/>
  <c r="AA998" i="1"/>
  <c r="Z998" i="1"/>
  <c r="Y998" i="1"/>
  <c r="X998" i="1"/>
  <c r="AA997" i="1"/>
  <c r="AB997" i="1" s="1"/>
  <c r="Z997" i="1"/>
  <c r="Y997" i="1"/>
  <c r="X997" i="1"/>
  <c r="AA996" i="1"/>
  <c r="AB996" i="1" s="1"/>
  <c r="Z996" i="1"/>
  <c r="Y996" i="1"/>
  <c r="X996" i="1"/>
  <c r="AA995" i="1"/>
  <c r="AB995" i="1" s="1"/>
  <c r="Z995" i="1"/>
  <c r="Y995" i="1"/>
  <c r="X995" i="1"/>
  <c r="AB994" i="1"/>
  <c r="AA994" i="1"/>
  <c r="Z994" i="1"/>
  <c r="Y994" i="1"/>
  <c r="X994" i="1"/>
  <c r="AA993" i="1"/>
  <c r="AB993" i="1" s="1"/>
  <c r="Z993" i="1"/>
  <c r="Y993" i="1"/>
  <c r="X993" i="1"/>
  <c r="AA992" i="1"/>
  <c r="AB992" i="1" s="1"/>
  <c r="Z992" i="1"/>
  <c r="Y992" i="1"/>
  <c r="X992" i="1"/>
  <c r="AA991" i="1"/>
  <c r="AB991" i="1" s="1"/>
  <c r="Z991" i="1"/>
  <c r="Y991" i="1"/>
  <c r="X991" i="1"/>
  <c r="AB990" i="1"/>
  <c r="AA990" i="1"/>
  <c r="Z990" i="1"/>
  <c r="Y990" i="1"/>
  <c r="X990" i="1"/>
  <c r="AA989" i="1"/>
  <c r="AB989" i="1" s="1"/>
  <c r="Z989" i="1"/>
  <c r="Y989" i="1"/>
  <c r="X989" i="1"/>
  <c r="AA988" i="1"/>
  <c r="AB988" i="1" s="1"/>
  <c r="Z988" i="1"/>
  <c r="Y988" i="1"/>
  <c r="X988" i="1"/>
  <c r="AA987" i="1"/>
  <c r="AB987" i="1" s="1"/>
  <c r="Z987" i="1"/>
  <c r="Y987" i="1"/>
  <c r="X987" i="1"/>
  <c r="AB986" i="1"/>
  <c r="AA986" i="1"/>
  <c r="Z986" i="1"/>
  <c r="Y986" i="1"/>
  <c r="X986" i="1"/>
  <c r="AA985" i="1"/>
  <c r="AB985" i="1" s="1"/>
  <c r="Z985" i="1"/>
  <c r="Y985" i="1"/>
  <c r="X985" i="1"/>
  <c r="AA984" i="1"/>
  <c r="AB984" i="1" s="1"/>
  <c r="Z984" i="1"/>
  <c r="Y984" i="1"/>
  <c r="X984" i="1"/>
  <c r="AA983" i="1"/>
  <c r="AB983" i="1" s="1"/>
  <c r="Z983" i="1"/>
  <c r="Y983" i="1"/>
  <c r="X983" i="1"/>
  <c r="AB982" i="1"/>
  <c r="AA982" i="1"/>
  <c r="Z982" i="1"/>
  <c r="Y982" i="1"/>
  <c r="X982" i="1"/>
  <c r="AA981" i="1"/>
  <c r="AB981" i="1" s="1"/>
  <c r="Z981" i="1"/>
  <c r="Y981" i="1"/>
  <c r="X981" i="1"/>
  <c r="AA980" i="1"/>
  <c r="AB980" i="1" s="1"/>
  <c r="Z980" i="1"/>
  <c r="Y980" i="1"/>
  <c r="X980" i="1"/>
  <c r="AA979" i="1"/>
  <c r="AB979" i="1" s="1"/>
  <c r="Z979" i="1"/>
  <c r="Y979" i="1"/>
  <c r="X979" i="1"/>
  <c r="AB978" i="1"/>
  <c r="AA978" i="1"/>
  <c r="Z978" i="1"/>
  <c r="Y978" i="1"/>
  <c r="X978" i="1"/>
  <c r="AA977" i="1"/>
  <c r="AB977" i="1" s="1"/>
  <c r="Z977" i="1"/>
  <c r="Y977" i="1"/>
  <c r="X977" i="1"/>
  <c r="AA976" i="1"/>
  <c r="AB976" i="1" s="1"/>
  <c r="Z976" i="1"/>
  <c r="Y976" i="1"/>
  <c r="X976" i="1"/>
  <c r="AA975" i="1"/>
  <c r="AB975" i="1" s="1"/>
  <c r="Z975" i="1"/>
  <c r="Y975" i="1"/>
  <c r="X975" i="1"/>
  <c r="AB974" i="1"/>
  <c r="AA974" i="1"/>
  <c r="Z974" i="1"/>
  <c r="Y974" i="1"/>
  <c r="X974" i="1"/>
  <c r="AA973" i="1"/>
  <c r="AB973" i="1" s="1"/>
  <c r="Z973" i="1"/>
  <c r="Y973" i="1"/>
  <c r="X973" i="1"/>
  <c r="AA972" i="1"/>
  <c r="AB972" i="1" s="1"/>
  <c r="Z972" i="1"/>
  <c r="Y972" i="1"/>
  <c r="X972" i="1"/>
  <c r="AA971" i="1"/>
  <c r="AB971" i="1" s="1"/>
  <c r="Z971" i="1"/>
  <c r="Y971" i="1"/>
  <c r="X971" i="1"/>
  <c r="AB970" i="1"/>
  <c r="AA970" i="1"/>
  <c r="Z970" i="1"/>
  <c r="Y970" i="1"/>
  <c r="X970" i="1"/>
  <c r="AA969" i="1"/>
  <c r="AB969" i="1" s="1"/>
  <c r="Z969" i="1"/>
  <c r="Y969" i="1"/>
  <c r="X969" i="1"/>
  <c r="AA968" i="1"/>
  <c r="AB968" i="1" s="1"/>
  <c r="Z968" i="1"/>
  <c r="Y968" i="1"/>
  <c r="X968" i="1"/>
  <c r="AA967" i="1"/>
  <c r="AB967" i="1" s="1"/>
  <c r="Z967" i="1"/>
  <c r="Y967" i="1"/>
  <c r="X967" i="1"/>
  <c r="AB966" i="1"/>
  <c r="AA966" i="1"/>
  <c r="Z966" i="1"/>
  <c r="Y966" i="1"/>
  <c r="X966" i="1"/>
  <c r="AA965" i="1"/>
  <c r="AB965" i="1" s="1"/>
  <c r="Z965" i="1"/>
  <c r="Y965" i="1"/>
  <c r="X965" i="1"/>
  <c r="AA964" i="1"/>
  <c r="AB964" i="1" s="1"/>
  <c r="Z964" i="1"/>
  <c r="Y964" i="1"/>
  <c r="X964" i="1"/>
  <c r="AA963" i="1"/>
  <c r="AB963" i="1" s="1"/>
  <c r="Z963" i="1"/>
  <c r="Y963" i="1"/>
  <c r="X963" i="1"/>
  <c r="AB962" i="1"/>
  <c r="AA962" i="1"/>
  <c r="Z962" i="1"/>
  <c r="Y962" i="1"/>
  <c r="X962" i="1"/>
  <c r="AA961" i="1"/>
  <c r="AB961" i="1" s="1"/>
  <c r="Z961" i="1"/>
  <c r="Y961" i="1"/>
  <c r="X961" i="1"/>
  <c r="AA960" i="1"/>
  <c r="AB960" i="1" s="1"/>
  <c r="Z960" i="1"/>
  <c r="Y960" i="1"/>
  <c r="X960" i="1"/>
  <c r="AA959" i="1"/>
  <c r="AB959" i="1" s="1"/>
  <c r="Z959" i="1"/>
  <c r="Y959" i="1"/>
  <c r="X959" i="1"/>
  <c r="AB958" i="1"/>
  <c r="AA958" i="1"/>
  <c r="Z958" i="1"/>
  <c r="Y958" i="1"/>
  <c r="X958" i="1"/>
  <c r="AA957" i="1"/>
  <c r="AB957" i="1" s="1"/>
  <c r="Z957" i="1"/>
  <c r="Y957" i="1"/>
  <c r="X957" i="1"/>
  <c r="AA956" i="1"/>
  <c r="AB956" i="1" s="1"/>
  <c r="Z956" i="1"/>
  <c r="Y956" i="1"/>
  <c r="X956" i="1"/>
  <c r="AA955" i="1"/>
  <c r="AB955" i="1" s="1"/>
  <c r="Z955" i="1"/>
  <c r="Y955" i="1"/>
  <c r="X955" i="1"/>
  <c r="AB954" i="1"/>
  <c r="AA954" i="1"/>
  <c r="Z954" i="1"/>
  <c r="Y954" i="1"/>
  <c r="X954" i="1"/>
  <c r="AA953" i="1"/>
  <c r="AB953" i="1" s="1"/>
  <c r="Z953" i="1"/>
  <c r="Y953" i="1"/>
  <c r="X953" i="1"/>
  <c r="AA952" i="1"/>
  <c r="AB952" i="1" s="1"/>
  <c r="Z952" i="1"/>
  <c r="Y952" i="1"/>
  <c r="X952" i="1"/>
  <c r="AA951" i="1"/>
  <c r="AB951" i="1" s="1"/>
  <c r="Z951" i="1"/>
  <c r="Y951" i="1"/>
  <c r="X951" i="1"/>
  <c r="AB950" i="1"/>
  <c r="AA950" i="1"/>
  <c r="Z950" i="1"/>
  <c r="Y950" i="1"/>
  <c r="X950" i="1"/>
  <c r="AA949" i="1"/>
  <c r="AB949" i="1" s="1"/>
  <c r="Z949" i="1"/>
  <c r="Y949" i="1"/>
  <c r="X949" i="1"/>
  <c r="AA948" i="1"/>
  <c r="AB948" i="1" s="1"/>
  <c r="Z948" i="1"/>
  <c r="Y948" i="1"/>
  <c r="X948" i="1"/>
  <c r="AA947" i="1"/>
  <c r="AB947" i="1" s="1"/>
  <c r="Z947" i="1"/>
  <c r="Y947" i="1"/>
  <c r="X947" i="1"/>
  <c r="AB946" i="1"/>
  <c r="AA946" i="1"/>
  <c r="Z946" i="1"/>
  <c r="Y946" i="1"/>
  <c r="X946" i="1"/>
  <c r="AA945" i="1"/>
  <c r="AB945" i="1" s="1"/>
  <c r="Z945" i="1"/>
  <c r="Y945" i="1"/>
  <c r="X945" i="1"/>
  <c r="AA944" i="1"/>
  <c r="AB944" i="1" s="1"/>
  <c r="Z944" i="1"/>
  <c r="Y944" i="1"/>
  <c r="X944" i="1"/>
  <c r="AA943" i="1"/>
  <c r="AB943" i="1" s="1"/>
  <c r="Z943" i="1"/>
  <c r="Y943" i="1"/>
  <c r="X943" i="1"/>
  <c r="AB942" i="1"/>
  <c r="AA942" i="1"/>
  <c r="Z942" i="1"/>
  <c r="Y942" i="1"/>
  <c r="X942" i="1"/>
  <c r="AA941" i="1"/>
  <c r="AB941" i="1" s="1"/>
  <c r="Z941" i="1"/>
  <c r="Y941" i="1"/>
  <c r="X941" i="1"/>
  <c r="AA940" i="1"/>
  <c r="AB940" i="1" s="1"/>
  <c r="Z940" i="1"/>
  <c r="Y940" i="1"/>
  <c r="X940" i="1"/>
  <c r="AA939" i="1"/>
  <c r="AB939" i="1" s="1"/>
  <c r="Z939" i="1"/>
  <c r="Y939" i="1"/>
  <c r="X939" i="1"/>
  <c r="AB938" i="1"/>
  <c r="AA938" i="1"/>
  <c r="Z938" i="1"/>
  <c r="Y938" i="1"/>
  <c r="X938" i="1"/>
  <c r="AA937" i="1"/>
  <c r="AB937" i="1" s="1"/>
  <c r="Z937" i="1"/>
  <c r="Y937" i="1"/>
  <c r="X937" i="1"/>
  <c r="AA936" i="1"/>
  <c r="AB936" i="1" s="1"/>
  <c r="Z936" i="1"/>
  <c r="Y936" i="1"/>
  <c r="X936" i="1"/>
  <c r="AA935" i="1"/>
  <c r="AB935" i="1" s="1"/>
  <c r="Z935" i="1"/>
  <c r="Y935" i="1"/>
  <c r="X935" i="1"/>
  <c r="AB934" i="1"/>
  <c r="AA934" i="1"/>
  <c r="Z934" i="1"/>
  <c r="Y934" i="1"/>
  <c r="X934" i="1"/>
  <c r="AA933" i="1"/>
  <c r="AB933" i="1" s="1"/>
  <c r="Z933" i="1"/>
  <c r="Y933" i="1"/>
  <c r="X933" i="1"/>
  <c r="AA932" i="1"/>
  <c r="AB932" i="1" s="1"/>
  <c r="Z932" i="1"/>
  <c r="Y932" i="1"/>
  <c r="X932" i="1"/>
  <c r="AA931" i="1"/>
  <c r="AB931" i="1" s="1"/>
  <c r="Z931" i="1"/>
  <c r="Y931" i="1"/>
  <c r="X931" i="1"/>
  <c r="AB930" i="1"/>
  <c r="AA930" i="1"/>
  <c r="Z930" i="1"/>
  <c r="Y930" i="1"/>
  <c r="X930" i="1"/>
  <c r="AA929" i="1"/>
  <c r="AB929" i="1" s="1"/>
  <c r="Z929" i="1"/>
  <c r="Y929" i="1"/>
  <c r="X929" i="1"/>
  <c r="AA928" i="1"/>
  <c r="AB928" i="1" s="1"/>
  <c r="Z928" i="1"/>
  <c r="Y928" i="1"/>
  <c r="X928" i="1"/>
  <c r="AA927" i="1"/>
  <c r="AB927" i="1" s="1"/>
  <c r="Z927" i="1"/>
  <c r="Y927" i="1"/>
  <c r="X927" i="1"/>
  <c r="AB926" i="1"/>
  <c r="AA926" i="1"/>
  <c r="Z926" i="1"/>
  <c r="Y926" i="1"/>
  <c r="X926" i="1"/>
  <c r="AA925" i="1"/>
  <c r="AB925" i="1" s="1"/>
  <c r="Z925" i="1"/>
  <c r="Y925" i="1"/>
  <c r="X925" i="1"/>
  <c r="AA924" i="1"/>
  <c r="AB924" i="1" s="1"/>
  <c r="Z924" i="1"/>
  <c r="Y924" i="1"/>
  <c r="X924" i="1"/>
  <c r="AA923" i="1"/>
  <c r="AB923" i="1" s="1"/>
  <c r="Z923" i="1"/>
  <c r="Y923" i="1"/>
  <c r="X923" i="1"/>
  <c r="AB922" i="1"/>
  <c r="AA922" i="1"/>
  <c r="Z922" i="1"/>
  <c r="Y922" i="1"/>
  <c r="X922" i="1"/>
  <c r="AA921" i="1"/>
  <c r="AB921" i="1" s="1"/>
  <c r="Z921" i="1"/>
  <c r="Y921" i="1"/>
  <c r="X921" i="1"/>
  <c r="AA920" i="1"/>
  <c r="AB920" i="1" s="1"/>
  <c r="Z920" i="1"/>
  <c r="Y920" i="1"/>
  <c r="X920" i="1"/>
  <c r="AA919" i="1"/>
  <c r="AB919" i="1" s="1"/>
  <c r="Z919" i="1"/>
  <c r="Y919" i="1"/>
  <c r="X919" i="1"/>
  <c r="AB918" i="1"/>
  <c r="AA918" i="1"/>
  <c r="Z918" i="1"/>
  <c r="Y918" i="1"/>
  <c r="X918" i="1"/>
  <c r="AA917" i="1"/>
  <c r="AB917" i="1" s="1"/>
  <c r="Z917" i="1"/>
  <c r="Y917" i="1"/>
  <c r="X917" i="1"/>
  <c r="AA916" i="1"/>
  <c r="AB916" i="1" s="1"/>
  <c r="Z916" i="1"/>
  <c r="Y916" i="1"/>
  <c r="X916" i="1"/>
  <c r="AA915" i="1"/>
  <c r="AB915" i="1" s="1"/>
  <c r="Z915" i="1"/>
  <c r="Y915" i="1"/>
  <c r="X915" i="1"/>
  <c r="AB914" i="1"/>
  <c r="AA914" i="1"/>
  <c r="Z914" i="1"/>
  <c r="Y914" i="1"/>
  <c r="X914" i="1"/>
  <c r="AA913" i="1"/>
  <c r="AB913" i="1" s="1"/>
  <c r="Z913" i="1"/>
  <c r="Y913" i="1"/>
  <c r="X913" i="1"/>
  <c r="AA912" i="1"/>
  <c r="AB912" i="1" s="1"/>
  <c r="Z912" i="1"/>
  <c r="Y912" i="1"/>
  <c r="X912" i="1"/>
  <c r="AA911" i="1"/>
  <c r="AB911" i="1" s="1"/>
  <c r="Z911" i="1"/>
  <c r="Y911" i="1"/>
  <c r="X911" i="1"/>
  <c r="AB910" i="1"/>
  <c r="AA910" i="1"/>
  <c r="Z910" i="1"/>
  <c r="Y910" i="1"/>
  <c r="X910" i="1"/>
  <c r="AA909" i="1"/>
  <c r="AB909" i="1" s="1"/>
  <c r="Z909" i="1"/>
  <c r="Y909" i="1"/>
  <c r="X909" i="1"/>
  <c r="AA908" i="1"/>
  <c r="AB908" i="1" s="1"/>
  <c r="Z908" i="1"/>
  <c r="Y908" i="1"/>
  <c r="X908" i="1"/>
  <c r="AA907" i="1"/>
  <c r="AB907" i="1" s="1"/>
  <c r="Z907" i="1"/>
  <c r="Y907" i="1"/>
  <c r="X907" i="1"/>
  <c r="AB906" i="1"/>
  <c r="AA906" i="1"/>
  <c r="Z906" i="1"/>
  <c r="Y906" i="1"/>
  <c r="X906" i="1"/>
  <c r="AA905" i="1"/>
  <c r="AB905" i="1" s="1"/>
  <c r="Z905" i="1"/>
  <c r="Y905" i="1"/>
  <c r="X905" i="1"/>
  <c r="AA904" i="1"/>
  <c r="AB904" i="1" s="1"/>
  <c r="Z904" i="1"/>
  <c r="Y904" i="1"/>
  <c r="X904" i="1"/>
  <c r="AA903" i="1"/>
  <c r="AB903" i="1" s="1"/>
  <c r="Z903" i="1"/>
  <c r="Y903" i="1"/>
  <c r="X903" i="1"/>
  <c r="AB902" i="1"/>
  <c r="AA902" i="1"/>
  <c r="Z902" i="1"/>
  <c r="Y902" i="1"/>
  <c r="X902" i="1"/>
  <c r="AA901" i="1"/>
  <c r="AB901" i="1" s="1"/>
  <c r="Z901" i="1"/>
  <c r="Y901" i="1"/>
  <c r="X901" i="1"/>
  <c r="AA900" i="1"/>
  <c r="AB900" i="1" s="1"/>
  <c r="Z900" i="1"/>
  <c r="Y900" i="1"/>
  <c r="X900" i="1"/>
  <c r="AA899" i="1"/>
  <c r="AB899" i="1" s="1"/>
  <c r="Z899" i="1"/>
  <c r="Y899" i="1"/>
  <c r="X899" i="1"/>
  <c r="AB898" i="1"/>
  <c r="AA898" i="1"/>
  <c r="Z898" i="1"/>
  <c r="Y898" i="1"/>
  <c r="X898" i="1"/>
  <c r="AA897" i="1"/>
  <c r="AB897" i="1" s="1"/>
  <c r="Z897" i="1"/>
  <c r="Y897" i="1"/>
  <c r="X897" i="1"/>
  <c r="AA896" i="1"/>
  <c r="AB896" i="1" s="1"/>
  <c r="Z896" i="1"/>
  <c r="Y896" i="1"/>
  <c r="X896" i="1"/>
  <c r="AA895" i="1"/>
  <c r="AB895" i="1" s="1"/>
  <c r="Z895" i="1"/>
  <c r="Y895" i="1"/>
  <c r="X895" i="1"/>
  <c r="AB894" i="1"/>
  <c r="AA894" i="1"/>
  <c r="Z894" i="1"/>
  <c r="Y894" i="1"/>
  <c r="X894" i="1"/>
  <c r="AA893" i="1"/>
  <c r="AB893" i="1" s="1"/>
  <c r="Z893" i="1"/>
  <c r="Y893" i="1"/>
  <c r="X893" i="1"/>
  <c r="AA892" i="1"/>
  <c r="AB892" i="1" s="1"/>
  <c r="Z892" i="1"/>
  <c r="Y892" i="1"/>
  <c r="X892" i="1"/>
  <c r="AA891" i="1"/>
  <c r="AB891" i="1" s="1"/>
  <c r="Z891" i="1"/>
  <c r="Y891" i="1"/>
  <c r="X891" i="1"/>
  <c r="AB890" i="1"/>
  <c r="AA890" i="1"/>
  <c r="Z890" i="1"/>
  <c r="Y890" i="1"/>
  <c r="X890" i="1"/>
  <c r="AA889" i="1"/>
  <c r="AB889" i="1" s="1"/>
  <c r="Z889" i="1"/>
  <c r="Y889" i="1"/>
  <c r="X889" i="1"/>
  <c r="AA888" i="1"/>
  <c r="AB888" i="1" s="1"/>
  <c r="Z888" i="1"/>
  <c r="Y888" i="1"/>
  <c r="X888" i="1"/>
  <c r="AA887" i="1"/>
  <c r="AB887" i="1" s="1"/>
  <c r="Z887" i="1"/>
  <c r="Y887" i="1"/>
  <c r="X887" i="1"/>
  <c r="AB886" i="1"/>
  <c r="AA886" i="1"/>
  <c r="Z886" i="1"/>
  <c r="Y886" i="1"/>
  <c r="X886" i="1"/>
  <c r="AA885" i="1"/>
  <c r="AB885" i="1" s="1"/>
  <c r="Z885" i="1"/>
  <c r="Y885" i="1"/>
  <c r="X885" i="1"/>
  <c r="AA884" i="1"/>
  <c r="AB884" i="1" s="1"/>
  <c r="Z884" i="1"/>
  <c r="Y884" i="1"/>
  <c r="X884" i="1"/>
  <c r="AA883" i="1"/>
  <c r="AB883" i="1" s="1"/>
  <c r="Z883" i="1"/>
  <c r="Y883" i="1"/>
  <c r="X883" i="1"/>
  <c r="AB882" i="1"/>
  <c r="AA882" i="1"/>
  <c r="Z882" i="1"/>
  <c r="Y882" i="1"/>
  <c r="X882" i="1"/>
  <c r="AA881" i="1"/>
  <c r="AB881" i="1" s="1"/>
  <c r="Z881" i="1"/>
  <c r="Y881" i="1"/>
  <c r="X881" i="1"/>
  <c r="AA880" i="1"/>
  <c r="AB880" i="1" s="1"/>
  <c r="Z880" i="1"/>
  <c r="Y880" i="1"/>
  <c r="X880" i="1"/>
  <c r="AA879" i="1"/>
  <c r="AB879" i="1" s="1"/>
  <c r="Z879" i="1"/>
  <c r="Y879" i="1"/>
  <c r="X879" i="1"/>
  <c r="AB878" i="1"/>
  <c r="AA878" i="1"/>
  <c r="Z878" i="1"/>
  <c r="Y878" i="1"/>
  <c r="X878" i="1"/>
  <c r="AA877" i="1"/>
  <c r="AB877" i="1" s="1"/>
  <c r="Z877" i="1"/>
  <c r="Y877" i="1"/>
  <c r="X877" i="1"/>
  <c r="AA876" i="1"/>
  <c r="AB876" i="1" s="1"/>
  <c r="Z876" i="1"/>
  <c r="Y876" i="1"/>
  <c r="X876" i="1"/>
  <c r="AA875" i="1"/>
  <c r="AB875" i="1" s="1"/>
  <c r="Z875" i="1"/>
  <c r="Y875" i="1"/>
  <c r="X875" i="1"/>
  <c r="AB874" i="1"/>
  <c r="AA874" i="1"/>
  <c r="Z874" i="1"/>
  <c r="Y874" i="1"/>
  <c r="X874" i="1"/>
  <c r="AA873" i="1"/>
  <c r="AB873" i="1" s="1"/>
  <c r="Z873" i="1"/>
  <c r="Y873" i="1"/>
  <c r="X873" i="1"/>
  <c r="AA872" i="1"/>
  <c r="AB872" i="1" s="1"/>
  <c r="Z872" i="1"/>
  <c r="Y872" i="1"/>
  <c r="X872" i="1"/>
  <c r="AA871" i="1"/>
  <c r="AB871" i="1" s="1"/>
  <c r="Z871" i="1"/>
  <c r="Y871" i="1"/>
  <c r="X871" i="1"/>
  <c r="AB870" i="1"/>
  <c r="AA870" i="1"/>
  <c r="Z870" i="1"/>
  <c r="Y870" i="1"/>
  <c r="X870" i="1"/>
  <c r="AA869" i="1"/>
  <c r="AB869" i="1" s="1"/>
  <c r="Z869" i="1"/>
  <c r="Y869" i="1"/>
  <c r="X869" i="1"/>
  <c r="AA868" i="1"/>
  <c r="AB868" i="1" s="1"/>
  <c r="Z868" i="1"/>
  <c r="Y868" i="1"/>
  <c r="X868" i="1"/>
  <c r="AA867" i="1"/>
  <c r="AB867" i="1" s="1"/>
  <c r="Z867" i="1"/>
  <c r="Y867" i="1"/>
  <c r="X867" i="1"/>
  <c r="AB866" i="1"/>
  <c r="AA866" i="1"/>
  <c r="Z866" i="1"/>
  <c r="Y866" i="1"/>
  <c r="X866" i="1"/>
  <c r="AA865" i="1"/>
  <c r="AB865" i="1" s="1"/>
  <c r="Z865" i="1"/>
  <c r="Y865" i="1"/>
  <c r="X865" i="1"/>
  <c r="AA864" i="1"/>
  <c r="AB864" i="1" s="1"/>
  <c r="Z864" i="1"/>
  <c r="Y864" i="1"/>
  <c r="X864" i="1"/>
  <c r="AA863" i="1"/>
  <c r="AB863" i="1" s="1"/>
  <c r="Z863" i="1"/>
  <c r="Y863" i="1"/>
  <c r="X863" i="1"/>
  <c r="AB862" i="1"/>
  <c r="AA862" i="1"/>
  <c r="Z862" i="1"/>
  <c r="Y862" i="1"/>
  <c r="X862" i="1"/>
  <c r="AA861" i="1"/>
  <c r="AB861" i="1" s="1"/>
  <c r="Z861" i="1"/>
  <c r="Y861" i="1"/>
  <c r="X861" i="1"/>
  <c r="AA860" i="1"/>
  <c r="AB860" i="1" s="1"/>
  <c r="Z860" i="1"/>
  <c r="Y860" i="1"/>
  <c r="X860" i="1"/>
  <c r="AA859" i="1"/>
  <c r="AB859" i="1" s="1"/>
  <c r="Z859" i="1"/>
  <c r="Y859" i="1"/>
  <c r="X859" i="1"/>
  <c r="AB858" i="1"/>
  <c r="AA858" i="1"/>
  <c r="Z858" i="1"/>
  <c r="Y858" i="1"/>
  <c r="X858" i="1"/>
  <c r="AA857" i="1"/>
  <c r="AB857" i="1" s="1"/>
  <c r="Z857" i="1"/>
  <c r="Y857" i="1"/>
  <c r="X857" i="1"/>
  <c r="AA856" i="1"/>
  <c r="AB856" i="1" s="1"/>
  <c r="Z856" i="1"/>
  <c r="Y856" i="1"/>
  <c r="X856" i="1"/>
  <c r="AA855" i="1"/>
  <c r="AB855" i="1" s="1"/>
  <c r="Z855" i="1"/>
  <c r="Y855" i="1"/>
  <c r="X855" i="1"/>
  <c r="AB854" i="1"/>
  <c r="AA854" i="1"/>
  <c r="Z854" i="1"/>
  <c r="Y854" i="1"/>
  <c r="X854" i="1"/>
  <c r="AA853" i="1"/>
  <c r="AB853" i="1" s="1"/>
  <c r="Z853" i="1"/>
  <c r="Y853" i="1"/>
  <c r="X853" i="1"/>
  <c r="AA852" i="1"/>
  <c r="AB852" i="1" s="1"/>
  <c r="Z852" i="1"/>
  <c r="Y852" i="1"/>
  <c r="X852" i="1"/>
  <c r="AA851" i="1"/>
  <c r="AB851" i="1" s="1"/>
  <c r="Z851" i="1"/>
  <c r="Y851" i="1"/>
  <c r="X851" i="1"/>
  <c r="AB850" i="1"/>
  <c r="AA850" i="1"/>
  <c r="Z850" i="1"/>
  <c r="Y850" i="1"/>
  <c r="X850" i="1"/>
  <c r="AA849" i="1"/>
  <c r="AB849" i="1" s="1"/>
  <c r="Z849" i="1"/>
  <c r="Y849" i="1"/>
  <c r="X849" i="1"/>
  <c r="AA848" i="1"/>
  <c r="AB848" i="1" s="1"/>
  <c r="Z848" i="1"/>
  <c r="Y848" i="1"/>
  <c r="X848" i="1"/>
  <c r="AA847" i="1"/>
  <c r="AB847" i="1" s="1"/>
  <c r="Z847" i="1"/>
  <c r="Y847" i="1"/>
  <c r="X847" i="1"/>
  <c r="AB846" i="1"/>
  <c r="AA846" i="1"/>
  <c r="Z846" i="1"/>
  <c r="Y846" i="1"/>
  <c r="X846" i="1"/>
  <c r="AA845" i="1"/>
  <c r="AB845" i="1" s="1"/>
  <c r="Z845" i="1"/>
  <c r="Y845" i="1"/>
  <c r="X845" i="1"/>
  <c r="AA844" i="1"/>
  <c r="AB844" i="1" s="1"/>
  <c r="Z844" i="1"/>
  <c r="Y844" i="1"/>
  <c r="X844" i="1"/>
  <c r="AA843" i="1"/>
  <c r="AB843" i="1" s="1"/>
  <c r="Z843" i="1"/>
  <c r="Y843" i="1"/>
  <c r="X843" i="1"/>
  <c r="AB842" i="1"/>
  <c r="AA842" i="1"/>
  <c r="Z842" i="1"/>
  <c r="Y842" i="1"/>
  <c r="X842" i="1"/>
  <c r="AA841" i="1"/>
  <c r="AB841" i="1" s="1"/>
  <c r="Z841" i="1"/>
  <c r="Y841" i="1"/>
  <c r="X841" i="1"/>
  <c r="AA840" i="1"/>
  <c r="AB840" i="1" s="1"/>
  <c r="Z840" i="1"/>
  <c r="Y840" i="1"/>
  <c r="X840" i="1"/>
  <c r="AA839" i="1"/>
  <c r="AB839" i="1" s="1"/>
  <c r="Z839" i="1"/>
  <c r="Y839" i="1"/>
  <c r="X839" i="1"/>
  <c r="AB838" i="1"/>
  <c r="AA838" i="1"/>
  <c r="Z838" i="1"/>
  <c r="Y838" i="1"/>
  <c r="X838" i="1"/>
  <c r="AA837" i="1"/>
  <c r="AB837" i="1" s="1"/>
  <c r="Z837" i="1"/>
  <c r="Y837" i="1"/>
  <c r="X837" i="1"/>
  <c r="AA836" i="1"/>
  <c r="AB836" i="1" s="1"/>
  <c r="Z836" i="1"/>
  <c r="Y836" i="1"/>
  <c r="X836" i="1"/>
  <c r="AA835" i="1"/>
  <c r="AB835" i="1" s="1"/>
  <c r="Z835" i="1"/>
  <c r="Y835" i="1"/>
  <c r="X835" i="1"/>
  <c r="AB834" i="1"/>
  <c r="AA834" i="1"/>
  <c r="Z834" i="1"/>
  <c r="Y834" i="1"/>
  <c r="X834" i="1"/>
  <c r="AA833" i="1"/>
  <c r="AB833" i="1" s="1"/>
  <c r="Z833" i="1"/>
  <c r="Y833" i="1"/>
  <c r="X833" i="1"/>
  <c r="AA832" i="1"/>
  <c r="AB832" i="1" s="1"/>
  <c r="Z832" i="1"/>
  <c r="Y832" i="1"/>
  <c r="X832" i="1"/>
  <c r="AA831" i="1"/>
  <c r="AB831" i="1" s="1"/>
  <c r="Z831" i="1"/>
  <c r="Y831" i="1"/>
  <c r="X831" i="1"/>
  <c r="AB830" i="1"/>
  <c r="AA830" i="1"/>
  <c r="Z830" i="1"/>
  <c r="Y830" i="1"/>
  <c r="X830" i="1"/>
  <c r="AA829" i="1"/>
  <c r="AB829" i="1" s="1"/>
  <c r="Z829" i="1"/>
  <c r="Y829" i="1"/>
  <c r="X829" i="1"/>
  <c r="AA828" i="1"/>
  <c r="AB828" i="1" s="1"/>
  <c r="Z828" i="1"/>
  <c r="Y828" i="1"/>
  <c r="X828" i="1"/>
  <c r="AA827" i="1"/>
  <c r="AB827" i="1" s="1"/>
  <c r="Z827" i="1"/>
  <c r="Y827" i="1"/>
  <c r="X827" i="1"/>
  <c r="AB826" i="1"/>
  <c r="AA826" i="1"/>
  <c r="Z826" i="1"/>
  <c r="Y826" i="1"/>
  <c r="X826" i="1"/>
  <c r="AA825" i="1"/>
  <c r="AB825" i="1" s="1"/>
  <c r="Z825" i="1"/>
  <c r="Y825" i="1"/>
  <c r="X825" i="1"/>
  <c r="AA824" i="1"/>
  <c r="AB824" i="1" s="1"/>
  <c r="Z824" i="1"/>
  <c r="Y824" i="1"/>
  <c r="X824" i="1"/>
  <c r="AA823" i="1"/>
  <c r="AB823" i="1" s="1"/>
  <c r="Z823" i="1"/>
  <c r="Y823" i="1"/>
  <c r="X823" i="1"/>
  <c r="AB822" i="1"/>
  <c r="AA822" i="1"/>
  <c r="Z822" i="1"/>
  <c r="Y822" i="1"/>
  <c r="X822" i="1"/>
  <c r="AA821" i="1"/>
  <c r="AB821" i="1" s="1"/>
  <c r="Z821" i="1"/>
  <c r="Y821" i="1"/>
  <c r="X821" i="1"/>
  <c r="AA820" i="1"/>
  <c r="AB820" i="1" s="1"/>
  <c r="Z820" i="1"/>
  <c r="Y820" i="1"/>
  <c r="X820" i="1"/>
  <c r="AA819" i="1"/>
  <c r="AB819" i="1" s="1"/>
  <c r="Z819" i="1"/>
  <c r="Y819" i="1"/>
  <c r="X819" i="1"/>
  <c r="AB818" i="1"/>
  <c r="AA818" i="1"/>
  <c r="Z818" i="1"/>
  <c r="Y818" i="1"/>
  <c r="X818" i="1"/>
  <c r="AA817" i="1"/>
  <c r="AB817" i="1" s="1"/>
  <c r="Z817" i="1"/>
  <c r="Y817" i="1"/>
  <c r="X817" i="1"/>
  <c r="AA816" i="1"/>
  <c r="AB816" i="1" s="1"/>
  <c r="Z816" i="1"/>
  <c r="Y816" i="1"/>
  <c r="X816" i="1"/>
  <c r="AA815" i="1"/>
  <c r="AB815" i="1" s="1"/>
  <c r="Z815" i="1"/>
  <c r="Y815" i="1"/>
  <c r="X815" i="1"/>
  <c r="AB814" i="1"/>
  <c r="AA814" i="1"/>
  <c r="Z814" i="1"/>
  <c r="Y814" i="1"/>
  <c r="X814" i="1"/>
  <c r="AA813" i="1"/>
  <c r="AB813" i="1" s="1"/>
  <c r="Z813" i="1"/>
  <c r="Y813" i="1"/>
  <c r="X813" i="1"/>
  <c r="AA812" i="1"/>
  <c r="AB812" i="1" s="1"/>
  <c r="Z812" i="1"/>
  <c r="Y812" i="1"/>
  <c r="X812" i="1"/>
  <c r="AA811" i="1"/>
  <c r="AB811" i="1" s="1"/>
  <c r="Z811" i="1"/>
  <c r="Y811" i="1"/>
  <c r="X811" i="1"/>
  <c r="AB810" i="1"/>
  <c r="AA810" i="1"/>
  <c r="Z810" i="1"/>
  <c r="Y810" i="1"/>
  <c r="X810" i="1"/>
  <c r="AA809" i="1"/>
  <c r="AB809" i="1" s="1"/>
  <c r="Z809" i="1"/>
  <c r="Y809" i="1"/>
  <c r="X809" i="1"/>
  <c r="AA808" i="1"/>
  <c r="AB808" i="1" s="1"/>
  <c r="Z808" i="1"/>
  <c r="Y808" i="1"/>
  <c r="X808" i="1"/>
  <c r="AA807" i="1"/>
  <c r="AB807" i="1" s="1"/>
  <c r="Z807" i="1"/>
  <c r="Y807" i="1"/>
  <c r="X807" i="1"/>
  <c r="AB806" i="1"/>
  <c r="AA806" i="1"/>
  <c r="Z806" i="1"/>
  <c r="Y806" i="1"/>
  <c r="X806" i="1"/>
  <c r="AA805" i="1"/>
  <c r="AB805" i="1" s="1"/>
  <c r="Z805" i="1"/>
  <c r="Y805" i="1"/>
  <c r="X805" i="1"/>
  <c r="AA804" i="1"/>
  <c r="AB804" i="1" s="1"/>
  <c r="Z804" i="1"/>
  <c r="Y804" i="1"/>
  <c r="X804" i="1"/>
  <c r="AA803" i="1"/>
  <c r="AB803" i="1" s="1"/>
  <c r="Z803" i="1"/>
  <c r="Y803" i="1"/>
  <c r="X803" i="1"/>
  <c r="AB802" i="1"/>
  <c r="AA802" i="1"/>
  <c r="Z802" i="1"/>
  <c r="Y802" i="1"/>
  <c r="X802" i="1"/>
  <c r="AA801" i="1"/>
  <c r="AB801" i="1" s="1"/>
  <c r="Z801" i="1"/>
  <c r="Y801" i="1"/>
  <c r="X801" i="1"/>
  <c r="AA800" i="1"/>
  <c r="AB800" i="1" s="1"/>
  <c r="Z800" i="1"/>
  <c r="Y800" i="1"/>
  <c r="X800" i="1"/>
  <c r="AA799" i="1"/>
  <c r="AB799" i="1" s="1"/>
  <c r="Z799" i="1"/>
  <c r="Y799" i="1"/>
  <c r="X799" i="1"/>
  <c r="AB798" i="1"/>
  <c r="AA798" i="1"/>
  <c r="Z798" i="1"/>
  <c r="Y798" i="1"/>
  <c r="X798" i="1"/>
  <c r="AA797" i="1"/>
  <c r="AB797" i="1" s="1"/>
  <c r="Z797" i="1"/>
  <c r="Y797" i="1"/>
  <c r="X797" i="1"/>
  <c r="AA796" i="1"/>
  <c r="AB796" i="1" s="1"/>
  <c r="Z796" i="1"/>
  <c r="Y796" i="1"/>
  <c r="X796" i="1"/>
  <c r="AB795" i="1"/>
  <c r="AA795" i="1"/>
  <c r="Z795" i="1"/>
  <c r="Y795" i="1"/>
  <c r="X795" i="1"/>
  <c r="AB794" i="1"/>
  <c r="AA794" i="1"/>
  <c r="Z794" i="1"/>
  <c r="Y794" i="1"/>
  <c r="X794" i="1"/>
  <c r="AA793" i="1"/>
  <c r="AB793" i="1" s="1"/>
  <c r="Z793" i="1"/>
  <c r="Y793" i="1"/>
  <c r="X793" i="1"/>
  <c r="AB792" i="1"/>
  <c r="AA792" i="1"/>
  <c r="Z792" i="1"/>
  <c r="Y792" i="1"/>
  <c r="X792" i="1"/>
  <c r="AA791" i="1"/>
  <c r="AB791" i="1" s="1"/>
  <c r="Z791" i="1"/>
  <c r="Y791" i="1"/>
  <c r="X791" i="1"/>
  <c r="AB790" i="1"/>
  <c r="AA790" i="1"/>
  <c r="Z790" i="1"/>
  <c r="Y790" i="1"/>
  <c r="X790" i="1"/>
  <c r="AA789" i="1"/>
  <c r="AB789" i="1" s="1"/>
  <c r="Z789" i="1"/>
  <c r="Y789" i="1"/>
  <c r="X789" i="1"/>
  <c r="AA788" i="1"/>
  <c r="AB788" i="1" s="1"/>
  <c r="Z788" i="1"/>
  <c r="Y788" i="1"/>
  <c r="X788" i="1"/>
  <c r="AB787" i="1"/>
  <c r="AA787" i="1"/>
  <c r="Z787" i="1"/>
  <c r="Y787" i="1"/>
  <c r="X787" i="1"/>
  <c r="AA786" i="1"/>
  <c r="AB786" i="1" s="1"/>
  <c r="Z786" i="1"/>
  <c r="Y786" i="1"/>
  <c r="X786" i="1"/>
  <c r="AB785" i="1"/>
  <c r="AA785" i="1"/>
  <c r="Z785" i="1"/>
  <c r="Y785" i="1"/>
  <c r="X785" i="1"/>
  <c r="AA784" i="1"/>
  <c r="AB784" i="1" s="1"/>
  <c r="Z784" i="1"/>
  <c r="Y784" i="1"/>
  <c r="X784" i="1"/>
  <c r="AB783" i="1"/>
  <c r="AA783" i="1"/>
  <c r="Z783" i="1"/>
  <c r="Y783" i="1"/>
  <c r="X783" i="1"/>
  <c r="AA782" i="1"/>
  <c r="AB782" i="1" s="1"/>
  <c r="Z782" i="1"/>
  <c r="Y782" i="1"/>
  <c r="X782" i="1"/>
  <c r="AB781" i="1"/>
  <c r="AA781" i="1"/>
  <c r="Z781" i="1"/>
  <c r="Y781" i="1"/>
  <c r="X781" i="1"/>
  <c r="AA780" i="1"/>
  <c r="AB780" i="1" s="1"/>
  <c r="Z780" i="1"/>
  <c r="Y780" i="1"/>
  <c r="X780" i="1"/>
  <c r="AB779" i="1"/>
  <c r="AA779" i="1"/>
  <c r="Z779" i="1"/>
  <c r="Y779" i="1"/>
  <c r="X779" i="1"/>
  <c r="AA778" i="1"/>
  <c r="AB778" i="1" s="1"/>
  <c r="Z778" i="1"/>
  <c r="Y778" i="1"/>
  <c r="X778" i="1"/>
  <c r="AB777" i="1"/>
  <c r="AA777" i="1"/>
  <c r="Z777" i="1"/>
  <c r="Y777" i="1"/>
  <c r="X777" i="1"/>
  <c r="AA776" i="1"/>
  <c r="AB776" i="1" s="1"/>
  <c r="Z776" i="1"/>
  <c r="Y776" i="1"/>
  <c r="X776" i="1"/>
  <c r="AB775" i="1"/>
  <c r="AA775" i="1"/>
  <c r="Z775" i="1"/>
  <c r="Y775" i="1"/>
  <c r="X775" i="1"/>
  <c r="AA774" i="1"/>
  <c r="AB774" i="1" s="1"/>
  <c r="Z774" i="1"/>
  <c r="Y774" i="1"/>
  <c r="X774" i="1"/>
  <c r="AB773" i="1"/>
  <c r="AA773" i="1"/>
  <c r="Z773" i="1"/>
  <c r="Y773" i="1"/>
  <c r="X773" i="1"/>
  <c r="AA772" i="1"/>
  <c r="AB772" i="1" s="1"/>
  <c r="Z772" i="1"/>
  <c r="Y772" i="1"/>
  <c r="X772" i="1"/>
  <c r="AB771" i="1"/>
  <c r="AA771" i="1"/>
  <c r="Z771" i="1"/>
  <c r="Y771" i="1"/>
  <c r="X771" i="1"/>
  <c r="AA770" i="1"/>
  <c r="AB770" i="1" s="1"/>
  <c r="Z770" i="1"/>
  <c r="Y770" i="1"/>
  <c r="X770" i="1"/>
  <c r="AB769" i="1"/>
  <c r="AA769" i="1"/>
  <c r="Z769" i="1"/>
  <c r="Y769" i="1"/>
  <c r="X769" i="1"/>
  <c r="AA768" i="1"/>
  <c r="AB768" i="1" s="1"/>
  <c r="Z768" i="1"/>
  <c r="Y768" i="1"/>
  <c r="X768" i="1"/>
  <c r="AB767" i="1"/>
  <c r="AA767" i="1"/>
  <c r="Z767" i="1"/>
  <c r="Y767" i="1"/>
  <c r="X767" i="1"/>
  <c r="AA766" i="1"/>
  <c r="AB766" i="1" s="1"/>
  <c r="Z766" i="1"/>
  <c r="Y766" i="1"/>
  <c r="X766" i="1"/>
  <c r="AB765" i="1"/>
  <c r="AA765" i="1"/>
  <c r="Z765" i="1"/>
  <c r="Y765" i="1"/>
  <c r="X765" i="1"/>
  <c r="AA764" i="1"/>
  <c r="AB764" i="1" s="1"/>
  <c r="Z764" i="1"/>
  <c r="Y764" i="1"/>
  <c r="X764" i="1"/>
  <c r="AB763" i="1"/>
  <c r="AA763" i="1"/>
  <c r="Z763" i="1"/>
  <c r="Y763" i="1"/>
  <c r="X763" i="1"/>
  <c r="AA762" i="1"/>
  <c r="AB762" i="1" s="1"/>
  <c r="Z762" i="1"/>
  <c r="Y762" i="1"/>
  <c r="X762" i="1"/>
  <c r="AB761" i="1"/>
  <c r="AA761" i="1"/>
  <c r="Z761" i="1"/>
  <c r="Y761" i="1"/>
  <c r="X761" i="1"/>
  <c r="AA760" i="1"/>
  <c r="AB760" i="1" s="1"/>
  <c r="Z760" i="1"/>
  <c r="Y760" i="1"/>
  <c r="X760" i="1"/>
  <c r="AB759" i="1"/>
  <c r="AA759" i="1"/>
  <c r="Z759" i="1"/>
  <c r="Y759" i="1"/>
  <c r="X759" i="1"/>
  <c r="AA758" i="1"/>
  <c r="AB758" i="1" s="1"/>
  <c r="Z758" i="1"/>
  <c r="Y758" i="1"/>
  <c r="X758" i="1"/>
  <c r="AB757" i="1"/>
  <c r="AA757" i="1"/>
  <c r="Z757" i="1"/>
  <c r="Y757" i="1"/>
  <c r="X757" i="1"/>
  <c r="AA756" i="1"/>
  <c r="AB756" i="1" s="1"/>
  <c r="Z756" i="1"/>
  <c r="Y756" i="1"/>
  <c r="X756" i="1"/>
  <c r="AB755" i="1"/>
  <c r="AA755" i="1"/>
  <c r="Z755" i="1"/>
  <c r="Y755" i="1"/>
  <c r="X755" i="1"/>
  <c r="AA754" i="1"/>
  <c r="AB754" i="1" s="1"/>
  <c r="Z754" i="1"/>
  <c r="Y754" i="1"/>
  <c r="X754" i="1"/>
  <c r="AB753" i="1"/>
  <c r="AA753" i="1"/>
  <c r="Z753" i="1"/>
  <c r="O30" i="3" s="1"/>
  <c r="Y753" i="1"/>
  <c r="X753" i="1"/>
  <c r="AA752" i="1"/>
  <c r="AB752" i="1" s="1"/>
  <c r="Z752" i="1"/>
  <c r="Y752" i="1"/>
  <c r="X752" i="1"/>
  <c r="AB751" i="1"/>
  <c r="AA751" i="1"/>
  <c r="Z751" i="1"/>
  <c r="Y751" i="1"/>
  <c r="X751" i="1"/>
  <c r="AA750" i="1"/>
  <c r="AB750" i="1" s="1"/>
  <c r="Z750" i="1"/>
  <c r="Y750" i="1"/>
  <c r="X750" i="1"/>
  <c r="AB749" i="1"/>
  <c r="AA749" i="1"/>
  <c r="Z749" i="1"/>
  <c r="Y749" i="1"/>
  <c r="X749" i="1"/>
  <c r="AA748" i="1"/>
  <c r="AB748" i="1" s="1"/>
  <c r="Z748" i="1"/>
  <c r="Y748" i="1"/>
  <c r="X748" i="1"/>
  <c r="AB747" i="1"/>
  <c r="AA747" i="1"/>
  <c r="Z747" i="1"/>
  <c r="Y747" i="1"/>
  <c r="X747" i="1"/>
  <c r="AA746" i="1"/>
  <c r="AB746" i="1" s="1"/>
  <c r="Z746" i="1"/>
  <c r="Y746" i="1"/>
  <c r="X746" i="1"/>
  <c r="AB745" i="1"/>
  <c r="AA745" i="1"/>
  <c r="Z745" i="1"/>
  <c r="Y745" i="1"/>
  <c r="X745" i="1"/>
  <c r="AA744" i="1"/>
  <c r="AB744" i="1" s="1"/>
  <c r="Z744" i="1"/>
  <c r="Y744" i="1"/>
  <c r="X744" i="1"/>
  <c r="AB743" i="1"/>
  <c r="AA743" i="1"/>
  <c r="Z743" i="1"/>
  <c r="Y743" i="1"/>
  <c r="X743" i="1"/>
  <c r="AA742" i="1"/>
  <c r="AB742" i="1" s="1"/>
  <c r="Z742" i="1"/>
  <c r="Y742" i="1"/>
  <c r="X742" i="1"/>
  <c r="AB741" i="1"/>
  <c r="AA741" i="1"/>
  <c r="Z741" i="1"/>
  <c r="Y741" i="1"/>
  <c r="X741" i="1"/>
  <c r="AA740" i="1"/>
  <c r="AB740" i="1" s="1"/>
  <c r="Z740" i="1"/>
  <c r="Y740" i="1"/>
  <c r="X740" i="1"/>
  <c r="AB739" i="1"/>
  <c r="AA739" i="1"/>
  <c r="Z739" i="1"/>
  <c r="Y739" i="1"/>
  <c r="X739" i="1"/>
  <c r="AA738" i="1"/>
  <c r="AB738" i="1" s="1"/>
  <c r="Z738" i="1"/>
  <c r="Y738" i="1"/>
  <c r="X738" i="1"/>
  <c r="AB737" i="1"/>
  <c r="AA737" i="1"/>
  <c r="Z737" i="1"/>
  <c r="Y737" i="1"/>
  <c r="X737" i="1"/>
  <c r="AA736" i="1"/>
  <c r="AB736" i="1" s="1"/>
  <c r="Z736" i="1"/>
  <c r="Y736" i="1"/>
  <c r="X736" i="1"/>
  <c r="AB735" i="1"/>
  <c r="AA735" i="1"/>
  <c r="Z735" i="1"/>
  <c r="Y735" i="1"/>
  <c r="X735" i="1"/>
  <c r="AA734" i="1"/>
  <c r="AB734" i="1" s="1"/>
  <c r="Z734" i="1"/>
  <c r="Y734" i="1"/>
  <c r="X734" i="1"/>
  <c r="AB733" i="1"/>
  <c r="AA733" i="1"/>
  <c r="Z733" i="1"/>
  <c r="Y733" i="1"/>
  <c r="X733" i="1"/>
  <c r="AA732" i="1"/>
  <c r="AB732" i="1" s="1"/>
  <c r="Z732" i="1"/>
  <c r="Y732" i="1"/>
  <c r="X732" i="1"/>
  <c r="AB731" i="1"/>
  <c r="AA731" i="1"/>
  <c r="Z731" i="1"/>
  <c r="Y731" i="1"/>
  <c r="X731" i="1"/>
  <c r="AA730" i="1"/>
  <c r="AB730" i="1" s="1"/>
  <c r="Z730" i="1"/>
  <c r="Y730" i="1"/>
  <c r="X730" i="1"/>
  <c r="AB729" i="1"/>
  <c r="AA729" i="1"/>
  <c r="Z729" i="1"/>
  <c r="Y729" i="1"/>
  <c r="X729" i="1"/>
  <c r="AA728" i="1"/>
  <c r="AB728" i="1" s="1"/>
  <c r="Z728" i="1"/>
  <c r="Y728" i="1"/>
  <c r="X728" i="1"/>
  <c r="AB727" i="1"/>
  <c r="AA727" i="1"/>
  <c r="Z727" i="1"/>
  <c r="Y727" i="1"/>
  <c r="X727" i="1"/>
  <c r="AA726" i="1"/>
  <c r="AB726" i="1" s="1"/>
  <c r="Z726" i="1"/>
  <c r="Y726" i="1"/>
  <c r="X726" i="1"/>
  <c r="AB725" i="1"/>
  <c r="AA725" i="1"/>
  <c r="Z725" i="1"/>
  <c r="Y725" i="1"/>
  <c r="X725" i="1"/>
  <c r="AA724" i="1"/>
  <c r="AB724" i="1" s="1"/>
  <c r="Z724" i="1"/>
  <c r="Y724" i="1"/>
  <c r="X724" i="1"/>
  <c r="AB723" i="1"/>
  <c r="AA723" i="1"/>
  <c r="Z723" i="1"/>
  <c r="Y723" i="1"/>
  <c r="X723" i="1"/>
  <c r="AA722" i="1"/>
  <c r="AB722" i="1" s="1"/>
  <c r="Z722" i="1"/>
  <c r="Y722" i="1"/>
  <c r="X722" i="1"/>
  <c r="AB721" i="1"/>
  <c r="AA721" i="1"/>
  <c r="Z721" i="1"/>
  <c r="Y721" i="1"/>
  <c r="X721" i="1"/>
  <c r="AA720" i="1"/>
  <c r="AB720" i="1" s="1"/>
  <c r="Z720" i="1"/>
  <c r="Y720" i="1"/>
  <c r="X720" i="1"/>
  <c r="AB719" i="1"/>
  <c r="AA719" i="1"/>
  <c r="Z719" i="1"/>
  <c r="Y719" i="1"/>
  <c r="X719" i="1"/>
  <c r="AA718" i="1"/>
  <c r="AB718" i="1" s="1"/>
  <c r="Z718" i="1"/>
  <c r="Y718" i="1"/>
  <c r="X718" i="1"/>
  <c r="AB717" i="1"/>
  <c r="AA717" i="1"/>
  <c r="Z717" i="1"/>
  <c r="Y717" i="1"/>
  <c r="X717" i="1"/>
  <c r="AA716" i="1"/>
  <c r="AB716" i="1" s="1"/>
  <c r="Z716" i="1"/>
  <c r="Y716" i="1"/>
  <c r="X716" i="1"/>
  <c r="AB715" i="1"/>
  <c r="AA715" i="1"/>
  <c r="Z715" i="1"/>
  <c r="Y715" i="1"/>
  <c r="X715" i="1"/>
  <c r="AA714" i="1"/>
  <c r="AB714" i="1" s="1"/>
  <c r="Z714" i="1"/>
  <c r="Y714" i="1"/>
  <c r="X714" i="1"/>
  <c r="AB713" i="1"/>
  <c r="AA713" i="1"/>
  <c r="Z713" i="1"/>
  <c r="Y713" i="1"/>
  <c r="X713" i="1"/>
  <c r="AA712" i="1"/>
  <c r="AB712" i="1" s="1"/>
  <c r="Z712" i="1"/>
  <c r="Y712" i="1"/>
  <c r="X712" i="1"/>
  <c r="AB711" i="1"/>
  <c r="AA711" i="1"/>
  <c r="Z711" i="1"/>
  <c r="Y711" i="1"/>
  <c r="X711" i="1"/>
  <c r="AA710" i="1"/>
  <c r="AB710" i="1" s="1"/>
  <c r="Z710" i="1"/>
  <c r="Y710" i="1"/>
  <c r="X710" i="1"/>
  <c r="AB709" i="1"/>
  <c r="AA709" i="1"/>
  <c r="Z709" i="1"/>
  <c r="Y709" i="1"/>
  <c r="X709" i="1"/>
  <c r="AA708" i="1"/>
  <c r="AB708" i="1" s="1"/>
  <c r="Z708" i="1"/>
  <c r="Y708" i="1"/>
  <c r="X708" i="1"/>
  <c r="AB707" i="1"/>
  <c r="AA707" i="1"/>
  <c r="Z707" i="1"/>
  <c r="Y707" i="1"/>
  <c r="X707" i="1"/>
  <c r="AA706" i="1"/>
  <c r="AB706" i="1" s="1"/>
  <c r="Z706" i="1"/>
  <c r="Y706" i="1"/>
  <c r="X706" i="1"/>
  <c r="AB705" i="1"/>
  <c r="AA705" i="1"/>
  <c r="Z705" i="1"/>
  <c r="Y705" i="1"/>
  <c r="X705" i="1"/>
  <c r="AA704" i="1"/>
  <c r="AB704" i="1" s="1"/>
  <c r="Z704" i="1"/>
  <c r="Y704" i="1"/>
  <c r="X704" i="1"/>
  <c r="AB703" i="1"/>
  <c r="AA703" i="1"/>
  <c r="Z703" i="1"/>
  <c r="Y703" i="1"/>
  <c r="X703" i="1"/>
  <c r="AA702" i="1"/>
  <c r="AB702" i="1" s="1"/>
  <c r="Z702" i="1"/>
  <c r="Y702" i="1"/>
  <c r="X702" i="1"/>
  <c r="AB701" i="1"/>
  <c r="AA701" i="1"/>
  <c r="Z701" i="1"/>
  <c r="Y701" i="1"/>
  <c r="X701" i="1"/>
  <c r="AA700" i="1"/>
  <c r="AB700" i="1" s="1"/>
  <c r="Z700" i="1"/>
  <c r="Y700" i="1"/>
  <c r="X700" i="1"/>
  <c r="AB699" i="1"/>
  <c r="AA699" i="1"/>
  <c r="Z699" i="1"/>
  <c r="Y699" i="1"/>
  <c r="X699" i="1"/>
  <c r="AA698" i="1"/>
  <c r="AB698" i="1" s="1"/>
  <c r="Z698" i="1"/>
  <c r="Y698" i="1"/>
  <c r="X698" i="1"/>
  <c r="AB697" i="1"/>
  <c r="AA697" i="1"/>
  <c r="Z697" i="1"/>
  <c r="Y697" i="1"/>
  <c r="X697" i="1"/>
  <c r="AA696" i="1"/>
  <c r="AB696" i="1" s="1"/>
  <c r="Z696" i="1"/>
  <c r="Y696" i="1"/>
  <c r="X696" i="1"/>
  <c r="AB695" i="1"/>
  <c r="AA695" i="1"/>
  <c r="Z695" i="1"/>
  <c r="Y695" i="1"/>
  <c r="X695" i="1"/>
  <c r="AA694" i="1"/>
  <c r="AB694" i="1" s="1"/>
  <c r="Z694" i="1"/>
  <c r="Y694" i="1"/>
  <c r="X694" i="1"/>
  <c r="AB693" i="1"/>
  <c r="AA693" i="1"/>
  <c r="Z693" i="1"/>
  <c r="Y693" i="1"/>
  <c r="X693" i="1"/>
  <c r="AA692" i="1"/>
  <c r="AB692" i="1" s="1"/>
  <c r="Z692" i="1"/>
  <c r="Y692" i="1"/>
  <c r="X692" i="1"/>
  <c r="AB691" i="1"/>
  <c r="AA691" i="1"/>
  <c r="Z691" i="1"/>
  <c r="Y691" i="1"/>
  <c r="X691" i="1"/>
  <c r="AA690" i="1"/>
  <c r="AB690" i="1" s="1"/>
  <c r="Z690" i="1"/>
  <c r="Y690" i="1"/>
  <c r="X690" i="1"/>
  <c r="AB689" i="1"/>
  <c r="AA689" i="1"/>
  <c r="Z689" i="1"/>
  <c r="Y689" i="1"/>
  <c r="X689" i="1"/>
  <c r="AA688" i="1"/>
  <c r="AB688" i="1" s="1"/>
  <c r="Z688" i="1"/>
  <c r="Y688" i="1"/>
  <c r="X688" i="1"/>
  <c r="AB687" i="1"/>
  <c r="AA687" i="1"/>
  <c r="Z687" i="1"/>
  <c r="Y687" i="1"/>
  <c r="X687" i="1"/>
  <c r="AA686" i="1"/>
  <c r="AB686" i="1" s="1"/>
  <c r="Z686" i="1"/>
  <c r="Y686" i="1"/>
  <c r="X686" i="1"/>
  <c r="AB685" i="1"/>
  <c r="AA685" i="1"/>
  <c r="Z685" i="1"/>
  <c r="Y685" i="1"/>
  <c r="X685" i="1"/>
  <c r="AA684" i="1"/>
  <c r="AB684" i="1" s="1"/>
  <c r="Z684" i="1"/>
  <c r="Y684" i="1"/>
  <c r="X684" i="1"/>
  <c r="AB683" i="1"/>
  <c r="AA683" i="1"/>
  <c r="Z683" i="1"/>
  <c r="Y683" i="1"/>
  <c r="X683" i="1"/>
  <c r="AA682" i="1"/>
  <c r="AB682" i="1" s="1"/>
  <c r="Z682" i="1"/>
  <c r="Y682" i="1"/>
  <c r="X682" i="1"/>
  <c r="AB681" i="1"/>
  <c r="AA681" i="1"/>
  <c r="Z681" i="1"/>
  <c r="Y681" i="1"/>
  <c r="X681" i="1"/>
  <c r="AA680" i="1"/>
  <c r="AB680" i="1" s="1"/>
  <c r="Z680" i="1"/>
  <c r="Y680" i="1"/>
  <c r="X680" i="1"/>
  <c r="AB679" i="1"/>
  <c r="AA679" i="1"/>
  <c r="Z679" i="1"/>
  <c r="Y679" i="1"/>
  <c r="X679" i="1"/>
  <c r="AA678" i="1"/>
  <c r="AB678" i="1" s="1"/>
  <c r="Z678" i="1"/>
  <c r="Y678" i="1"/>
  <c r="X678" i="1"/>
  <c r="AB677" i="1"/>
  <c r="AA677" i="1"/>
  <c r="Z677" i="1"/>
  <c r="Y677" i="1"/>
  <c r="X677" i="1"/>
  <c r="AA676" i="1"/>
  <c r="AB676" i="1" s="1"/>
  <c r="Z676" i="1"/>
  <c r="Y676" i="1"/>
  <c r="X676" i="1"/>
  <c r="AB675" i="1"/>
  <c r="AA675" i="1"/>
  <c r="Z675" i="1"/>
  <c r="Y675" i="1"/>
  <c r="X675" i="1"/>
  <c r="AA674" i="1"/>
  <c r="AB674" i="1" s="1"/>
  <c r="Z674" i="1"/>
  <c r="Y674" i="1"/>
  <c r="X674" i="1"/>
  <c r="AB673" i="1"/>
  <c r="AA673" i="1"/>
  <c r="Z673" i="1"/>
  <c r="Y673" i="1"/>
  <c r="X673" i="1"/>
  <c r="AA672" i="1"/>
  <c r="AB672" i="1" s="1"/>
  <c r="Z672" i="1"/>
  <c r="Y672" i="1"/>
  <c r="X672" i="1"/>
  <c r="AB671" i="1"/>
  <c r="AA671" i="1"/>
  <c r="Z671" i="1"/>
  <c r="Y671" i="1"/>
  <c r="X671" i="1"/>
  <c r="AA670" i="1"/>
  <c r="AB670" i="1" s="1"/>
  <c r="Z670" i="1"/>
  <c r="Y670" i="1"/>
  <c r="X670" i="1"/>
  <c r="AB669" i="1"/>
  <c r="AA669" i="1"/>
  <c r="Z669" i="1"/>
  <c r="Y669" i="1"/>
  <c r="X669" i="1"/>
  <c r="AA668" i="1"/>
  <c r="AB668" i="1" s="1"/>
  <c r="Z668" i="1"/>
  <c r="Y668" i="1"/>
  <c r="X668" i="1"/>
  <c r="AB667" i="1"/>
  <c r="AA667" i="1"/>
  <c r="Z667" i="1"/>
  <c r="Y667" i="1"/>
  <c r="X667" i="1"/>
  <c r="AA666" i="1"/>
  <c r="AB666" i="1" s="1"/>
  <c r="Z666" i="1"/>
  <c r="Y666" i="1"/>
  <c r="X666" i="1"/>
  <c r="AB665" i="1"/>
  <c r="AA665" i="1"/>
  <c r="Z665" i="1"/>
  <c r="Y665" i="1"/>
  <c r="X665" i="1"/>
  <c r="AA664" i="1"/>
  <c r="AB664" i="1" s="1"/>
  <c r="Z664" i="1"/>
  <c r="Y664" i="1"/>
  <c r="X664" i="1"/>
  <c r="AB663" i="1"/>
  <c r="AA663" i="1"/>
  <c r="Z663" i="1"/>
  <c r="Y663" i="1"/>
  <c r="X663" i="1"/>
  <c r="AA662" i="1"/>
  <c r="AB662" i="1" s="1"/>
  <c r="Z662" i="1"/>
  <c r="Y662" i="1"/>
  <c r="X662" i="1"/>
  <c r="AB661" i="1"/>
  <c r="AA661" i="1"/>
  <c r="Z661" i="1"/>
  <c r="Y661" i="1"/>
  <c r="X661" i="1"/>
  <c r="AA660" i="1"/>
  <c r="AB660" i="1" s="1"/>
  <c r="Z660" i="1"/>
  <c r="Y660" i="1"/>
  <c r="X660" i="1"/>
  <c r="AB659" i="1"/>
  <c r="AA659" i="1"/>
  <c r="Z659" i="1"/>
  <c r="Y659" i="1"/>
  <c r="X659" i="1"/>
  <c r="AA658" i="1"/>
  <c r="AB658" i="1" s="1"/>
  <c r="Z658" i="1"/>
  <c r="Y658" i="1"/>
  <c r="X658" i="1"/>
  <c r="AB657" i="1"/>
  <c r="AA657" i="1"/>
  <c r="Z657" i="1"/>
  <c r="Y657" i="1"/>
  <c r="X657" i="1"/>
  <c r="AA656" i="1"/>
  <c r="AB656" i="1" s="1"/>
  <c r="Z656" i="1"/>
  <c r="Y656" i="1"/>
  <c r="X656" i="1"/>
  <c r="AB655" i="1"/>
  <c r="AA655" i="1"/>
  <c r="Z655" i="1"/>
  <c r="Y655" i="1"/>
  <c r="X655" i="1"/>
  <c r="AA654" i="1"/>
  <c r="AB654" i="1" s="1"/>
  <c r="Z654" i="1"/>
  <c r="Y654" i="1"/>
  <c r="X654" i="1"/>
  <c r="AB653" i="1"/>
  <c r="AA653" i="1"/>
  <c r="Z653" i="1"/>
  <c r="Y653" i="1"/>
  <c r="X653" i="1"/>
  <c r="AA652" i="1"/>
  <c r="AB652" i="1" s="1"/>
  <c r="Z652" i="1"/>
  <c r="Y652" i="1"/>
  <c r="X652" i="1"/>
  <c r="AB651" i="1"/>
  <c r="AA651" i="1"/>
  <c r="Z651" i="1"/>
  <c r="Y651" i="1"/>
  <c r="X651" i="1"/>
  <c r="AA650" i="1"/>
  <c r="AB650" i="1" s="1"/>
  <c r="Z650" i="1"/>
  <c r="Y650" i="1"/>
  <c r="X650" i="1"/>
  <c r="AB649" i="1"/>
  <c r="AA649" i="1"/>
  <c r="Z649" i="1"/>
  <c r="Y649" i="1"/>
  <c r="X649" i="1"/>
  <c r="AA648" i="1"/>
  <c r="AB648" i="1" s="1"/>
  <c r="Z648" i="1"/>
  <c r="Y648" i="1"/>
  <c r="X648" i="1"/>
  <c r="AB647" i="1"/>
  <c r="AA647" i="1"/>
  <c r="Z647" i="1"/>
  <c r="Y647" i="1"/>
  <c r="X647" i="1"/>
  <c r="AA646" i="1"/>
  <c r="AB646" i="1" s="1"/>
  <c r="Z646" i="1"/>
  <c r="Y646" i="1"/>
  <c r="X646" i="1"/>
  <c r="AB645" i="1"/>
  <c r="AA645" i="1"/>
  <c r="Z645" i="1"/>
  <c r="Y645" i="1"/>
  <c r="X645" i="1"/>
  <c r="AA644" i="1"/>
  <c r="AB644" i="1" s="1"/>
  <c r="Z644" i="1"/>
  <c r="Y644" i="1"/>
  <c r="X644" i="1"/>
  <c r="AB643" i="1"/>
  <c r="AA643" i="1"/>
  <c r="Z643" i="1"/>
  <c r="Y643" i="1"/>
  <c r="X643" i="1"/>
  <c r="AA642" i="1"/>
  <c r="AB642" i="1" s="1"/>
  <c r="Z642" i="1"/>
  <c r="Y642" i="1"/>
  <c r="X642" i="1"/>
  <c r="AB641" i="1"/>
  <c r="AA641" i="1"/>
  <c r="Z641" i="1"/>
  <c r="Y641" i="1"/>
  <c r="X641" i="1"/>
  <c r="AA640" i="1"/>
  <c r="AB640" i="1" s="1"/>
  <c r="Z640" i="1"/>
  <c r="Y640" i="1"/>
  <c r="X640" i="1"/>
  <c r="AB639" i="1"/>
  <c r="AA639" i="1"/>
  <c r="Z639" i="1"/>
  <c r="Y639" i="1"/>
  <c r="X639" i="1"/>
  <c r="AA638" i="1"/>
  <c r="AB638" i="1" s="1"/>
  <c r="Z638" i="1"/>
  <c r="Y638" i="1"/>
  <c r="X638" i="1"/>
  <c r="AB637" i="1"/>
  <c r="AA637" i="1"/>
  <c r="Z637" i="1"/>
  <c r="Y637" i="1"/>
  <c r="X637" i="1"/>
  <c r="AA636" i="1"/>
  <c r="AB636" i="1" s="1"/>
  <c r="Z636" i="1"/>
  <c r="Y636" i="1"/>
  <c r="X636" i="1"/>
  <c r="AB635" i="1"/>
  <c r="AA635" i="1"/>
  <c r="Z635" i="1"/>
  <c r="Y635" i="1"/>
  <c r="X635" i="1"/>
  <c r="AA634" i="1"/>
  <c r="AB634" i="1" s="1"/>
  <c r="Z634" i="1"/>
  <c r="Y634" i="1"/>
  <c r="X634" i="1"/>
  <c r="AB633" i="1"/>
  <c r="AA633" i="1"/>
  <c r="Z633" i="1"/>
  <c r="Y633" i="1"/>
  <c r="X633" i="1"/>
  <c r="AA632" i="1"/>
  <c r="AB632" i="1" s="1"/>
  <c r="Z632" i="1"/>
  <c r="Y632" i="1"/>
  <c r="X632" i="1"/>
  <c r="AB631" i="1"/>
  <c r="AA631" i="1"/>
  <c r="Z631" i="1"/>
  <c r="Y631" i="1"/>
  <c r="X631" i="1"/>
  <c r="AA630" i="1"/>
  <c r="AB630" i="1" s="1"/>
  <c r="Z630" i="1"/>
  <c r="Y630" i="1"/>
  <c r="X630" i="1"/>
  <c r="AB629" i="1"/>
  <c r="AA629" i="1"/>
  <c r="Z629" i="1"/>
  <c r="Y629" i="1"/>
  <c r="X629" i="1"/>
  <c r="AA628" i="1"/>
  <c r="AB628" i="1" s="1"/>
  <c r="Z628" i="1"/>
  <c r="Y628" i="1"/>
  <c r="X628" i="1"/>
  <c r="AB627" i="1"/>
  <c r="AA627" i="1"/>
  <c r="Z627" i="1"/>
  <c r="Y627" i="1"/>
  <c r="X627" i="1"/>
  <c r="AA626" i="1"/>
  <c r="AB626" i="1" s="1"/>
  <c r="Z626" i="1"/>
  <c r="Y626" i="1"/>
  <c r="X626" i="1"/>
  <c r="AB625" i="1"/>
  <c r="AA625" i="1"/>
  <c r="Z625" i="1"/>
  <c r="Y625" i="1"/>
  <c r="X625" i="1"/>
  <c r="AA624" i="1"/>
  <c r="AB624" i="1" s="1"/>
  <c r="Z624" i="1"/>
  <c r="Y624" i="1"/>
  <c r="X624" i="1"/>
  <c r="AB623" i="1"/>
  <c r="AA623" i="1"/>
  <c r="Z623" i="1"/>
  <c r="Y623" i="1"/>
  <c r="X623" i="1"/>
  <c r="AA622" i="1"/>
  <c r="AB622" i="1" s="1"/>
  <c r="Z622" i="1"/>
  <c r="Y622" i="1"/>
  <c r="X622" i="1"/>
  <c r="AB621" i="1"/>
  <c r="AA621" i="1"/>
  <c r="Z621" i="1"/>
  <c r="Y621" i="1"/>
  <c r="X621" i="1"/>
  <c r="AA620" i="1"/>
  <c r="AB620" i="1" s="1"/>
  <c r="Z620" i="1"/>
  <c r="Y620" i="1"/>
  <c r="X620" i="1"/>
  <c r="AB619" i="1"/>
  <c r="AA619" i="1"/>
  <c r="Z619" i="1"/>
  <c r="Y619" i="1"/>
  <c r="X619" i="1"/>
  <c r="AA618" i="1"/>
  <c r="AB618" i="1" s="1"/>
  <c r="Z618" i="1"/>
  <c r="Y618" i="1"/>
  <c r="X618" i="1"/>
  <c r="AB617" i="1"/>
  <c r="AA617" i="1"/>
  <c r="Z617" i="1"/>
  <c r="Y617" i="1"/>
  <c r="X617" i="1"/>
  <c r="AA616" i="1"/>
  <c r="AB616" i="1" s="1"/>
  <c r="Z616" i="1"/>
  <c r="Y616" i="1"/>
  <c r="X616" i="1"/>
  <c r="AB615" i="1"/>
  <c r="AA615" i="1"/>
  <c r="Z615" i="1"/>
  <c r="Y615" i="1"/>
  <c r="X615" i="1"/>
  <c r="AA614" i="1"/>
  <c r="AB614" i="1" s="1"/>
  <c r="Z614" i="1"/>
  <c r="Y614" i="1"/>
  <c r="X614" i="1"/>
  <c r="AB613" i="1"/>
  <c r="AA613" i="1"/>
  <c r="Z613" i="1"/>
  <c r="Y613" i="1"/>
  <c r="X613" i="1"/>
  <c r="AA612" i="1"/>
  <c r="AB612" i="1" s="1"/>
  <c r="Z612" i="1"/>
  <c r="Y612" i="1"/>
  <c r="X612" i="1"/>
  <c r="AB611" i="1"/>
  <c r="AA611" i="1"/>
  <c r="Z611" i="1"/>
  <c r="Y611" i="1"/>
  <c r="X611" i="1"/>
  <c r="AA610" i="1"/>
  <c r="AB610" i="1" s="1"/>
  <c r="Z610" i="1"/>
  <c r="Y610" i="1"/>
  <c r="X610" i="1"/>
  <c r="AB609" i="1"/>
  <c r="AA609" i="1"/>
  <c r="Z609" i="1"/>
  <c r="Y609" i="1"/>
  <c r="X609" i="1"/>
  <c r="AA608" i="1"/>
  <c r="AB608" i="1" s="1"/>
  <c r="Z608" i="1"/>
  <c r="Y608" i="1"/>
  <c r="X608" i="1"/>
  <c r="AB607" i="1"/>
  <c r="AA607" i="1"/>
  <c r="Z607" i="1"/>
  <c r="Y607" i="1"/>
  <c r="X607" i="1"/>
  <c r="AA606" i="1"/>
  <c r="AB606" i="1" s="1"/>
  <c r="Z606" i="1"/>
  <c r="Y606" i="1"/>
  <c r="X606" i="1"/>
  <c r="AB605" i="1"/>
  <c r="AA605" i="1"/>
  <c r="Z605" i="1"/>
  <c r="Y605" i="1"/>
  <c r="X605" i="1"/>
  <c r="AA604" i="1"/>
  <c r="AB604" i="1" s="1"/>
  <c r="Z604" i="1"/>
  <c r="Y604" i="1"/>
  <c r="X604" i="1"/>
  <c r="AB603" i="1"/>
  <c r="AA603" i="1"/>
  <c r="Z603" i="1"/>
  <c r="Y603" i="1"/>
  <c r="X603" i="1"/>
  <c r="AA602" i="1"/>
  <c r="AB602" i="1" s="1"/>
  <c r="Z602" i="1"/>
  <c r="Y602" i="1"/>
  <c r="X602" i="1"/>
  <c r="AB601" i="1"/>
  <c r="AA601" i="1"/>
  <c r="Z601" i="1"/>
  <c r="Y601" i="1"/>
  <c r="X601" i="1"/>
  <c r="AA600" i="1"/>
  <c r="AB600" i="1" s="1"/>
  <c r="Z600" i="1"/>
  <c r="Y600" i="1"/>
  <c r="X600" i="1"/>
  <c r="AB599" i="1"/>
  <c r="AA599" i="1"/>
  <c r="Z599" i="1"/>
  <c r="Y599" i="1"/>
  <c r="X599" i="1"/>
  <c r="AA598" i="1"/>
  <c r="AB598" i="1" s="1"/>
  <c r="Z598" i="1"/>
  <c r="Y598" i="1"/>
  <c r="X598" i="1"/>
  <c r="AB597" i="1"/>
  <c r="AA597" i="1"/>
  <c r="Z597" i="1"/>
  <c r="Y597" i="1"/>
  <c r="X597" i="1"/>
  <c r="AA596" i="1"/>
  <c r="AB596" i="1" s="1"/>
  <c r="Z596" i="1"/>
  <c r="Y596" i="1"/>
  <c r="X596" i="1"/>
  <c r="AB595" i="1"/>
  <c r="AA595" i="1"/>
  <c r="Z595" i="1"/>
  <c r="Y595" i="1"/>
  <c r="X595" i="1"/>
  <c r="AA594" i="1"/>
  <c r="AB594" i="1" s="1"/>
  <c r="Z594" i="1"/>
  <c r="Y594" i="1"/>
  <c r="X594" i="1"/>
  <c r="AB593" i="1"/>
  <c r="AA593" i="1"/>
  <c r="Z593" i="1"/>
  <c r="Y593" i="1"/>
  <c r="X593" i="1"/>
  <c r="AA592" i="1"/>
  <c r="AB592" i="1" s="1"/>
  <c r="Z592" i="1"/>
  <c r="Y592" i="1"/>
  <c r="X592" i="1"/>
  <c r="AB591" i="1"/>
  <c r="AA591" i="1"/>
  <c r="Z591" i="1"/>
  <c r="Y591" i="1"/>
  <c r="X591" i="1"/>
  <c r="AA590" i="1"/>
  <c r="AB590" i="1" s="1"/>
  <c r="Z590" i="1"/>
  <c r="Y590" i="1"/>
  <c r="X590" i="1"/>
  <c r="AB589" i="1"/>
  <c r="AA589" i="1"/>
  <c r="Z589" i="1"/>
  <c r="Y589" i="1"/>
  <c r="X589" i="1"/>
  <c r="AA588" i="1"/>
  <c r="AB588" i="1" s="1"/>
  <c r="Z588" i="1"/>
  <c r="Y588" i="1"/>
  <c r="X588" i="1"/>
  <c r="AB587" i="1"/>
  <c r="AA587" i="1"/>
  <c r="Z587" i="1"/>
  <c r="Y587" i="1"/>
  <c r="X587" i="1"/>
  <c r="AA586" i="1"/>
  <c r="AB586" i="1" s="1"/>
  <c r="Z586" i="1"/>
  <c r="Y586" i="1"/>
  <c r="X586" i="1"/>
  <c r="AB585" i="1"/>
  <c r="AA585" i="1"/>
  <c r="Z585" i="1"/>
  <c r="Y585" i="1"/>
  <c r="X585" i="1"/>
  <c r="AA584" i="1"/>
  <c r="AB584" i="1" s="1"/>
  <c r="Z584" i="1"/>
  <c r="Y584" i="1"/>
  <c r="X584" i="1"/>
  <c r="AB583" i="1"/>
  <c r="AA583" i="1"/>
  <c r="Z583" i="1"/>
  <c r="Y583" i="1"/>
  <c r="X583" i="1"/>
  <c r="AA582" i="1"/>
  <c r="AB582" i="1" s="1"/>
  <c r="Z582" i="1"/>
  <c r="Y582" i="1"/>
  <c r="X582" i="1"/>
  <c r="AB581" i="1"/>
  <c r="AA581" i="1"/>
  <c r="Z581" i="1"/>
  <c r="Y581" i="1"/>
  <c r="X581" i="1"/>
  <c r="AA580" i="1"/>
  <c r="AB580" i="1" s="1"/>
  <c r="Z580" i="1"/>
  <c r="Y580" i="1"/>
  <c r="X580" i="1"/>
  <c r="AB579" i="1"/>
  <c r="AA579" i="1"/>
  <c r="Z579" i="1"/>
  <c r="Y579" i="1"/>
  <c r="X579" i="1"/>
  <c r="AA578" i="1"/>
  <c r="AB578" i="1" s="1"/>
  <c r="Z578" i="1"/>
  <c r="Y578" i="1"/>
  <c r="X578" i="1"/>
  <c r="AB577" i="1"/>
  <c r="AA577" i="1"/>
  <c r="Z577" i="1"/>
  <c r="Y577" i="1"/>
  <c r="X577" i="1"/>
  <c r="AA576" i="1"/>
  <c r="AB576" i="1" s="1"/>
  <c r="Z576" i="1"/>
  <c r="Y576" i="1"/>
  <c r="X576" i="1"/>
  <c r="AB575" i="1"/>
  <c r="AA575" i="1"/>
  <c r="Z575" i="1"/>
  <c r="Y575" i="1"/>
  <c r="X575" i="1"/>
  <c r="AA574" i="1"/>
  <c r="AB574" i="1" s="1"/>
  <c r="Z574" i="1"/>
  <c r="Y574" i="1"/>
  <c r="X574" i="1"/>
  <c r="AB573" i="1"/>
  <c r="AA573" i="1"/>
  <c r="Z573" i="1"/>
  <c r="Y573" i="1"/>
  <c r="X573" i="1"/>
  <c r="AA572" i="1"/>
  <c r="AB572" i="1" s="1"/>
  <c r="Z572" i="1"/>
  <c r="Y572" i="1"/>
  <c r="X572" i="1"/>
  <c r="AB571" i="1"/>
  <c r="AA571" i="1"/>
  <c r="Z571" i="1"/>
  <c r="Y571" i="1"/>
  <c r="X571" i="1"/>
  <c r="AA570" i="1"/>
  <c r="AB570" i="1" s="1"/>
  <c r="Z570" i="1"/>
  <c r="Y570" i="1"/>
  <c r="X570" i="1"/>
  <c r="AB569" i="1"/>
  <c r="AA569" i="1"/>
  <c r="Z569" i="1"/>
  <c r="Y569" i="1"/>
  <c r="X569" i="1"/>
  <c r="AA568" i="1"/>
  <c r="AB568" i="1" s="1"/>
  <c r="Z568" i="1"/>
  <c r="Y568" i="1"/>
  <c r="X568" i="1"/>
  <c r="AB567" i="1"/>
  <c r="AA567" i="1"/>
  <c r="Z567" i="1"/>
  <c r="Y567" i="1"/>
  <c r="X567" i="1"/>
  <c r="AA566" i="1"/>
  <c r="AB566" i="1" s="1"/>
  <c r="Z566" i="1"/>
  <c r="Y566" i="1"/>
  <c r="X566" i="1"/>
  <c r="AB565" i="1"/>
  <c r="AA565" i="1"/>
  <c r="Z565" i="1"/>
  <c r="Y565" i="1"/>
  <c r="X565" i="1"/>
  <c r="AA564" i="1"/>
  <c r="AB564" i="1" s="1"/>
  <c r="Z564" i="1"/>
  <c r="Y564" i="1"/>
  <c r="X564" i="1"/>
  <c r="AB563" i="1"/>
  <c r="AA563" i="1"/>
  <c r="Z563" i="1"/>
  <c r="Y563" i="1"/>
  <c r="X563" i="1"/>
  <c r="AA562" i="1"/>
  <c r="AB562" i="1" s="1"/>
  <c r="Z562" i="1"/>
  <c r="Y562" i="1"/>
  <c r="X562" i="1"/>
  <c r="AB561" i="1"/>
  <c r="AA561" i="1"/>
  <c r="Z561" i="1"/>
  <c r="Y561" i="1"/>
  <c r="X561" i="1"/>
  <c r="AA560" i="1"/>
  <c r="AB560" i="1" s="1"/>
  <c r="Z560" i="1"/>
  <c r="Y560" i="1"/>
  <c r="X560" i="1"/>
  <c r="AB559" i="1"/>
  <c r="AA559" i="1"/>
  <c r="Z559" i="1"/>
  <c r="Y559" i="1"/>
  <c r="X559" i="1"/>
  <c r="AA558" i="1"/>
  <c r="AB558" i="1" s="1"/>
  <c r="Z558" i="1"/>
  <c r="Y558" i="1"/>
  <c r="X558" i="1"/>
  <c r="AB557" i="1"/>
  <c r="AA557" i="1"/>
  <c r="Z557" i="1"/>
  <c r="Y557" i="1"/>
  <c r="X557" i="1"/>
  <c r="AA556" i="1"/>
  <c r="AB556" i="1" s="1"/>
  <c r="Z556" i="1"/>
  <c r="Y556" i="1"/>
  <c r="X556" i="1"/>
  <c r="AB555" i="1"/>
  <c r="AA555" i="1"/>
  <c r="Z555" i="1"/>
  <c r="Y555" i="1"/>
  <c r="X555" i="1"/>
  <c r="AA554" i="1"/>
  <c r="AB554" i="1" s="1"/>
  <c r="Z554" i="1"/>
  <c r="Y554" i="1"/>
  <c r="X554" i="1"/>
  <c r="AB553" i="1"/>
  <c r="AA553" i="1"/>
  <c r="Z553" i="1"/>
  <c r="Y553" i="1"/>
  <c r="X553" i="1"/>
  <c r="AA552" i="1"/>
  <c r="AB552" i="1" s="1"/>
  <c r="Z552" i="1"/>
  <c r="Y552" i="1"/>
  <c r="X552" i="1"/>
  <c r="AB551" i="1"/>
  <c r="AA551" i="1"/>
  <c r="Z551" i="1"/>
  <c r="Y551" i="1"/>
  <c r="X551" i="1"/>
  <c r="AA550" i="1"/>
  <c r="AB550" i="1" s="1"/>
  <c r="Z550" i="1"/>
  <c r="Y550" i="1"/>
  <c r="X550" i="1"/>
  <c r="AB549" i="1"/>
  <c r="AA549" i="1"/>
  <c r="Z549" i="1"/>
  <c r="Y549" i="1"/>
  <c r="X549" i="1"/>
  <c r="AA548" i="1"/>
  <c r="AB548" i="1" s="1"/>
  <c r="Z548" i="1"/>
  <c r="Y548" i="1"/>
  <c r="X548" i="1"/>
  <c r="AB547" i="1"/>
  <c r="AA547" i="1"/>
  <c r="Z547" i="1"/>
  <c r="Y547" i="1"/>
  <c r="X547" i="1"/>
  <c r="AA546" i="1"/>
  <c r="AB546" i="1" s="1"/>
  <c r="Z546" i="1"/>
  <c r="Y546" i="1"/>
  <c r="X546" i="1"/>
  <c r="AB545" i="1"/>
  <c r="AA545" i="1"/>
  <c r="Z545" i="1"/>
  <c r="Y545" i="1"/>
  <c r="X545" i="1"/>
  <c r="AA544" i="1"/>
  <c r="AB544" i="1" s="1"/>
  <c r="Z544" i="1"/>
  <c r="Y544" i="1"/>
  <c r="X544" i="1"/>
  <c r="AB543" i="1"/>
  <c r="AA543" i="1"/>
  <c r="Z543" i="1"/>
  <c r="Y543" i="1"/>
  <c r="X543" i="1"/>
  <c r="AA542" i="1"/>
  <c r="AB542" i="1" s="1"/>
  <c r="Z542" i="1"/>
  <c r="Y542" i="1"/>
  <c r="X542" i="1"/>
  <c r="AB541" i="1"/>
  <c r="AA541" i="1"/>
  <c r="Z541" i="1"/>
  <c r="Y541" i="1"/>
  <c r="X541" i="1"/>
  <c r="AA540" i="1"/>
  <c r="AB540" i="1" s="1"/>
  <c r="Z540" i="1"/>
  <c r="Y540" i="1"/>
  <c r="X540" i="1"/>
  <c r="AB539" i="1"/>
  <c r="AA539" i="1"/>
  <c r="Z539" i="1"/>
  <c r="Y539" i="1"/>
  <c r="X539" i="1"/>
  <c r="AA538" i="1"/>
  <c r="AB538" i="1" s="1"/>
  <c r="Z538" i="1"/>
  <c r="Y538" i="1"/>
  <c r="X538" i="1"/>
  <c r="AB537" i="1"/>
  <c r="AA537" i="1"/>
  <c r="Z537" i="1"/>
  <c r="Y537" i="1"/>
  <c r="X537" i="1"/>
  <c r="AA536" i="1"/>
  <c r="AB536" i="1" s="1"/>
  <c r="Z536" i="1"/>
  <c r="Y536" i="1"/>
  <c r="X536" i="1"/>
  <c r="AB535" i="1"/>
  <c r="AA535" i="1"/>
  <c r="Z535" i="1"/>
  <c r="Y535" i="1"/>
  <c r="X535" i="1"/>
  <c r="AA534" i="1"/>
  <c r="AB534" i="1" s="1"/>
  <c r="Z534" i="1"/>
  <c r="Y534" i="1"/>
  <c r="X534" i="1"/>
  <c r="AB533" i="1"/>
  <c r="AA533" i="1"/>
  <c r="Z533" i="1"/>
  <c r="Y533" i="1"/>
  <c r="X533" i="1"/>
  <c r="AA532" i="1"/>
  <c r="AB532" i="1" s="1"/>
  <c r="Z532" i="1"/>
  <c r="Y532" i="1"/>
  <c r="X532" i="1"/>
  <c r="AB531" i="1"/>
  <c r="AA531" i="1"/>
  <c r="Z531" i="1"/>
  <c r="Y531" i="1"/>
  <c r="X531" i="1"/>
  <c r="AA530" i="1"/>
  <c r="AB530" i="1" s="1"/>
  <c r="Z530" i="1"/>
  <c r="Y530" i="1"/>
  <c r="X530" i="1"/>
  <c r="AB529" i="1"/>
  <c r="AA529" i="1"/>
  <c r="Z529" i="1"/>
  <c r="Y529" i="1"/>
  <c r="X529" i="1"/>
  <c r="AA528" i="1"/>
  <c r="AB528" i="1" s="1"/>
  <c r="Z528" i="1"/>
  <c r="Y528" i="1"/>
  <c r="X528" i="1"/>
  <c r="AB527" i="1"/>
  <c r="AA527" i="1"/>
  <c r="Z527" i="1"/>
  <c r="Y527" i="1"/>
  <c r="X527" i="1"/>
  <c r="AA526" i="1"/>
  <c r="AB526" i="1" s="1"/>
  <c r="Z526" i="1"/>
  <c r="Y526" i="1"/>
  <c r="X526" i="1"/>
  <c r="AB525" i="1"/>
  <c r="AA525" i="1"/>
  <c r="Z525" i="1"/>
  <c r="Y525" i="1"/>
  <c r="X525" i="1"/>
  <c r="AA524" i="1"/>
  <c r="AB524" i="1" s="1"/>
  <c r="Z524" i="1"/>
  <c r="Y524" i="1"/>
  <c r="X524" i="1"/>
  <c r="AB523" i="1"/>
  <c r="AA523" i="1"/>
  <c r="Z523" i="1"/>
  <c r="Y523" i="1"/>
  <c r="X523" i="1"/>
  <c r="AA522" i="1"/>
  <c r="AB522" i="1" s="1"/>
  <c r="Z522" i="1"/>
  <c r="Y522" i="1"/>
  <c r="X522" i="1"/>
  <c r="AB521" i="1"/>
  <c r="AA521" i="1"/>
  <c r="Z521" i="1"/>
  <c r="Y521" i="1"/>
  <c r="X521" i="1"/>
  <c r="AA520" i="1"/>
  <c r="AB520" i="1" s="1"/>
  <c r="Z520" i="1"/>
  <c r="Y520" i="1"/>
  <c r="X520" i="1"/>
  <c r="AB519" i="1"/>
  <c r="AA519" i="1"/>
  <c r="Z519" i="1"/>
  <c r="Y519" i="1"/>
  <c r="X519" i="1"/>
  <c r="AA518" i="1"/>
  <c r="AB518" i="1" s="1"/>
  <c r="Z518" i="1"/>
  <c r="Y518" i="1"/>
  <c r="X518" i="1"/>
  <c r="AB517" i="1"/>
  <c r="AA517" i="1"/>
  <c r="Z517" i="1"/>
  <c r="Y517" i="1"/>
  <c r="X517" i="1"/>
  <c r="AA516" i="1"/>
  <c r="AB516" i="1" s="1"/>
  <c r="Z516" i="1"/>
  <c r="Y516" i="1"/>
  <c r="X516" i="1"/>
  <c r="AB515" i="1"/>
  <c r="AA515" i="1"/>
  <c r="Z515" i="1"/>
  <c r="Y515" i="1"/>
  <c r="X515" i="1"/>
  <c r="AA514" i="1"/>
  <c r="AB514" i="1" s="1"/>
  <c r="Z514" i="1"/>
  <c r="Y514" i="1"/>
  <c r="X514" i="1"/>
  <c r="AB513" i="1"/>
  <c r="AA513" i="1"/>
  <c r="Z513" i="1"/>
  <c r="Y513" i="1"/>
  <c r="X513" i="1"/>
  <c r="AA512" i="1"/>
  <c r="AB512" i="1" s="1"/>
  <c r="Z512" i="1"/>
  <c r="Y512" i="1"/>
  <c r="X512" i="1"/>
  <c r="AB511" i="1"/>
  <c r="AA511" i="1"/>
  <c r="Z511" i="1"/>
  <c r="Y511" i="1"/>
  <c r="X511" i="1"/>
  <c r="AA510" i="1"/>
  <c r="AB510" i="1" s="1"/>
  <c r="Z510" i="1"/>
  <c r="Y510" i="1"/>
  <c r="X510" i="1"/>
  <c r="AB509" i="1"/>
  <c r="AA509" i="1"/>
  <c r="Z509" i="1"/>
  <c r="Y509" i="1"/>
  <c r="X509" i="1"/>
  <c r="AA508" i="1"/>
  <c r="AB508" i="1" s="1"/>
  <c r="Z508" i="1"/>
  <c r="Y508" i="1"/>
  <c r="X508" i="1"/>
  <c r="AB507" i="1"/>
  <c r="AA507" i="1"/>
  <c r="Z507" i="1"/>
  <c r="Y507" i="1"/>
  <c r="X507" i="1"/>
  <c r="AA506" i="1"/>
  <c r="AB506" i="1" s="1"/>
  <c r="Z506" i="1"/>
  <c r="Y506" i="1"/>
  <c r="X506" i="1"/>
  <c r="AB505" i="1"/>
  <c r="AA505" i="1"/>
  <c r="Z505" i="1"/>
  <c r="Y505" i="1"/>
  <c r="X505" i="1"/>
  <c r="AA504" i="1"/>
  <c r="AB504" i="1" s="1"/>
  <c r="Z504" i="1"/>
  <c r="Y504" i="1"/>
  <c r="X504" i="1"/>
  <c r="AB503" i="1"/>
  <c r="AA503" i="1"/>
  <c r="Z503" i="1"/>
  <c r="Y503" i="1"/>
  <c r="X503" i="1"/>
  <c r="AA502" i="1"/>
  <c r="AB502" i="1" s="1"/>
  <c r="Z502" i="1"/>
  <c r="Y502" i="1"/>
  <c r="X502" i="1"/>
  <c r="AB501" i="1"/>
  <c r="AA501" i="1"/>
  <c r="Z501" i="1"/>
  <c r="Y501" i="1"/>
  <c r="X501" i="1"/>
  <c r="AA500" i="1"/>
  <c r="AB500" i="1" s="1"/>
  <c r="Z500" i="1"/>
  <c r="Y500" i="1"/>
  <c r="X500" i="1"/>
  <c r="AB499" i="1"/>
  <c r="AA499" i="1"/>
  <c r="Z499" i="1"/>
  <c r="Y499" i="1"/>
  <c r="X499" i="1"/>
  <c r="AA498" i="1"/>
  <c r="AB498" i="1" s="1"/>
  <c r="Z498" i="1"/>
  <c r="Y498" i="1"/>
  <c r="X498" i="1"/>
  <c r="AB497" i="1"/>
  <c r="AA497" i="1"/>
  <c r="Z497" i="1"/>
  <c r="Y497" i="1"/>
  <c r="X497" i="1"/>
  <c r="AA496" i="1"/>
  <c r="AB496" i="1" s="1"/>
  <c r="Z496" i="1"/>
  <c r="Y496" i="1"/>
  <c r="X496" i="1"/>
  <c r="AB495" i="1"/>
  <c r="AA495" i="1"/>
  <c r="Z495" i="1"/>
  <c r="Y495" i="1"/>
  <c r="X495" i="1"/>
  <c r="AA494" i="1"/>
  <c r="AB494" i="1" s="1"/>
  <c r="Z494" i="1"/>
  <c r="Y494" i="1"/>
  <c r="X494" i="1"/>
  <c r="AB493" i="1"/>
  <c r="AA493" i="1"/>
  <c r="Z493" i="1"/>
  <c r="Y493" i="1"/>
  <c r="X493" i="1"/>
  <c r="AA492" i="1"/>
  <c r="AB492" i="1" s="1"/>
  <c r="Z492" i="1"/>
  <c r="Y492" i="1"/>
  <c r="X492" i="1"/>
  <c r="AB491" i="1"/>
  <c r="AA491" i="1"/>
  <c r="Z491" i="1"/>
  <c r="Y491" i="1"/>
  <c r="X491" i="1"/>
  <c r="AA490" i="1"/>
  <c r="AB490" i="1" s="1"/>
  <c r="Z490" i="1"/>
  <c r="Y490" i="1"/>
  <c r="X490" i="1"/>
  <c r="AB489" i="1"/>
  <c r="AA489" i="1"/>
  <c r="Z489" i="1"/>
  <c r="Y489" i="1"/>
  <c r="X489" i="1"/>
  <c r="AA488" i="1"/>
  <c r="AB488" i="1" s="1"/>
  <c r="Z488" i="1"/>
  <c r="Y488" i="1"/>
  <c r="X488" i="1"/>
  <c r="AB487" i="1"/>
  <c r="AA487" i="1"/>
  <c r="Z487" i="1"/>
  <c r="Y487" i="1"/>
  <c r="X487" i="1"/>
  <c r="AA486" i="1"/>
  <c r="AB486" i="1" s="1"/>
  <c r="Z486" i="1"/>
  <c r="Y486" i="1"/>
  <c r="X486" i="1"/>
  <c r="AB485" i="1"/>
  <c r="AA485" i="1"/>
  <c r="Z485" i="1"/>
  <c r="Y485" i="1"/>
  <c r="X485" i="1"/>
  <c r="AA484" i="1"/>
  <c r="AB484" i="1" s="1"/>
  <c r="Z484" i="1"/>
  <c r="Y484" i="1"/>
  <c r="X484" i="1"/>
  <c r="AB483" i="1"/>
  <c r="AA483" i="1"/>
  <c r="Z483" i="1"/>
  <c r="Y483" i="1"/>
  <c r="X483" i="1"/>
  <c r="AA482" i="1"/>
  <c r="AB482" i="1" s="1"/>
  <c r="Z482" i="1"/>
  <c r="Y482" i="1"/>
  <c r="X482" i="1"/>
  <c r="AB481" i="1"/>
  <c r="AA481" i="1"/>
  <c r="Z481" i="1"/>
  <c r="Y481" i="1"/>
  <c r="X481" i="1"/>
  <c r="AA480" i="1"/>
  <c r="AB480" i="1" s="1"/>
  <c r="Z480" i="1"/>
  <c r="Y480" i="1"/>
  <c r="X480" i="1"/>
  <c r="AB479" i="1"/>
  <c r="AA479" i="1"/>
  <c r="Z479" i="1"/>
  <c r="Y479" i="1"/>
  <c r="X479" i="1"/>
  <c r="AA478" i="1"/>
  <c r="AB478" i="1" s="1"/>
  <c r="Z478" i="1"/>
  <c r="Y478" i="1"/>
  <c r="X478" i="1"/>
  <c r="AB477" i="1"/>
  <c r="AA477" i="1"/>
  <c r="Z477" i="1"/>
  <c r="Y477" i="1"/>
  <c r="X477" i="1"/>
  <c r="AA476" i="1"/>
  <c r="AB476" i="1" s="1"/>
  <c r="Z476" i="1"/>
  <c r="Y476" i="1"/>
  <c r="X476" i="1"/>
  <c r="AB475" i="1"/>
  <c r="AA475" i="1"/>
  <c r="Z475" i="1"/>
  <c r="Y475" i="1"/>
  <c r="X475" i="1"/>
  <c r="AA474" i="1"/>
  <c r="AB474" i="1" s="1"/>
  <c r="Z474" i="1"/>
  <c r="Y474" i="1"/>
  <c r="X474" i="1"/>
  <c r="AB473" i="1"/>
  <c r="AA473" i="1"/>
  <c r="Z473" i="1"/>
  <c r="Y473" i="1"/>
  <c r="X473" i="1"/>
  <c r="AA472" i="1"/>
  <c r="AB472" i="1" s="1"/>
  <c r="Z472" i="1"/>
  <c r="Y472" i="1"/>
  <c r="X472" i="1"/>
  <c r="AB471" i="1"/>
  <c r="AA471" i="1"/>
  <c r="Z471" i="1"/>
  <c r="Y471" i="1"/>
  <c r="X471" i="1"/>
  <c r="AA470" i="1"/>
  <c r="AB470" i="1" s="1"/>
  <c r="Z470" i="1"/>
  <c r="Y470" i="1"/>
  <c r="X470" i="1"/>
  <c r="AB469" i="1"/>
  <c r="AA469" i="1"/>
  <c r="Z469" i="1"/>
  <c r="Y469" i="1"/>
  <c r="X469" i="1"/>
  <c r="AA468" i="1"/>
  <c r="AB468" i="1" s="1"/>
  <c r="Z468" i="1"/>
  <c r="Y468" i="1"/>
  <c r="X468" i="1"/>
  <c r="AB467" i="1"/>
  <c r="AA467" i="1"/>
  <c r="Z467" i="1"/>
  <c r="Y467" i="1"/>
  <c r="X467" i="1"/>
  <c r="AA466" i="1"/>
  <c r="AB466" i="1" s="1"/>
  <c r="Z466" i="1"/>
  <c r="Y466" i="1"/>
  <c r="X466" i="1"/>
  <c r="AB465" i="1"/>
  <c r="AA465" i="1"/>
  <c r="Z465" i="1"/>
  <c r="Y465" i="1"/>
  <c r="X465" i="1"/>
  <c r="AA464" i="1"/>
  <c r="AB464" i="1" s="1"/>
  <c r="Z464" i="1"/>
  <c r="Y464" i="1"/>
  <c r="X464" i="1"/>
  <c r="AB463" i="1"/>
  <c r="AA463" i="1"/>
  <c r="Z463" i="1"/>
  <c r="Y463" i="1"/>
  <c r="X463" i="1"/>
  <c r="AA462" i="1"/>
  <c r="AB462" i="1" s="1"/>
  <c r="Z462" i="1"/>
  <c r="Y462" i="1"/>
  <c r="X462" i="1"/>
  <c r="AB461" i="1"/>
  <c r="AA461" i="1"/>
  <c r="Z461" i="1"/>
  <c r="Y461" i="1"/>
  <c r="X461" i="1"/>
  <c r="AA460" i="1"/>
  <c r="AB460" i="1" s="1"/>
  <c r="Z460" i="1"/>
  <c r="Y460" i="1"/>
  <c r="X460" i="1"/>
  <c r="AB459" i="1"/>
  <c r="AA459" i="1"/>
  <c r="Z459" i="1"/>
  <c r="Y459" i="1"/>
  <c r="X459" i="1"/>
  <c r="AA458" i="1"/>
  <c r="AB458" i="1" s="1"/>
  <c r="Z458" i="1"/>
  <c r="Y458" i="1"/>
  <c r="X458" i="1"/>
  <c r="AB457" i="1"/>
  <c r="AA457" i="1"/>
  <c r="Z457" i="1"/>
  <c r="Y457" i="1"/>
  <c r="X457" i="1"/>
  <c r="AA456" i="1"/>
  <c r="AB456" i="1" s="1"/>
  <c r="Z456" i="1"/>
  <c r="Y456" i="1"/>
  <c r="X456" i="1"/>
  <c r="AB455" i="1"/>
  <c r="AA455" i="1"/>
  <c r="Z455" i="1"/>
  <c r="Y455" i="1"/>
  <c r="X455" i="1"/>
  <c r="AA454" i="1"/>
  <c r="AB454" i="1" s="1"/>
  <c r="Z454" i="1"/>
  <c r="Y454" i="1"/>
  <c r="X454" i="1"/>
  <c r="AB453" i="1"/>
  <c r="AA453" i="1"/>
  <c r="Z453" i="1"/>
  <c r="Y453" i="1"/>
  <c r="X453" i="1"/>
  <c r="AA452" i="1"/>
  <c r="AB452" i="1" s="1"/>
  <c r="Z452" i="1"/>
  <c r="Y452" i="1"/>
  <c r="X452" i="1"/>
  <c r="AB451" i="1"/>
  <c r="AA451" i="1"/>
  <c r="Z451" i="1"/>
  <c r="Y451" i="1"/>
  <c r="X451" i="1"/>
  <c r="AA450" i="1"/>
  <c r="AB450" i="1" s="1"/>
  <c r="Z450" i="1"/>
  <c r="Y450" i="1"/>
  <c r="X450" i="1"/>
  <c r="AB449" i="1"/>
  <c r="AA449" i="1"/>
  <c r="Z449" i="1"/>
  <c r="Y449" i="1"/>
  <c r="X449" i="1"/>
  <c r="AA448" i="1"/>
  <c r="AB448" i="1" s="1"/>
  <c r="Z448" i="1"/>
  <c r="Y448" i="1"/>
  <c r="X448" i="1"/>
  <c r="AB447" i="1"/>
  <c r="AA447" i="1"/>
  <c r="Z447" i="1"/>
  <c r="Y447" i="1"/>
  <c r="X447" i="1"/>
  <c r="AA446" i="1"/>
  <c r="AB446" i="1" s="1"/>
  <c r="Z446" i="1"/>
  <c r="Y446" i="1"/>
  <c r="X446" i="1"/>
  <c r="AB445" i="1"/>
  <c r="AA445" i="1"/>
  <c r="Z445" i="1"/>
  <c r="Y445" i="1"/>
  <c r="X445" i="1"/>
  <c r="AA444" i="1"/>
  <c r="AB444" i="1" s="1"/>
  <c r="Z444" i="1"/>
  <c r="Y444" i="1"/>
  <c r="X444" i="1"/>
  <c r="AB443" i="1"/>
  <c r="AA443" i="1"/>
  <c r="Z443" i="1"/>
  <c r="Y443" i="1"/>
  <c r="X443" i="1"/>
  <c r="AA442" i="1"/>
  <c r="AB442" i="1" s="1"/>
  <c r="Z442" i="1"/>
  <c r="Y442" i="1"/>
  <c r="X442" i="1"/>
  <c r="AB441" i="1"/>
  <c r="AA441" i="1"/>
  <c r="Z441" i="1"/>
  <c r="Y441" i="1"/>
  <c r="X441" i="1"/>
  <c r="AA440" i="1"/>
  <c r="AB440" i="1" s="1"/>
  <c r="Z440" i="1"/>
  <c r="Y440" i="1"/>
  <c r="X440" i="1"/>
  <c r="AB439" i="1"/>
  <c r="AA439" i="1"/>
  <c r="Z439" i="1"/>
  <c r="Y439" i="1"/>
  <c r="X439" i="1"/>
  <c r="AA438" i="1"/>
  <c r="AB438" i="1" s="1"/>
  <c r="Z438" i="1"/>
  <c r="Y438" i="1"/>
  <c r="X438" i="1"/>
  <c r="AB437" i="1"/>
  <c r="AA437" i="1"/>
  <c r="Z437" i="1"/>
  <c r="Y437" i="1"/>
  <c r="X437" i="1"/>
  <c r="AA436" i="1"/>
  <c r="AB436" i="1" s="1"/>
  <c r="Z436" i="1"/>
  <c r="Y436" i="1"/>
  <c r="X436" i="1"/>
  <c r="AB435" i="1"/>
  <c r="AA435" i="1"/>
  <c r="Z435" i="1"/>
  <c r="Y435" i="1"/>
  <c r="X435" i="1"/>
  <c r="AA434" i="1"/>
  <c r="AB434" i="1" s="1"/>
  <c r="Z434" i="1"/>
  <c r="Y434" i="1"/>
  <c r="X434" i="1"/>
  <c r="AB433" i="1"/>
  <c r="AA433" i="1"/>
  <c r="Z433" i="1"/>
  <c r="Y433" i="1"/>
  <c r="X433" i="1"/>
  <c r="AA432" i="1"/>
  <c r="AB432" i="1" s="1"/>
  <c r="Z432" i="1"/>
  <c r="Y432" i="1"/>
  <c r="X432" i="1"/>
  <c r="AB431" i="1"/>
  <c r="AA431" i="1"/>
  <c r="Z431" i="1"/>
  <c r="Y431" i="1"/>
  <c r="X431" i="1"/>
  <c r="AA430" i="1"/>
  <c r="AB430" i="1" s="1"/>
  <c r="Z430" i="1"/>
  <c r="Y430" i="1"/>
  <c r="X430" i="1"/>
  <c r="AB429" i="1"/>
  <c r="AA429" i="1"/>
  <c r="Z429" i="1"/>
  <c r="Y429" i="1"/>
  <c r="X429" i="1"/>
  <c r="AA428" i="1"/>
  <c r="AB428" i="1" s="1"/>
  <c r="Z428" i="1"/>
  <c r="Y428" i="1"/>
  <c r="X428" i="1"/>
  <c r="AB427" i="1"/>
  <c r="AA427" i="1"/>
  <c r="Z427" i="1"/>
  <c r="Y427" i="1"/>
  <c r="X427" i="1"/>
  <c r="AA426" i="1"/>
  <c r="AB426" i="1" s="1"/>
  <c r="Z426" i="1"/>
  <c r="Y426" i="1"/>
  <c r="X426" i="1"/>
  <c r="AB425" i="1"/>
  <c r="AA425" i="1"/>
  <c r="Z425" i="1"/>
  <c r="Y425" i="1"/>
  <c r="X425" i="1"/>
  <c r="AA424" i="1"/>
  <c r="AB424" i="1" s="1"/>
  <c r="Z424" i="1"/>
  <c r="Y424" i="1"/>
  <c r="X424" i="1"/>
  <c r="AB423" i="1"/>
  <c r="AA423" i="1"/>
  <c r="Z423" i="1"/>
  <c r="Y423" i="1"/>
  <c r="X423" i="1"/>
  <c r="AA422" i="1"/>
  <c r="AB422" i="1" s="1"/>
  <c r="Z422" i="1"/>
  <c r="Y422" i="1"/>
  <c r="X422" i="1"/>
  <c r="AB421" i="1"/>
  <c r="AA421" i="1"/>
  <c r="Z421" i="1"/>
  <c r="Y421" i="1"/>
  <c r="X421" i="1"/>
  <c r="AA420" i="1"/>
  <c r="AB420" i="1" s="1"/>
  <c r="Z420" i="1"/>
  <c r="Y420" i="1"/>
  <c r="X420" i="1"/>
  <c r="AB419" i="1"/>
  <c r="AA419" i="1"/>
  <c r="Z419" i="1"/>
  <c r="Y419" i="1"/>
  <c r="X419" i="1"/>
  <c r="AA418" i="1"/>
  <c r="AB418" i="1" s="1"/>
  <c r="Z418" i="1"/>
  <c r="Y418" i="1"/>
  <c r="X418" i="1"/>
  <c r="AB417" i="1"/>
  <c r="AA417" i="1"/>
  <c r="Z417" i="1"/>
  <c r="Y417" i="1"/>
  <c r="X417" i="1"/>
  <c r="AA416" i="1"/>
  <c r="AB416" i="1" s="1"/>
  <c r="Z416" i="1"/>
  <c r="Y416" i="1"/>
  <c r="X416" i="1"/>
  <c r="AB415" i="1"/>
  <c r="AA415" i="1"/>
  <c r="Z415" i="1"/>
  <c r="Y415" i="1"/>
  <c r="X415" i="1"/>
  <c r="AA414" i="1"/>
  <c r="AB414" i="1" s="1"/>
  <c r="Z414" i="1"/>
  <c r="Y414" i="1"/>
  <c r="X414" i="1"/>
  <c r="AB413" i="1"/>
  <c r="AA413" i="1"/>
  <c r="Z413" i="1"/>
  <c r="Y413" i="1"/>
  <c r="X413" i="1"/>
  <c r="AA412" i="1"/>
  <c r="AB412" i="1" s="1"/>
  <c r="Z412" i="1"/>
  <c r="Y412" i="1"/>
  <c r="X412" i="1"/>
  <c r="AB411" i="1"/>
  <c r="AA411" i="1"/>
  <c r="Z411" i="1"/>
  <c r="Y411" i="1"/>
  <c r="X411" i="1"/>
  <c r="AA410" i="1"/>
  <c r="AB410" i="1" s="1"/>
  <c r="Z410" i="1"/>
  <c r="Y410" i="1"/>
  <c r="X410" i="1"/>
  <c r="AB409" i="1"/>
  <c r="AA409" i="1"/>
  <c r="Z409" i="1"/>
  <c r="Y409" i="1"/>
  <c r="X409" i="1"/>
  <c r="AA408" i="1"/>
  <c r="AB408" i="1" s="1"/>
  <c r="Z408" i="1"/>
  <c r="Y408" i="1"/>
  <c r="X408" i="1"/>
  <c r="AB407" i="1"/>
  <c r="AA407" i="1"/>
  <c r="Z407" i="1"/>
  <c r="Y407" i="1"/>
  <c r="X407" i="1"/>
  <c r="AA406" i="1"/>
  <c r="AB406" i="1" s="1"/>
  <c r="Z406" i="1"/>
  <c r="Y406" i="1"/>
  <c r="X406" i="1"/>
  <c r="AB405" i="1"/>
  <c r="AA405" i="1"/>
  <c r="Z405" i="1"/>
  <c r="Y405" i="1"/>
  <c r="X405" i="1"/>
  <c r="AA404" i="1"/>
  <c r="AB404" i="1" s="1"/>
  <c r="Z404" i="1"/>
  <c r="Y404" i="1"/>
  <c r="X404" i="1"/>
  <c r="AB403" i="1"/>
  <c r="AA403" i="1"/>
  <c r="Z403" i="1"/>
  <c r="Y403" i="1"/>
  <c r="X403" i="1"/>
  <c r="AA402" i="1"/>
  <c r="AB402" i="1" s="1"/>
  <c r="Z402" i="1"/>
  <c r="Y402" i="1"/>
  <c r="X402" i="1"/>
  <c r="AB401" i="1"/>
  <c r="AA401" i="1"/>
  <c r="Z401" i="1"/>
  <c r="Y401" i="1"/>
  <c r="X401" i="1"/>
  <c r="AA400" i="1"/>
  <c r="AB400" i="1" s="1"/>
  <c r="Z400" i="1"/>
  <c r="Y400" i="1"/>
  <c r="X400" i="1"/>
  <c r="AB399" i="1"/>
  <c r="AA399" i="1"/>
  <c r="Z399" i="1"/>
  <c r="Y399" i="1"/>
  <c r="X399" i="1"/>
  <c r="AA398" i="1"/>
  <c r="AB398" i="1" s="1"/>
  <c r="Z398" i="1"/>
  <c r="Y398" i="1"/>
  <c r="X398" i="1"/>
  <c r="AB397" i="1"/>
  <c r="AA397" i="1"/>
  <c r="Z397" i="1"/>
  <c r="Y397" i="1"/>
  <c r="X397" i="1"/>
  <c r="AA396" i="1"/>
  <c r="AB396" i="1" s="1"/>
  <c r="Z396" i="1"/>
  <c r="Y396" i="1"/>
  <c r="X396" i="1"/>
  <c r="AB395" i="1"/>
  <c r="AA395" i="1"/>
  <c r="Z395" i="1"/>
  <c r="Y395" i="1"/>
  <c r="X395" i="1"/>
  <c r="AA394" i="1"/>
  <c r="AB394" i="1" s="1"/>
  <c r="Z394" i="1"/>
  <c r="Y394" i="1"/>
  <c r="X394" i="1"/>
  <c r="AB393" i="1"/>
  <c r="AA393" i="1"/>
  <c r="Z393" i="1"/>
  <c r="Y393" i="1"/>
  <c r="X393" i="1"/>
  <c r="AA392" i="1"/>
  <c r="AB392" i="1" s="1"/>
  <c r="Z392" i="1"/>
  <c r="Y392" i="1"/>
  <c r="X392" i="1"/>
  <c r="AB391" i="1"/>
  <c r="AA391" i="1"/>
  <c r="Z391" i="1"/>
  <c r="Y391" i="1"/>
  <c r="X391" i="1"/>
  <c r="AA390" i="1"/>
  <c r="AB390" i="1" s="1"/>
  <c r="Z390" i="1"/>
  <c r="Y390" i="1"/>
  <c r="X390" i="1"/>
  <c r="AB389" i="1"/>
  <c r="AA389" i="1"/>
  <c r="Z389" i="1"/>
  <c r="Y389" i="1"/>
  <c r="X389" i="1"/>
  <c r="AA388" i="1"/>
  <c r="AB388" i="1" s="1"/>
  <c r="N31" i="3" s="1"/>
  <c r="Z388" i="1"/>
  <c r="Y388" i="1"/>
  <c r="X388" i="1"/>
  <c r="AB387" i="1"/>
  <c r="AA387" i="1"/>
  <c r="Z387" i="1"/>
  <c r="Y387" i="1"/>
  <c r="X387" i="1"/>
  <c r="AA386" i="1"/>
  <c r="AB386" i="1" s="1"/>
  <c r="Z386" i="1"/>
  <c r="Y386" i="1"/>
  <c r="X386" i="1"/>
  <c r="AB385" i="1"/>
  <c r="AA385" i="1"/>
  <c r="Z385" i="1"/>
  <c r="Y385" i="1"/>
  <c r="X385" i="1"/>
  <c r="AA384" i="1"/>
  <c r="AB384" i="1" s="1"/>
  <c r="Z384" i="1"/>
  <c r="Y384" i="1"/>
  <c r="X384" i="1"/>
  <c r="AB383" i="1"/>
  <c r="AA383" i="1"/>
  <c r="Z383" i="1"/>
  <c r="Y383" i="1"/>
  <c r="X383" i="1"/>
  <c r="AA382" i="1"/>
  <c r="AB382" i="1" s="1"/>
  <c r="Z382" i="1"/>
  <c r="Y382" i="1"/>
  <c r="X382" i="1"/>
  <c r="AB381" i="1"/>
  <c r="AA381" i="1"/>
  <c r="Z381" i="1"/>
  <c r="Y381" i="1"/>
  <c r="X381" i="1"/>
  <c r="AA380" i="1"/>
  <c r="AB380" i="1" s="1"/>
  <c r="Z380" i="1"/>
  <c r="Y380" i="1"/>
  <c r="X380" i="1"/>
  <c r="AB379" i="1"/>
  <c r="AA379" i="1"/>
  <c r="Z379" i="1"/>
  <c r="Y379" i="1"/>
  <c r="X379" i="1"/>
  <c r="AA378" i="1"/>
  <c r="AB378" i="1" s="1"/>
  <c r="Z378" i="1"/>
  <c r="Y378" i="1"/>
  <c r="X378" i="1"/>
  <c r="AB377" i="1"/>
  <c r="AA377" i="1"/>
  <c r="Z377" i="1"/>
  <c r="Y377" i="1"/>
  <c r="X377" i="1"/>
  <c r="AA376" i="1"/>
  <c r="AB376" i="1" s="1"/>
  <c r="Z376" i="1"/>
  <c r="Y376" i="1"/>
  <c r="X376" i="1"/>
  <c r="AB375" i="1"/>
  <c r="AA375" i="1"/>
  <c r="Z375" i="1"/>
  <c r="Y375" i="1"/>
  <c r="X375" i="1"/>
  <c r="AA374" i="1"/>
  <c r="AB374" i="1" s="1"/>
  <c r="Z374" i="1"/>
  <c r="Y374" i="1"/>
  <c r="X374" i="1"/>
  <c r="AB373" i="1"/>
  <c r="AA373" i="1"/>
  <c r="Z373" i="1"/>
  <c r="Y373" i="1"/>
  <c r="X373" i="1"/>
  <c r="AA372" i="1"/>
  <c r="AB372" i="1" s="1"/>
  <c r="Z372" i="1"/>
  <c r="Y372" i="1"/>
  <c r="X372" i="1"/>
  <c r="AB371" i="1"/>
  <c r="AA371" i="1"/>
  <c r="Z371" i="1"/>
  <c r="Y371" i="1"/>
  <c r="X371" i="1"/>
  <c r="AA370" i="1"/>
  <c r="AB370" i="1" s="1"/>
  <c r="Z370" i="1"/>
  <c r="Y370" i="1"/>
  <c r="X370" i="1"/>
  <c r="AB369" i="1"/>
  <c r="AA369" i="1"/>
  <c r="Z369" i="1"/>
  <c r="Y369" i="1"/>
  <c r="X369" i="1"/>
  <c r="AA368" i="1"/>
  <c r="AB368" i="1" s="1"/>
  <c r="Z368" i="1"/>
  <c r="Y368" i="1"/>
  <c r="X368" i="1"/>
  <c r="AB367" i="1"/>
  <c r="AA367" i="1"/>
  <c r="Z367" i="1"/>
  <c r="Y367" i="1"/>
  <c r="X367" i="1"/>
  <c r="AA366" i="1"/>
  <c r="AB366" i="1" s="1"/>
  <c r="Z366" i="1"/>
  <c r="Y366" i="1"/>
  <c r="X366" i="1"/>
  <c r="AB365" i="1"/>
  <c r="AA365" i="1"/>
  <c r="Z365" i="1"/>
  <c r="Y365" i="1"/>
  <c r="X365" i="1"/>
  <c r="AA364" i="1"/>
  <c r="AB364" i="1" s="1"/>
  <c r="Z364" i="1"/>
  <c r="Y364" i="1"/>
  <c r="X364" i="1"/>
  <c r="AB363" i="1"/>
  <c r="AA363" i="1"/>
  <c r="Z363" i="1"/>
  <c r="Y363" i="1"/>
  <c r="X363" i="1"/>
  <c r="AA362" i="1"/>
  <c r="AB362" i="1" s="1"/>
  <c r="Z362" i="1"/>
  <c r="Y362" i="1"/>
  <c r="X362" i="1"/>
  <c r="AB361" i="1"/>
  <c r="AA361" i="1"/>
  <c r="Z361" i="1"/>
  <c r="Y361" i="1"/>
  <c r="X361" i="1"/>
  <c r="AA360" i="1"/>
  <c r="AB360" i="1" s="1"/>
  <c r="Z360" i="1"/>
  <c r="Y360" i="1"/>
  <c r="X360" i="1"/>
  <c r="AB359" i="1"/>
  <c r="AA359" i="1"/>
  <c r="Z359" i="1"/>
  <c r="Y359" i="1"/>
  <c r="X359" i="1"/>
  <c r="AA358" i="1"/>
  <c r="AB358" i="1" s="1"/>
  <c r="Z358" i="1"/>
  <c r="Y358" i="1"/>
  <c r="X358" i="1"/>
  <c r="AB357" i="1"/>
  <c r="AA357" i="1"/>
  <c r="Z357" i="1"/>
  <c r="Y357" i="1"/>
  <c r="X357" i="1"/>
  <c r="AA356" i="1"/>
  <c r="AB356" i="1" s="1"/>
  <c r="Z356" i="1"/>
  <c r="Y356" i="1"/>
  <c r="X356" i="1"/>
  <c r="AB355" i="1"/>
  <c r="AA355" i="1"/>
  <c r="Z355" i="1"/>
  <c r="Y355" i="1"/>
  <c r="X355" i="1"/>
  <c r="AA354" i="1"/>
  <c r="AB354" i="1" s="1"/>
  <c r="Z354" i="1"/>
  <c r="Y354" i="1"/>
  <c r="X354" i="1"/>
  <c r="AB353" i="1"/>
  <c r="AA353" i="1"/>
  <c r="Z353" i="1"/>
  <c r="Y353" i="1"/>
  <c r="X353" i="1"/>
  <c r="AA352" i="1"/>
  <c r="AB352" i="1" s="1"/>
  <c r="Z352" i="1"/>
  <c r="Y352" i="1"/>
  <c r="X352" i="1"/>
  <c r="AB351" i="1"/>
  <c r="AA351" i="1"/>
  <c r="Z351" i="1"/>
  <c r="Y351" i="1"/>
  <c r="X351" i="1"/>
  <c r="AA350" i="1"/>
  <c r="AB350" i="1" s="1"/>
  <c r="Z350" i="1"/>
  <c r="Y350" i="1"/>
  <c r="X350" i="1"/>
  <c r="AB349" i="1"/>
  <c r="AA349" i="1"/>
  <c r="Z349" i="1"/>
  <c r="Y349" i="1"/>
  <c r="X349" i="1"/>
  <c r="AA348" i="1"/>
  <c r="AB348" i="1" s="1"/>
  <c r="Z348" i="1"/>
  <c r="Y348" i="1"/>
  <c r="X348" i="1"/>
  <c r="AB347" i="1"/>
  <c r="AA347" i="1"/>
  <c r="Z347" i="1"/>
  <c r="Y347" i="1"/>
  <c r="X347" i="1"/>
  <c r="AA346" i="1"/>
  <c r="AB346" i="1" s="1"/>
  <c r="Z346" i="1"/>
  <c r="Y346" i="1"/>
  <c r="X346" i="1"/>
  <c r="AB345" i="1"/>
  <c r="AA345" i="1"/>
  <c r="Z345" i="1"/>
  <c r="Y345" i="1"/>
  <c r="X345" i="1"/>
  <c r="AA344" i="1"/>
  <c r="AB344" i="1" s="1"/>
  <c r="Z344" i="1"/>
  <c r="Y344" i="1"/>
  <c r="X344" i="1"/>
  <c r="AB343" i="1"/>
  <c r="AA343" i="1"/>
  <c r="Z343" i="1"/>
  <c r="Y343" i="1"/>
  <c r="X343" i="1"/>
  <c r="AA342" i="1"/>
  <c r="AB342" i="1" s="1"/>
  <c r="Z342" i="1"/>
  <c r="Y342" i="1"/>
  <c r="X342" i="1"/>
  <c r="AB341" i="1"/>
  <c r="AA341" i="1"/>
  <c r="Z341" i="1"/>
  <c r="Y341" i="1"/>
  <c r="X341" i="1"/>
  <c r="AA340" i="1"/>
  <c r="AB340" i="1" s="1"/>
  <c r="Z340" i="1"/>
  <c r="Y340" i="1"/>
  <c r="X340" i="1"/>
  <c r="AB339" i="1"/>
  <c r="AA339" i="1"/>
  <c r="Z339" i="1"/>
  <c r="Y339" i="1"/>
  <c r="X339" i="1"/>
  <c r="AA338" i="1"/>
  <c r="AB338" i="1" s="1"/>
  <c r="Z338" i="1"/>
  <c r="Y338" i="1"/>
  <c r="X338" i="1"/>
  <c r="AB337" i="1"/>
  <c r="AA337" i="1"/>
  <c r="Z337" i="1"/>
  <c r="Y337" i="1"/>
  <c r="X337" i="1"/>
  <c r="AA336" i="1"/>
  <c r="AB336" i="1" s="1"/>
  <c r="Z336" i="1"/>
  <c r="Y336" i="1"/>
  <c r="X336" i="1"/>
  <c r="AB335" i="1"/>
  <c r="AA335" i="1"/>
  <c r="Z335" i="1"/>
  <c r="Y335" i="1"/>
  <c r="X335" i="1"/>
  <c r="AA334" i="1"/>
  <c r="AB334" i="1" s="1"/>
  <c r="Z334" i="1"/>
  <c r="Y334" i="1"/>
  <c r="X334" i="1"/>
  <c r="AB333" i="1"/>
  <c r="AA333" i="1"/>
  <c r="Z333" i="1"/>
  <c r="Y333" i="1"/>
  <c r="X333" i="1"/>
  <c r="AA332" i="1"/>
  <c r="AB332" i="1" s="1"/>
  <c r="Z332" i="1"/>
  <c r="Y332" i="1"/>
  <c r="X332" i="1"/>
  <c r="AB331" i="1"/>
  <c r="AA331" i="1"/>
  <c r="Z331" i="1"/>
  <c r="Y331" i="1"/>
  <c r="X331" i="1"/>
  <c r="AA330" i="1"/>
  <c r="AB330" i="1" s="1"/>
  <c r="Z330" i="1"/>
  <c r="Y330" i="1"/>
  <c r="X330" i="1"/>
  <c r="AB329" i="1"/>
  <c r="AA329" i="1"/>
  <c r="Z329" i="1"/>
  <c r="Y329" i="1"/>
  <c r="X329" i="1"/>
  <c r="AA328" i="1"/>
  <c r="AB328" i="1" s="1"/>
  <c r="Z328" i="1"/>
  <c r="Y328" i="1"/>
  <c r="X328" i="1"/>
  <c r="AB327" i="1"/>
  <c r="AA327" i="1"/>
  <c r="Z327" i="1"/>
  <c r="Y327" i="1"/>
  <c r="X327" i="1"/>
  <c r="AA326" i="1"/>
  <c r="AB326" i="1" s="1"/>
  <c r="Z326" i="1"/>
  <c r="Y326" i="1"/>
  <c r="X326" i="1"/>
  <c r="AB325" i="1"/>
  <c r="AA325" i="1"/>
  <c r="Z325" i="1"/>
  <c r="Y325" i="1"/>
  <c r="X325" i="1"/>
  <c r="AA324" i="1"/>
  <c r="AB324" i="1" s="1"/>
  <c r="Z324" i="1"/>
  <c r="Y324" i="1"/>
  <c r="X324" i="1"/>
  <c r="AB323" i="1"/>
  <c r="AA323" i="1"/>
  <c r="Z323" i="1"/>
  <c r="Y323" i="1"/>
  <c r="X323" i="1"/>
  <c r="AA322" i="1"/>
  <c r="AB322" i="1" s="1"/>
  <c r="Z322" i="1"/>
  <c r="Y322" i="1"/>
  <c r="X322" i="1"/>
  <c r="AB321" i="1"/>
  <c r="AA321" i="1"/>
  <c r="Z321" i="1"/>
  <c r="Y321" i="1"/>
  <c r="X321" i="1"/>
  <c r="AA320" i="1"/>
  <c r="AB320" i="1" s="1"/>
  <c r="Z320" i="1"/>
  <c r="Y320" i="1"/>
  <c r="X320" i="1"/>
  <c r="AB319" i="1"/>
  <c r="AA319" i="1"/>
  <c r="Z319" i="1"/>
  <c r="Y319" i="1"/>
  <c r="X319" i="1"/>
  <c r="AA318" i="1"/>
  <c r="AB318" i="1" s="1"/>
  <c r="Z318" i="1"/>
  <c r="Y318" i="1"/>
  <c r="X318" i="1"/>
  <c r="AB317" i="1"/>
  <c r="AA317" i="1"/>
  <c r="Z317" i="1"/>
  <c r="Y317" i="1"/>
  <c r="X317" i="1"/>
  <c r="AA316" i="1"/>
  <c r="AB316" i="1" s="1"/>
  <c r="Z316" i="1"/>
  <c r="Y316" i="1"/>
  <c r="X316" i="1"/>
  <c r="AB315" i="1"/>
  <c r="AA315" i="1"/>
  <c r="Z315" i="1"/>
  <c r="Y315" i="1"/>
  <c r="X315" i="1"/>
  <c r="AA314" i="1"/>
  <c r="AB314" i="1" s="1"/>
  <c r="Z314" i="1"/>
  <c r="Y314" i="1"/>
  <c r="X314" i="1"/>
  <c r="AB313" i="1"/>
  <c r="AA313" i="1"/>
  <c r="Z313" i="1"/>
  <c r="Y313" i="1"/>
  <c r="X313" i="1"/>
  <c r="AA312" i="1"/>
  <c r="AB312" i="1" s="1"/>
  <c r="Z312" i="1"/>
  <c r="Y312" i="1"/>
  <c r="X312" i="1"/>
  <c r="AB311" i="1"/>
  <c r="AA311" i="1"/>
  <c r="Z311" i="1"/>
  <c r="Y311" i="1"/>
  <c r="X311" i="1"/>
  <c r="AA310" i="1"/>
  <c r="AB310" i="1" s="1"/>
  <c r="Z310" i="1"/>
  <c r="Y310" i="1"/>
  <c r="X310" i="1"/>
  <c r="AB309" i="1"/>
  <c r="AA309" i="1"/>
  <c r="Z309" i="1"/>
  <c r="Y309" i="1"/>
  <c r="X309" i="1"/>
  <c r="AA308" i="1"/>
  <c r="AB308" i="1" s="1"/>
  <c r="Z308" i="1"/>
  <c r="Y308" i="1"/>
  <c r="X308" i="1"/>
  <c r="AB307" i="1"/>
  <c r="AA307" i="1"/>
  <c r="Z307" i="1"/>
  <c r="Y307" i="1"/>
  <c r="X307" i="1"/>
  <c r="AA306" i="1"/>
  <c r="AB306" i="1" s="1"/>
  <c r="Z306" i="1"/>
  <c r="Y306" i="1"/>
  <c r="X306" i="1"/>
  <c r="AB305" i="1"/>
  <c r="AA305" i="1"/>
  <c r="Z305" i="1"/>
  <c r="Y305" i="1"/>
  <c r="X305" i="1"/>
  <c r="AA304" i="1"/>
  <c r="AB304" i="1" s="1"/>
  <c r="Z304" i="1"/>
  <c r="Y304" i="1"/>
  <c r="X304" i="1"/>
  <c r="AB303" i="1"/>
  <c r="AA303" i="1"/>
  <c r="Z303" i="1"/>
  <c r="Y303" i="1"/>
  <c r="X303" i="1"/>
  <c r="AA302" i="1"/>
  <c r="AB302" i="1" s="1"/>
  <c r="Z302" i="1"/>
  <c r="Y302" i="1"/>
  <c r="X302" i="1"/>
  <c r="AB301" i="1"/>
  <c r="AA301" i="1"/>
  <c r="Z301" i="1"/>
  <c r="Y301" i="1"/>
  <c r="X301" i="1"/>
  <c r="AA300" i="1"/>
  <c r="AB300" i="1" s="1"/>
  <c r="Z300" i="1"/>
  <c r="Y300" i="1"/>
  <c r="X300" i="1"/>
  <c r="AB299" i="1"/>
  <c r="AA299" i="1"/>
  <c r="Z299" i="1"/>
  <c r="Y299" i="1"/>
  <c r="X299" i="1"/>
  <c r="AA298" i="1"/>
  <c r="AB298" i="1" s="1"/>
  <c r="Z298" i="1"/>
  <c r="Y298" i="1"/>
  <c r="X298" i="1"/>
  <c r="AB297" i="1"/>
  <c r="AA297" i="1"/>
  <c r="Z297" i="1"/>
  <c r="Y297" i="1"/>
  <c r="X297" i="1"/>
  <c r="AA296" i="1"/>
  <c r="AB296" i="1" s="1"/>
  <c r="Z296" i="1"/>
  <c r="Y296" i="1"/>
  <c r="X296" i="1"/>
  <c r="AB295" i="1"/>
  <c r="AA295" i="1"/>
  <c r="Z295" i="1"/>
  <c r="Y295" i="1"/>
  <c r="X295" i="1"/>
  <c r="AA294" i="1"/>
  <c r="AB294" i="1" s="1"/>
  <c r="Z294" i="1"/>
  <c r="Y294" i="1"/>
  <c r="X294" i="1"/>
  <c r="AB293" i="1"/>
  <c r="AA293" i="1"/>
  <c r="Z293" i="1"/>
  <c r="Y293" i="1"/>
  <c r="X293" i="1"/>
  <c r="AA292" i="1"/>
  <c r="AB292" i="1" s="1"/>
  <c r="Z292" i="1"/>
  <c r="Y292" i="1"/>
  <c r="X292" i="1"/>
  <c r="AB291" i="1"/>
  <c r="AA291" i="1"/>
  <c r="Z291" i="1"/>
  <c r="Y291" i="1"/>
  <c r="X291" i="1"/>
  <c r="AA290" i="1"/>
  <c r="AB290" i="1" s="1"/>
  <c r="Z290" i="1"/>
  <c r="Y290" i="1"/>
  <c r="X290" i="1"/>
  <c r="AB289" i="1"/>
  <c r="AA289" i="1"/>
  <c r="Z289" i="1"/>
  <c r="Y289" i="1"/>
  <c r="X289" i="1"/>
  <c r="AA288" i="1"/>
  <c r="AB288" i="1" s="1"/>
  <c r="Z288" i="1"/>
  <c r="Y288" i="1"/>
  <c r="X288" i="1"/>
  <c r="AB287" i="1"/>
  <c r="AA287" i="1"/>
  <c r="Z287" i="1"/>
  <c r="Y287" i="1"/>
  <c r="X287" i="1"/>
  <c r="AA286" i="1"/>
  <c r="AB286" i="1" s="1"/>
  <c r="Z286" i="1"/>
  <c r="Y286" i="1"/>
  <c r="X286" i="1"/>
  <c r="AB285" i="1"/>
  <c r="AA285" i="1"/>
  <c r="Z285" i="1"/>
  <c r="Y285" i="1"/>
  <c r="X285" i="1"/>
  <c r="AA284" i="1"/>
  <c r="AB284" i="1" s="1"/>
  <c r="Z284" i="1"/>
  <c r="Y284" i="1"/>
  <c r="X284" i="1"/>
  <c r="AB283" i="1"/>
  <c r="AA283" i="1"/>
  <c r="Z283" i="1"/>
  <c r="Y283" i="1"/>
  <c r="X283" i="1"/>
  <c r="AA282" i="1"/>
  <c r="AB282" i="1" s="1"/>
  <c r="Z282" i="1"/>
  <c r="Y282" i="1"/>
  <c r="X282" i="1"/>
  <c r="AB281" i="1"/>
  <c r="AA281" i="1"/>
  <c r="Z281" i="1"/>
  <c r="Y281" i="1"/>
  <c r="X281" i="1"/>
  <c r="AA280" i="1"/>
  <c r="AB280" i="1" s="1"/>
  <c r="Z280" i="1"/>
  <c r="Y280" i="1"/>
  <c r="X280" i="1"/>
  <c r="AB279" i="1"/>
  <c r="AA279" i="1"/>
  <c r="Z279" i="1"/>
  <c r="Y279" i="1"/>
  <c r="X279" i="1"/>
  <c r="AA278" i="1"/>
  <c r="AB278" i="1" s="1"/>
  <c r="Z278" i="1"/>
  <c r="Y278" i="1"/>
  <c r="X278" i="1"/>
  <c r="AB277" i="1"/>
  <c r="AA277" i="1"/>
  <c r="Z277" i="1"/>
  <c r="Y277" i="1"/>
  <c r="X277" i="1"/>
  <c r="AA276" i="1"/>
  <c r="AB276" i="1" s="1"/>
  <c r="Z276" i="1"/>
  <c r="Y276" i="1"/>
  <c r="X276" i="1"/>
  <c r="AB275" i="1"/>
  <c r="AA275" i="1"/>
  <c r="Z275" i="1"/>
  <c r="Y275" i="1"/>
  <c r="X275" i="1"/>
  <c r="AA274" i="1"/>
  <c r="AB274" i="1" s="1"/>
  <c r="Z274" i="1"/>
  <c r="Y274" i="1"/>
  <c r="X274" i="1"/>
  <c r="AB273" i="1"/>
  <c r="AA273" i="1"/>
  <c r="Z273" i="1"/>
  <c r="Y273" i="1"/>
  <c r="X273" i="1"/>
  <c r="AA272" i="1"/>
  <c r="AB272" i="1" s="1"/>
  <c r="Z272" i="1"/>
  <c r="Y272" i="1"/>
  <c r="X272" i="1"/>
  <c r="AB271" i="1"/>
  <c r="AA271" i="1"/>
  <c r="Z271" i="1"/>
  <c r="Y271" i="1"/>
  <c r="X271" i="1"/>
  <c r="AA270" i="1"/>
  <c r="AB270" i="1" s="1"/>
  <c r="Z270" i="1"/>
  <c r="Y270" i="1"/>
  <c r="X270" i="1"/>
  <c r="AB269" i="1"/>
  <c r="AA269" i="1"/>
  <c r="Z269" i="1"/>
  <c r="Y269" i="1"/>
  <c r="X269" i="1"/>
  <c r="AA268" i="1"/>
  <c r="AB268" i="1" s="1"/>
  <c r="Z268" i="1"/>
  <c r="Y268" i="1"/>
  <c r="X268" i="1"/>
  <c r="AB267" i="1"/>
  <c r="AA267" i="1"/>
  <c r="Z267" i="1"/>
  <c r="Y267" i="1"/>
  <c r="X267" i="1"/>
  <c r="AA266" i="1"/>
  <c r="AB266" i="1" s="1"/>
  <c r="Z266" i="1"/>
  <c r="Y266" i="1"/>
  <c r="X266" i="1"/>
  <c r="AB265" i="1"/>
  <c r="AA265" i="1"/>
  <c r="Z265" i="1"/>
  <c r="Y265" i="1"/>
  <c r="X265" i="1"/>
  <c r="AA264" i="1"/>
  <c r="AB264" i="1" s="1"/>
  <c r="Z264" i="1"/>
  <c r="Y264" i="1"/>
  <c r="X264" i="1"/>
  <c r="AB263" i="1"/>
  <c r="AA263" i="1"/>
  <c r="Z263" i="1"/>
  <c r="Y263" i="1"/>
  <c r="X263" i="1"/>
  <c r="AA262" i="1"/>
  <c r="AB262" i="1" s="1"/>
  <c r="Z262" i="1"/>
  <c r="Y262" i="1"/>
  <c r="X262" i="1"/>
  <c r="AB261" i="1"/>
  <c r="AA261" i="1"/>
  <c r="Z261" i="1"/>
  <c r="Y261" i="1"/>
  <c r="X261" i="1"/>
  <c r="AA260" i="1"/>
  <c r="AB260" i="1" s="1"/>
  <c r="Z260" i="1"/>
  <c r="Y260" i="1"/>
  <c r="X260" i="1"/>
  <c r="AB259" i="1"/>
  <c r="AA259" i="1"/>
  <c r="Z259" i="1"/>
  <c r="Y259" i="1"/>
  <c r="X259" i="1"/>
  <c r="AA258" i="1"/>
  <c r="AB258" i="1" s="1"/>
  <c r="Z258" i="1"/>
  <c r="Y258" i="1"/>
  <c r="X258" i="1"/>
  <c r="AB257" i="1"/>
  <c r="AA257" i="1"/>
  <c r="Z257" i="1"/>
  <c r="Y257" i="1"/>
  <c r="X257" i="1"/>
  <c r="AA256" i="1"/>
  <c r="AB256" i="1" s="1"/>
  <c r="Z256" i="1"/>
  <c r="Y256" i="1"/>
  <c r="X256" i="1"/>
  <c r="AB255" i="1"/>
  <c r="AA255" i="1"/>
  <c r="Z255" i="1"/>
  <c r="Y255" i="1"/>
  <c r="X255" i="1"/>
  <c r="AA254" i="1"/>
  <c r="AB254" i="1" s="1"/>
  <c r="Z254" i="1"/>
  <c r="Y254" i="1"/>
  <c r="X254" i="1"/>
  <c r="AB253" i="1"/>
  <c r="AA253" i="1"/>
  <c r="Z253" i="1"/>
  <c r="Y253" i="1"/>
  <c r="X253" i="1"/>
  <c r="AA252" i="1"/>
  <c r="AB252" i="1" s="1"/>
  <c r="Z252" i="1"/>
  <c r="Y252" i="1"/>
  <c r="X252" i="1"/>
  <c r="AB251" i="1"/>
  <c r="AA251" i="1"/>
  <c r="Z251" i="1"/>
  <c r="Y251" i="1"/>
  <c r="X251" i="1"/>
  <c r="AA250" i="1"/>
  <c r="AB250" i="1" s="1"/>
  <c r="Z250" i="1"/>
  <c r="Y250" i="1"/>
  <c r="X250" i="1"/>
  <c r="AB249" i="1"/>
  <c r="AA249" i="1"/>
  <c r="Z249" i="1"/>
  <c r="Y249" i="1"/>
  <c r="X249" i="1"/>
  <c r="AA248" i="1"/>
  <c r="AB248" i="1" s="1"/>
  <c r="Z248" i="1"/>
  <c r="Y248" i="1"/>
  <c r="X248" i="1"/>
  <c r="AB247" i="1"/>
  <c r="AA247" i="1"/>
  <c r="Z247" i="1"/>
  <c r="Y247" i="1"/>
  <c r="X247" i="1"/>
  <c r="AA246" i="1"/>
  <c r="AB246" i="1" s="1"/>
  <c r="Z246" i="1"/>
  <c r="Y246" i="1"/>
  <c r="X246" i="1"/>
  <c r="AB245" i="1"/>
  <c r="AA245" i="1"/>
  <c r="Z245" i="1"/>
  <c r="Y245" i="1"/>
  <c r="X245" i="1"/>
  <c r="AA244" i="1"/>
  <c r="AB244" i="1" s="1"/>
  <c r="Z244" i="1"/>
  <c r="Y244" i="1"/>
  <c r="X244" i="1"/>
  <c r="AB243" i="1"/>
  <c r="AA243" i="1"/>
  <c r="Z243" i="1"/>
  <c r="Y243" i="1"/>
  <c r="X243" i="1"/>
  <c r="AA242" i="1"/>
  <c r="AB242" i="1" s="1"/>
  <c r="Z242" i="1"/>
  <c r="Y242" i="1"/>
  <c r="X242" i="1"/>
  <c r="AB241" i="1"/>
  <c r="AA241" i="1"/>
  <c r="Z241" i="1"/>
  <c r="Y241" i="1"/>
  <c r="X241" i="1"/>
  <c r="AA240" i="1"/>
  <c r="AB240" i="1" s="1"/>
  <c r="Z240" i="1"/>
  <c r="Y240" i="1"/>
  <c r="X240" i="1"/>
  <c r="AB239" i="1"/>
  <c r="AA239" i="1"/>
  <c r="Z239" i="1"/>
  <c r="Y239" i="1"/>
  <c r="X239" i="1"/>
  <c r="AA238" i="1"/>
  <c r="AB238" i="1" s="1"/>
  <c r="Z238" i="1"/>
  <c r="Y238" i="1"/>
  <c r="X238" i="1"/>
  <c r="AB237" i="1"/>
  <c r="AA237" i="1"/>
  <c r="Z237" i="1"/>
  <c r="Y237" i="1"/>
  <c r="X237" i="1"/>
  <c r="AA236" i="1"/>
  <c r="AB236" i="1" s="1"/>
  <c r="Z236" i="1"/>
  <c r="Y236" i="1"/>
  <c r="X236" i="1"/>
  <c r="AB235" i="1"/>
  <c r="AA235" i="1"/>
  <c r="Z235" i="1"/>
  <c r="Y235" i="1"/>
  <c r="X235" i="1"/>
  <c r="AA234" i="1"/>
  <c r="AB234" i="1" s="1"/>
  <c r="Z234" i="1"/>
  <c r="Y234" i="1"/>
  <c r="X234" i="1"/>
  <c r="AB233" i="1"/>
  <c r="AA233" i="1"/>
  <c r="Z233" i="1"/>
  <c r="Y233" i="1"/>
  <c r="X233" i="1"/>
  <c r="AA232" i="1"/>
  <c r="AB232" i="1" s="1"/>
  <c r="Z232" i="1"/>
  <c r="Y232" i="1"/>
  <c r="X232" i="1"/>
  <c r="AB231" i="1"/>
  <c r="AA231" i="1"/>
  <c r="Z231" i="1"/>
  <c r="Y231" i="1"/>
  <c r="X231" i="1"/>
  <c r="AA230" i="1"/>
  <c r="AB230" i="1" s="1"/>
  <c r="Z230" i="1"/>
  <c r="Y230" i="1"/>
  <c r="X230" i="1"/>
  <c r="AB229" i="1"/>
  <c r="AA229" i="1"/>
  <c r="Z229" i="1"/>
  <c r="Y229" i="1"/>
  <c r="X229" i="1"/>
  <c r="AA228" i="1"/>
  <c r="AB228" i="1" s="1"/>
  <c r="Z228" i="1"/>
  <c r="Y228" i="1"/>
  <c r="X228" i="1"/>
  <c r="AB227" i="1"/>
  <c r="AA227" i="1"/>
  <c r="Z227" i="1"/>
  <c r="Y227" i="1"/>
  <c r="X227" i="1"/>
  <c r="AA226" i="1"/>
  <c r="AB226" i="1" s="1"/>
  <c r="Z226" i="1"/>
  <c r="Y226" i="1"/>
  <c r="X226" i="1"/>
  <c r="AB225" i="1"/>
  <c r="AA225" i="1"/>
  <c r="Z225" i="1"/>
  <c r="Y225" i="1"/>
  <c r="X225" i="1"/>
  <c r="AA224" i="1"/>
  <c r="AB224" i="1" s="1"/>
  <c r="Z224" i="1"/>
  <c r="Y224" i="1"/>
  <c r="X224" i="1"/>
  <c r="AB223" i="1"/>
  <c r="AA223" i="1"/>
  <c r="Z223" i="1"/>
  <c r="Y223" i="1"/>
  <c r="X223" i="1"/>
  <c r="AA222" i="1"/>
  <c r="AB222" i="1" s="1"/>
  <c r="Z222" i="1"/>
  <c r="Y222" i="1"/>
  <c r="X222" i="1"/>
  <c r="AB221" i="1"/>
  <c r="AA221" i="1"/>
  <c r="Z221" i="1"/>
  <c r="Y221" i="1"/>
  <c r="X221" i="1"/>
  <c r="AA220" i="1"/>
  <c r="AB220" i="1" s="1"/>
  <c r="Z220" i="1"/>
  <c r="Y220" i="1"/>
  <c r="X220" i="1"/>
  <c r="AB219" i="1"/>
  <c r="AA219" i="1"/>
  <c r="Z219" i="1"/>
  <c r="Y219" i="1"/>
  <c r="X219" i="1"/>
  <c r="AA218" i="1"/>
  <c r="AB218" i="1" s="1"/>
  <c r="Z218" i="1"/>
  <c r="Y218" i="1"/>
  <c r="X218" i="1"/>
  <c r="AB217" i="1"/>
  <c r="AA217" i="1"/>
  <c r="Z217" i="1"/>
  <c r="Y217" i="1"/>
  <c r="X217" i="1"/>
  <c r="AA216" i="1"/>
  <c r="AB216" i="1" s="1"/>
  <c r="Z216" i="1"/>
  <c r="Y216" i="1"/>
  <c r="X216" i="1"/>
  <c r="AB215" i="1"/>
  <c r="AA215" i="1"/>
  <c r="Z215" i="1"/>
  <c r="Y215" i="1"/>
  <c r="X215" i="1"/>
  <c r="AA214" i="1"/>
  <c r="AB214" i="1" s="1"/>
  <c r="Z214" i="1"/>
  <c r="Y214" i="1"/>
  <c r="X214" i="1"/>
  <c r="AB213" i="1"/>
  <c r="AA213" i="1"/>
  <c r="Z213" i="1"/>
  <c r="Y213" i="1"/>
  <c r="X213" i="1"/>
  <c r="AA212" i="1"/>
  <c r="AB212" i="1" s="1"/>
  <c r="Z212" i="1"/>
  <c r="Y212" i="1"/>
  <c r="X212" i="1"/>
  <c r="AB211" i="1"/>
  <c r="AA211" i="1"/>
  <c r="Z211" i="1"/>
  <c r="Y211" i="1"/>
  <c r="X211" i="1"/>
  <c r="AA210" i="1"/>
  <c r="AB210" i="1" s="1"/>
  <c r="Z210" i="1"/>
  <c r="Y210" i="1"/>
  <c r="X210" i="1"/>
  <c r="AB209" i="1"/>
  <c r="AA209" i="1"/>
  <c r="Z209" i="1"/>
  <c r="Y209" i="1"/>
  <c r="X209" i="1"/>
  <c r="AA208" i="1"/>
  <c r="AB208" i="1" s="1"/>
  <c r="Z208" i="1"/>
  <c r="Y208" i="1"/>
  <c r="X208" i="1"/>
  <c r="AB207" i="1"/>
  <c r="AA207" i="1"/>
  <c r="Z207" i="1"/>
  <c r="Y207" i="1"/>
  <c r="X207" i="1"/>
  <c r="AA206" i="1"/>
  <c r="AB206" i="1" s="1"/>
  <c r="Z206" i="1"/>
  <c r="Y206" i="1"/>
  <c r="X206" i="1"/>
  <c r="AB205" i="1"/>
  <c r="AA205" i="1"/>
  <c r="Z205" i="1"/>
  <c r="Y205" i="1"/>
  <c r="X205" i="1"/>
  <c r="AA204" i="1"/>
  <c r="AB204" i="1" s="1"/>
  <c r="K31" i="3" s="1"/>
  <c r="Z204" i="1"/>
  <c r="Y204" i="1"/>
  <c r="X204" i="1"/>
  <c r="AB203" i="1"/>
  <c r="AA203" i="1"/>
  <c r="Z203" i="1"/>
  <c r="Y203" i="1"/>
  <c r="X203" i="1"/>
  <c r="AA202" i="1"/>
  <c r="AB202" i="1" s="1"/>
  <c r="Z202" i="1"/>
  <c r="Y202" i="1"/>
  <c r="X202" i="1"/>
  <c r="AB201" i="1"/>
  <c r="AA201" i="1"/>
  <c r="Z201" i="1"/>
  <c r="Y201" i="1"/>
  <c r="X201" i="1"/>
  <c r="AA200" i="1"/>
  <c r="AB200" i="1" s="1"/>
  <c r="Z200" i="1"/>
  <c r="Y200" i="1"/>
  <c r="X200" i="1"/>
  <c r="AB199" i="1"/>
  <c r="AA199" i="1"/>
  <c r="Z199" i="1"/>
  <c r="Y199" i="1"/>
  <c r="X199" i="1"/>
  <c r="AA198" i="1"/>
  <c r="AB198" i="1" s="1"/>
  <c r="Z198" i="1"/>
  <c r="Y198" i="1"/>
  <c r="X198" i="1"/>
  <c r="AB197" i="1"/>
  <c r="AA197" i="1"/>
  <c r="Z197" i="1"/>
  <c r="Y197" i="1"/>
  <c r="X197" i="1"/>
  <c r="AA196" i="1"/>
  <c r="AB196" i="1" s="1"/>
  <c r="Z196" i="1"/>
  <c r="Y196" i="1"/>
  <c r="X196" i="1"/>
  <c r="AB195" i="1"/>
  <c r="AA195" i="1"/>
  <c r="Z195" i="1"/>
  <c r="Y195" i="1"/>
  <c r="X195" i="1"/>
  <c r="AA194" i="1"/>
  <c r="AB194" i="1" s="1"/>
  <c r="Z194" i="1"/>
  <c r="Y194" i="1"/>
  <c r="X194" i="1"/>
  <c r="AB193" i="1"/>
  <c r="AA193" i="1"/>
  <c r="Z193" i="1"/>
  <c r="Y193" i="1"/>
  <c r="X193" i="1"/>
  <c r="AA192" i="1"/>
  <c r="AB192" i="1" s="1"/>
  <c r="Z192" i="1"/>
  <c r="Y192" i="1"/>
  <c r="X192" i="1"/>
  <c r="AB191" i="1"/>
  <c r="AA191" i="1"/>
  <c r="Z191" i="1"/>
  <c r="Y191" i="1"/>
  <c r="X191" i="1"/>
  <c r="AA190" i="1"/>
  <c r="AB190" i="1" s="1"/>
  <c r="Z190" i="1"/>
  <c r="Y190" i="1"/>
  <c r="X190" i="1"/>
  <c r="AB189" i="1"/>
  <c r="AA189" i="1"/>
  <c r="Z189" i="1"/>
  <c r="Y189" i="1"/>
  <c r="X189" i="1"/>
  <c r="AA188" i="1"/>
  <c r="AB188" i="1" s="1"/>
  <c r="Z188" i="1"/>
  <c r="Y188" i="1"/>
  <c r="X188" i="1"/>
  <c r="AB187" i="1"/>
  <c r="AA187" i="1"/>
  <c r="Z187" i="1"/>
  <c r="Y187" i="1"/>
  <c r="X187" i="1"/>
  <c r="AA186" i="1"/>
  <c r="AB186" i="1" s="1"/>
  <c r="Z186" i="1"/>
  <c r="Y186" i="1"/>
  <c r="X186" i="1"/>
  <c r="AB185" i="1"/>
  <c r="AA185" i="1"/>
  <c r="Z185" i="1"/>
  <c r="Y185" i="1"/>
  <c r="X185" i="1"/>
  <c r="AA184" i="1"/>
  <c r="AB184" i="1" s="1"/>
  <c r="Z184" i="1"/>
  <c r="Y184" i="1"/>
  <c r="X184" i="1"/>
  <c r="AB183" i="1"/>
  <c r="AA183" i="1"/>
  <c r="Z183" i="1"/>
  <c r="Y183" i="1"/>
  <c r="X183" i="1"/>
  <c r="AA182" i="1"/>
  <c r="AB182" i="1" s="1"/>
  <c r="Z182" i="1"/>
  <c r="Y182" i="1"/>
  <c r="X182" i="1"/>
  <c r="AB181" i="1"/>
  <c r="AA181" i="1"/>
  <c r="Z181" i="1"/>
  <c r="Y181" i="1"/>
  <c r="X181" i="1"/>
  <c r="AB180" i="1"/>
  <c r="AA180" i="1"/>
  <c r="Z180" i="1"/>
  <c r="Y180" i="1"/>
  <c r="X180" i="1"/>
  <c r="AA179" i="1"/>
  <c r="AB179" i="1" s="1"/>
  <c r="Z179" i="1"/>
  <c r="Y179" i="1"/>
  <c r="X179" i="1"/>
  <c r="AB178" i="1"/>
  <c r="AA178" i="1"/>
  <c r="Z178" i="1"/>
  <c r="Y178" i="1"/>
  <c r="X178" i="1"/>
  <c r="AA177" i="1"/>
  <c r="AB177" i="1" s="1"/>
  <c r="Z177" i="1"/>
  <c r="Y177" i="1"/>
  <c r="X177" i="1"/>
  <c r="AB176" i="1"/>
  <c r="AA176" i="1"/>
  <c r="Z176" i="1"/>
  <c r="Y176" i="1"/>
  <c r="X176" i="1"/>
  <c r="AA175" i="1"/>
  <c r="AB175" i="1" s="1"/>
  <c r="Z175" i="1"/>
  <c r="Y175" i="1"/>
  <c r="X175" i="1"/>
  <c r="AB174" i="1"/>
  <c r="AA174" i="1"/>
  <c r="Z174" i="1"/>
  <c r="Y174" i="1"/>
  <c r="X174" i="1"/>
  <c r="AA173" i="1"/>
  <c r="AB173" i="1" s="1"/>
  <c r="Z173" i="1"/>
  <c r="Y173" i="1"/>
  <c r="X173" i="1"/>
  <c r="AB172" i="1"/>
  <c r="AA172" i="1"/>
  <c r="Z172" i="1"/>
  <c r="Y172" i="1"/>
  <c r="X172" i="1"/>
  <c r="AA171" i="1"/>
  <c r="AB171" i="1" s="1"/>
  <c r="Z171" i="1"/>
  <c r="Y171" i="1"/>
  <c r="X171" i="1"/>
  <c r="AB170" i="1"/>
  <c r="AA170" i="1"/>
  <c r="Z170" i="1"/>
  <c r="Y170" i="1"/>
  <c r="X170" i="1"/>
  <c r="AA169" i="1"/>
  <c r="AB169" i="1" s="1"/>
  <c r="Z169" i="1"/>
  <c r="Y169" i="1"/>
  <c r="X169" i="1"/>
  <c r="AB168" i="1"/>
  <c r="AA168" i="1"/>
  <c r="Z168" i="1"/>
  <c r="Y168" i="1"/>
  <c r="X168" i="1"/>
  <c r="AA167" i="1"/>
  <c r="AB167" i="1" s="1"/>
  <c r="Z167" i="1"/>
  <c r="Y167" i="1"/>
  <c r="X167" i="1"/>
  <c r="AB166" i="1"/>
  <c r="AA166" i="1"/>
  <c r="Z166" i="1"/>
  <c r="Y166" i="1"/>
  <c r="X166" i="1"/>
  <c r="AA165" i="1"/>
  <c r="AB165" i="1" s="1"/>
  <c r="Z165" i="1"/>
  <c r="Y165" i="1"/>
  <c r="X165" i="1"/>
  <c r="AB164" i="1"/>
  <c r="AA164" i="1"/>
  <c r="Z164" i="1"/>
  <c r="Y164" i="1"/>
  <c r="X164" i="1"/>
  <c r="AA163" i="1"/>
  <c r="AB163" i="1" s="1"/>
  <c r="Z163" i="1"/>
  <c r="Y163" i="1"/>
  <c r="X163" i="1"/>
  <c r="AB162" i="1"/>
  <c r="AA162" i="1"/>
  <c r="Z162" i="1"/>
  <c r="Y162" i="1"/>
  <c r="X162" i="1"/>
  <c r="AA161" i="1"/>
  <c r="AB161" i="1" s="1"/>
  <c r="Z161" i="1"/>
  <c r="Y161" i="1"/>
  <c r="X161" i="1"/>
  <c r="AB160" i="1"/>
  <c r="AA160" i="1"/>
  <c r="Z160" i="1"/>
  <c r="Y160" i="1"/>
  <c r="X160" i="1"/>
  <c r="AA159" i="1"/>
  <c r="AB159" i="1" s="1"/>
  <c r="Z159" i="1"/>
  <c r="Y159" i="1"/>
  <c r="X159" i="1"/>
  <c r="AB158" i="1"/>
  <c r="AA158" i="1"/>
  <c r="Z158" i="1"/>
  <c r="Y158" i="1"/>
  <c r="X158" i="1"/>
  <c r="AA157" i="1"/>
  <c r="AB157" i="1" s="1"/>
  <c r="Z157" i="1"/>
  <c r="Y157" i="1"/>
  <c r="X157" i="1"/>
  <c r="AB156" i="1"/>
  <c r="AA156" i="1"/>
  <c r="Z156" i="1"/>
  <c r="Y156" i="1"/>
  <c r="X156" i="1"/>
  <c r="AA155" i="1"/>
  <c r="AB155" i="1" s="1"/>
  <c r="Z155" i="1"/>
  <c r="Y155" i="1"/>
  <c r="X155" i="1"/>
  <c r="AB154" i="1"/>
  <c r="AA154" i="1"/>
  <c r="Z154" i="1"/>
  <c r="Y154" i="1"/>
  <c r="X154" i="1"/>
  <c r="AA153" i="1"/>
  <c r="AB153" i="1" s="1"/>
  <c r="Z153" i="1"/>
  <c r="Y153" i="1"/>
  <c r="X153" i="1"/>
  <c r="AB152" i="1"/>
  <c r="AA152" i="1"/>
  <c r="Z152" i="1"/>
  <c r="Y152" i="1"/>
  <c r="X152" i="1"/>
  <c r="AA151" i="1"/>
  <c r="AB151" i="1" s="1"/>
  <c r="Z151" i="1"/>
  <c r="Y151" i="1"/>
  <c r="X151" i="1"/>
  <c r="AB150" i="1"/>
  <c r="AA150" i="1"/>
  <c r="Z150" i="1"/>
  <c r="Y150" i="1"/>
  <c r="X150" i="1"/>
  <c r="AA149" i="1"/>
  <c r="AB149" i="1" s="1"/>
  <c r="Z149" i="1"/>
  <c r="Y149" i="1"/>
  <c r="X149" i="1"/>
  <c r="AB148" i="1"/>
  <c r="AA148" i="1"/>
  <c r="Z148" i="1"/>
  <c r="Y148" i="1"/>
  <c r="X148" i="1"/>
  <c r="AA147" i="1"/>
  <c r="AB147" i="1" s="1"/>
  <c r="Z147" i="1"/>
  <c r="Y147" i="1"/>
  <c r="X147" i="1"/>
  <c r="AB146" i="1"/>
  <c r="AA146" i="1"/>
  <c r="Z146" i="1"/>
  <c r="Y146" i="1"/>
  <c r="X146" i="1"/>
  <c r="AA145" i="1"/>
  <c r="AB145" i="1" s="1"/>
  <c r="Z145" i="1"/>
  <c r="Y145" i="1"/>
  <c r="X145" i="1"/>
  <c r="AB144" i="1"/>
  <c r="AA144" i="1"/>
  <c r="Z144" i="1"/>
  <c r="Y144" i="1"/>
  <c r="X144" i="1"/>
  <c r="AA143" i="1"/>
  <c r="AB143" i="1" s="1"/>
  <c r="Z143" i="1"/>
  <c r="Y143" i="1"/>
  <c r="X143" i="1"/>
  <c r="AB142" i="1"/>
  <c r="AA142" i="1"/>
  <c r="Z142" i="1"/>
  <c r="Y142" i="1"/>
  <c r="X142" i="1"/>
  <c r="AA141" i="1"/>
  <c r="AB141" i="1" s="1"/>
  <c r="Z141" i="1"/>
  <c r="Y141" i="1"/>
  <c r="X141" i="1"/>
  <c r="AB140" i="1"/>
  <c r="AA140" i="1"/>
  <c r="Z140" i="1"/>
  <c r="Y140" i="1"/>
  <c r="X140" i="1"/>
  <c r="AA139" i="1"/>
  <c r="AB139" i="1" s="1"/>
  <c r="Z139" i="1"/>
  <c r="Y139" i="1"/>
  <c r="X139" i="1"/>
  <c r="AB138" i="1"/>
  <c r="AA138" i="1"/>
  <c r="Z138" i="1"/>
  <c r="Y138" i="1"/>
  <c r="X138" i="1"/>
  <c r="AA137" i="1"/>
  <c r="AB137" i="1" s="1"/>
  <c r="Z137" i="1"/>
  <c r="Y137" i="1"/>
  <c r="X137" i="1"/>
  <c r="AB136" i="1"/>
  <c r="AA136" i="1"/>
  <c r="Z136" i="1"/>
  <c r="Y136" i="1"/>
  <c r="X136" i="1"/>
  <c r="AA135" i="1"/>
  <c r="AB135" i="1" s="1"/>
  <c r="Z135" i="1"/>
  <c r="Y135" i="1"/>
  <c r="X135" i="1"/>
  <c r="AB134" i="1"/>
  <c r="AA134" i="1"/>
  <c r="Z134" i="1"/>
  <c r="Y134" i="1"/>
  <c r="X134" i="1"/>
  <c r="AA133" i="1"/>
  <c r="AB133" i="1" s="1"/>
  <c r="Z133" i="1"/>
  <c r="Y133" i="1"/>
  <c r="X133" i="1"/>
  <c r="AB132" i="1"/>
  <c r="AA132" i="1"/>
  <c r="Z132" i="1"/>
  <c r="Y132" i="1"/>
  <c r="X132" i="1"/>
  <c r="AA131" i="1"/>
  <c r="AB131" i="1" s="1"/>
  <c r="Z131" i="1"/>
  <c r="Y131" i="1"/>
  <c r="X131" i="1"/>
  <c r="AB130" i="1"/>
  <c r="AA130" i="1"/>
  <c r="Z130" i="1"/>
  <c r="Y130" i="1"/>
  <c r="X130" i="1"/>
  <c r="AA129" i="1"/>
  <c r="AB129" i="1" s="1"/>
  <c r="Z129" i="1"/>
  <c r="Y129" i="1"/>
  <c r="X129" i="1"/>
  <c r="AB128" i="1"/>
  <c r="AA128" i="1"/>
  <c r="Z128" i="1"/>
  <c r="Y128" i="1"/>
  <c r="X128" i="1"/>
  <c r="AA127" i="1"/>
  <c r="AB127" i="1" s="1"/>
  <c r="Z127" i="1"/>
  <c r="Y127" i="1"/>
  <c r="X127" i="1"/>
  <c r="AB126" i="1"/>
  <c r="AA126" i="1"/>
  <c r="Z126" i="1"/>
  <c r="Y126" i="1"/>
  <c r="X126" i="1"/>
  <c r="AA125" i="1"/>
  <c r="AB125" i="1" s="1"/>
  <c r="Z125" i="1"/>
  <c r="Y125" i="1"/>
  <c r="X125" i="1"/>
  <c r="AB124" i="1"/>
  <c r="AA124" i="1"/>
  <c r="Z124" i="1"/>
  <c r="Y124" i="1"/>
  <c r="X124" i="1"/>
  <c r="AA123" i="1"/>
  <c r="AB123" i="1" s="1"/>
  <c r="Z123" i="1"/>
  <c r="Y123" i="1"/>
  <c r="X123" i="1"/>
  <c r="AB122" i="1"/>
  <c r="AA122" i="1"/>
  <c r="Z122" i="1"/>
  <c r="Y122" i="1"/>
  <c r="X122" i="1"/>
  <c r="AA121" i="1"/>
  <c r="AB121" i="1" s="1"/>
  <c r="Z121" i="1"/>
  <c r="Y121" i="1"/>
  <c r="X121" i="1"/>
  <c r="AB120" i="1"/>
  <c r="AA120" i="1"/>
  <c r="Z120" i="1"/>
  <c r="Y120" i="1"/>
  <c r="X120" i="1"/>
  <c r="AA119" i="1"/>
  <c r="AB119" i="1" s="1"/>
  <c r="Z119" i="1"/>
  <c r="Y119" i="1"/>
  <c r="X119" i="1"/>
  <c r="AB118" i="1"/>
  <c r="AA118" i="1"/>
  <c r="Z118" i="1"/>
  <c r="Y118" i="1"/>
  <c r="X118" i="1"/>
  <c r="AA117" i="1"/>
  <c r="AB117" i="1" s="1"/>
  <c r="Z117" i="1"/>
  <c r="Y117" i="1"/>
  <c r="X117" i="1"/>
  <c r="AB116" i="1"/>
  <c r="AA116" i="1"/>
  <c r="Z116" i="1"/>
  <c r="Y116" i="1"/>
  <c r="X116" i="1"/>
  <c r="AA115" i="1"/>
  <c r="AB115" i="1" s="1"/>
  <c r="Z115" i="1"/>
  <c r="Y115" i="1"/>
  <c r="X115" i="1"/>
  <c r="AB114" i="1"/>
  <c r="AA114" i="1"/>
  <c r="Z114" i="1"/>
  <c r="Y114" i="1"/>
  <c r="X114" i="1"/>
  <c r="AA113" i="1"/>
  <c r="AB113" i="1" s="1"/>
  <c r="Z113" i="1"/>
  <c r="J30" i="3" s="1"/>
  <c r="Y113" i="1"/>
  <c r="X113" i="1"/>
  <c r="AA112" i="1"/>
  <c r="AB112" i="1" s="1"/>
  <c r="Z112" i="1"/>
  <c r="Y112" i="1"/>
  <c r="X112" i="1"/>
  <c r="AB111" i="1"/>
  <c r="AA111" i="1"/>
  <c r="Z111" i="1"/>
  <c r="Y111" i="1"/>
  <c r="X111" i="1"/>
  <c r="AB110" i="1"/>
  <c r="AA110" i="1"/>
  <c r="Z110" i="1"/>
  <c r="Y110" i="1"/>
  <c r="X110" i="1"/>
  <c r="AA109" i="1"/>
  <c r="AB109" i="1" s="1"/>
  <c r="Z109" i="1"/>
  <c r="Y109" i="1"/>
  <c r="X109" i="1"/>
  <c r="AA108" i="1"/>
  <c r="AB108" i="1" s="1"/>
  <c r="Z108" i="1"/>
  <c r="Y108" i="1"/>
  <c r="X108" i="1"/>
  <c r="AB107" i="1"/>
  <c r="AA107" i="1"/>
  <c r="Z107" i="1"/>
  <c r="Y107" i="1"/>
  <c r="X107" i="1"/>
  <c r="AB106" i="1"/>
  <c r="AA106" i="1"/>
  <c r="Z106" i="1"/>
  <c r="Y106" i="1"/>
  <c r="X106" i="1"/>
  <c r="AA105" i="1"/>
  <c r="AB105" i="1" s="1"/>
  <c r="Z105" i="1"/>
  <c r="Y105" i="1"/>
  <c r="X105" i="1"/>
  <c r="AA104" i="1"/>
  <c r="AB104" i="1" s="1"/>
  <c r="Z104" i="1"/>
  <c r="Y104" i="1"/>
  <c r="X104" i="1"/>
  <c r="AB103" i="1"/>
  <c r="AA103" i="1"/>
  <c r="Z103" i="1"/>
  <c r="Y103" i="1"/>
  <c r="X103" i="1"/>
  <c r="AB102" i="1"/>
  <c r="AA102" i="1"/>
  <c r="Z102" i="1"/>
  <c r="Y102" i="1"/>
  <c r="X102" i="1"/>
  <c r="AA101" i="1"/>
  <c r="AB101" i="1" s="1"/>
  <c r="Z101" i="1"/>
  <c r="Y101" i="1"/>
  <c r="X101" i="1"/>
  <c r="AA100" i="1"/>
  <c r="AB100" i="1" s="1"/>
  <c r="Z100" i="1"/>
  <c r="Y100" i="1"/>
  <c r="X100" i="1"/>
  <c r="AB99" i="1"/>
  <c r="AA99" i="1"/>
  <c r="Z99" i="1"/>
  <c r="Y99" i="1"/>
  <c r="X99" i="1"/>
  <c r="AB98" i="1"/>
  <c r="AA98" i="1"/>
  <c r="Z98" i="1"/>
  <c r="Y98" i="1"/>
  <c r="X98" i="1"/>
  <c r="AA97" i="1"/>
  <c r="AB97" i="1" s="1"/>
  <c r="Z97" i="1"/>
  <c r="Y97" i="1"/>
  <c r="X97" i="1"/>
  <c r="AA96" i="1"/>
  <c r="AB96" i="1" s="1"/>
  <c r="Z96" i="1"/>
  <c r="Y96" i="1"/>
  <c r="X96" i="1"/>
  <c r="AB95" i="1"/>
  <c r="AA95" i="1"/>
  <c r="Z95" i="1"/>
  <c r="Y95" i="1"/>
  <c r="X95" i="1"/>
  <c r="AB94" i="1"/>
  <c r="AA94" i="1"/>
  <c r="Z94" i="1"/>
  <c r="Y94" i="1"/>
  <c r="X94" i="1"/>
  <c r="AA93" i="1"/>
  <c r="AB93" i="1" s="1"/>
  <c r="Z93" i="1"/>
  <c r="Y93" i="1"/>
  <c r="X93" i="1"/>
  <c r="AA92" i="1"/>
  <c r="AB92" i="1" s="1"/>
  <c r="Z92" i="1"/>
  <c r="Y92" i="1"/>
  <c r="X92" i="1"/>
  <c r="AB91" i="1"/>
  <c r="AA91" i="1"/>
  <c r="Z91" i="1"/>
  <c r="Y91" i="1"/>
  <c r="X91" i="1"/>
  <c r="AB90" i="1"/>
  <c r="AA90" i="1"/>
  <c r="Z90" i="1"/>
  <c r="Y90" i="1"/>
  <c r="X90" i="1"/>
  <c r="AA89" i="1"/>
  <c r="AB89" i="1" s="1"/>
  <c r="Z89" i="1"/>
  <c r="Y89" i="1"/>
  <c r="X89" i="1"/>
  <c r="AA88" i="1"/>
  <c r="AB88" i="1" s="1"/>
  <c r="Z88" i="1"/>
  <c r="Y88" i="1"/>
  <c r="X88" i="1"/>
  <c r="AB87" i="1"/>
  <c r="AA87" i="1"/>
  <c r="Z87" i="1"/>
  <c r="Y87" i="1"/>
  <c r="X87" i="1"/>
  <c r="AB86" i="1"/>
  <c r="AA86" i="1"/>
  <c r="Z86" i="1"/>
  <c r="Y86" i="1"/>
  <c r="X86" i="1"/>
  <c r="AA85" i="1"/>
  <c r="AB85" i="1" s="1"/>
  <c r="Z85" i="1"/>
  <c r="Y85" i="1"/>
  <c r="X85" i="1"/>
  <c r="AA84" i="1"/>
  <c r="AB84" i="1" s="1"/>
  <c r="Z84" i="1"/>
  <c r="Y84" i="1"/>
  <c r="X84" i="1"/>
  <c r="AB83" i="1"/>
  <c r="AA83" i="1"/>
  <c r="Z83" i="1"/>
  <c r="Y83" i="1"/>
  <c r="X83" i="1"/>
  <c r="AB82" i="1"/>
  <c r="AA82" i="1"/>
  <c r="Z82" i="1"/>
  <c r="Y82" i="1"/>
  <c r="X82" i="1"/>
  <c r="AA81" i="1"/>
  <c r="AB81" i="1" s="1"/>
  <c r="Z81" i="1"/>
  <c r="Y81" i="1"/>
  <c r="X81" i="1"/>
  <c r="AA80" i="1"/>
  <c r="AB80" i="1" s="1"/>
  <c r="Z80" i="1"/>
  <c r="Y80" i="1"/>
  <c r="X80" i="1"/>
  <c r="AB79" i="1"/>
  <c r="AA79" i="1"/>
  <c r="Z79" i="1"/>
  <c r="Y79" i="1"/>
  <c r="X79" i="1"/>
  <c r="AB78" i="1"/>
  <c r="AA78" i="1"/>
  <c r="Z78" i="1"/>
  <c r="Y78" i="1"/>
  <c r="X78" i="1"/>
  <c r="AA77" i="1"/>
  <c r="AB77" i="1" s="1"/>
  <c r="Z77" i="1"/>
  <c r="Y77" i="1"/>
  <c r="X77" i="1"/>
  <c r="AA76" i="1"/>
  <c r="AB76" i="1" s="1"/>
  <c r="Z76" i="1"/>
  <c r="Y76" i="1"/>
  <c r="X76" i="1"/>
  <c r="AB75" i="1"/>
  <c r="AA75" i="1"/>
  <c r="Z75" i="1"/>
  <c r="Y75" i="1"/>
  <c r="X75" i="1"/>
  <c r="AB74" i="1"/>
  <c r="AA74" i="1"/>
  <c r="Z74" i="1"/>
  <c r="Y74" i="1"/>
  <c r="X74" i="1"/>
  <c r="AA73" i="1"/>
  <c r="AB73" i="1" s="1"/>
  <c r="Z73" i="1"/>
  <c r="Y73" i="1"/>
  <c r="X73" i="1"/>
  <c r="AA72" i="1"/>
  <c r="AB72" i="1" s="1"/>
  <c r="Z72" i="1"/>
  <c r="Y72" i="1"/>
  <c r="X72" i="1"/>
  <c r="AB71" i="1"/>
  <c r="AA71" i="1"/>
  <c r="Z71" i="1"/>
  <c r="Y71" i="1"/>
  <c r="X71" i="1"/>
  <c r="AB70" i="1"/>
  <c r="AA70" i="1"/>
  <c r="Z70" i="1"/>
  <c r="Y70" i="1"/>
  <c r="X70" i="1"/>
  <c r="AA69" i="1"/>
  <c r="AB69" i="1" s="1"/>
  <c r="Z69" i="1"/>
  <c r="Y69" i="1"/>
  <c r="X69" i="1"/>
  <c r="AA68" i="1"/>
  <c r="AB68" i="1" s="1"/>
  <c r="Z68" i="1"/>
  <c r="Y68" i="1"/>
  <c r="X68" i="1"/>
  <c r="AB67" i="1"/>
  <c r="AA67" i="1"/>
  <c r="Z67" i="1"/>
  <c r="Y67" i="1"/>
  <c r="X67" i="1"/>
  <c r="AB66" i="1"/>
  <c r="AA66" i="1"/>
  <c r="Z66" i="1"/>
  <c r="Y66" i="1"/>
  <c r="X66" i="1"/>
  <c r="AA65" i="1"/>
  <c r="AB65" i="1" s="1"/>
  <c r="Z65" i="1"/>
  <c r="Y65" i="1"/>
  <c r="X65" i="1"/>
  <c r="AA64" i="1"/>
  <c r="AB64" i="1" s="1"/>
  <c r="Z64" i="1"/>
  <c r="Y64" i="1"/>
  <c r="X64" i="1"/>
  <c r="AB63" i="1"/>
  <c r="AA63" i="1"/>
  <c r="Z63" i="1"/>
  <c r="Y63" i="1"/>
  <c r="X63" i="1"/>
  <c r="AB62" i="1"/>
  <c r="AA62" i="1"/>
  <c r="Z62" i="1"/>
  <c r="Y62" i="1"/>
  <c r="X62" i="1"/>
  <c r="AA61" i="1"/>
  <c r="AB61" i="1" s="1"/>
  <c r="Z61" i="1"/>
  <c r="Y61" i="1"/>
  <c r="X61" i="1"/>
  <c r="AA60" i="1"/>
  <c r="AB60" i="1" s="1"/>
  <c r="Z60" i="1"/>
  <c r="Y60" i="1"/>
  <c r="X60" i="1"/>
  <c r="AA59" i="1"/>
  <c r="AB59" i="1" s="1"/>
  <c r="Z59" i="1"/>
  <c r="Y59" i="1"/>
  <c r="X59" i="1"/>
  <c r="AB58" i="1"/>
  <c r="AA58" i="1"/>
  <c r="Z58" i="1"/>
  <c r="Y58" i="1"/>
  <c r="X58" i="1"/>
  <c r="AA57" i="1"/>
  <c r="AB57" i="1" s="1"/>
  <c r="Z57" i="1"/>
  <c r="Y57" i="1"/>
  <c r="X57" i="1"/>
  <c r="AA56" i="1"/>
  <c r="AB56" i="1" s="1"/>
  <c r="Z56" i="1"/>
  <c r="Y56" i="1"/>
  <c r="X56" i="1"/>
  <c r="AA55" i="1"/>
  <c r="AB55" i="1" s="1"/>
  <c r="Z55" i="1"/>
  <c r="Y55" i="1"/>
  <c r="X55" i="1"/>
  <c r="AB54" i="1"/>
  <c r="AA54" i="1"/>
  <c r="Z54" i="1"/>
  <c r="Y54" i="1"/>
  <c r="X54" i="1"/>
  <c r="AA53" i="1"/>
  <c r="AB53" i="1" s="1"/>
  <c r="Z53" i="1"/>
  <c r="Y53" i="1"/>
  <c r="X53" i="1"/>
  <c r="AA52" i="1"/>
  <c r="AB52" i="1" s="1"/>
  <c r="Z52" i="1"/>
  <c r="Y52" i="1"/>
  <c r="X52" i="1"/>
  <c r="AA51" i="1"/>
  <c r="AB51" i="1" s="1"/>
  <c r="Z51" i="1"/>
  <c r="Y51" i="1"/>
  <c r="X51" i="1"/>
  <c r="AB50" i="1"/>
  <c r="AA50" i="1"/>
  <c r="Z50" i="1"/>
  <c r="Y50" i="1"/>
  <c r="X50" i="1"/>
  <c r="AA49" i="1"/>
  <c r="AB49" i="1" s="1"/>
  <c r="Z49" i="1"/>
  <c r="Y49" i="1"/>
  <c r="X49" i="1"/>
  <c r="AA48" i="1"/>
  <c r="AB48" i="1" s="1"/>
  <c r="Z48" i="1"/>
  <c r="Y48" i="1"/>
  <c r="X48" i="1"/>
  <c r="AA47" i="1"/>
  <c r="AB47" i="1" s="1"/>
  <c r="Z47" i="1"/>
  <c r="Y47" i="1"/>
  <c r="X47" i="1"/>
  <c r="AB46" i="1"/>
  <c r="AA46" i="1"/>
  <c r="Z46" i="1"/>
  <c r="Y46" i="1"/>
  <c r="X46" i="1"/>
  <c r="AA45" i="1"/>
  <c r="AB45" i="1" s="1"/>
  <c r="Z45" i="1"/>
  <c r="Y45" i="1"/>
  <c r="X45" i="1"/>
  <c r="AA44" i="1"/>
  <c r="AB44" i="1" s="1"/>
  <c r="Z44" i="1"/>
  <c r="Y44" i="1"/>
  <c r="X44" i="1"/>
  <c r="AA43" i="1"/>
  <c r="AB43" i="1" s="1"/>
  <c r="Z43" i="1"/>
  <c r="Y43" i="1"/>
  <c r="X43" i="1"/>
  <c r="AB42" i="1"/>
  <c r="AA42" i="1"/>
  <c r="Z42" i="1"/>
  <c r="Y42" i="1"/>
  <c r="X42" i="1"/>
  <c r="AA41" i="1"/>
  <c r="AB41" i="1" s="1"/>
  <c r="Z41" i="1"/>
  <c r="Y41" i="1"/>
  <c r="X41" i="1"/>
  <c r="AA40" i="1"/>
  <c r="AB40" i="1" s="1"/>
  <c r="Z40" i="1"/>
  <c r="Y40" i="1"/>
  <c r="X40" i="1"/>
  <c r="AA39" i="1"/>
  <c r="AB39" i="1" s="1"/>
  <c r="Z39" i="1"/>
  <c r="Y39" i="1"/>
  <c r="X39" i="1"/>
  <c r="AB38" i="1"/>
  <c r="AA38" i="1"/>
  <c r="Z38" i="1"/>
  <c r="Y38" i="1"/>
  <c r="X38" i="1"/>
  <c r="AA37" i="1"/>
  <c r="AB37" i="1" s="1"/>
  <c r="Z37" i="1"/>
  <c r="Y37" i="1"/>
  <c r="X37" i="1"/>
  <c r="AA36" i="1"/>
  <c r="AB36" i="1" s="1"/>
  <c r="Z36" i="1"/>
  <c r="Y36" i="1"/>
  <c r="X36" i="1"/>
  <c r="AA35" i="1"/>
  <c r="AB35" i="1" s="1"/>
  <c r="Z35" i="1"/>
  <c r="Y35" i="1"/>
  <c r="X35" i="1"/>
  <c r="AB34" i="1"/>
  <c r="AA34" i="1"/>
  <c r="Z34" i="1"/>
  <c r="Y34" i="1"/>
  <c r="X34" i="1"/>
  <c r="AA33" i="1"/>
  <c r="AB33" i="1" s="1"/>
  <c r="Z33" i="1"/>
  <c r="Y33" i="1"/>
  <c r="X33" i="1"/>
  <c r="AA32" i="1"/>
  <c r="AB32" i="1" s="1"/>
  <c r="Z32" i="1"/>
  <c r="Y32" i="1"/>
  <c r="X32" i="1"/>
  <c r="AA31" i="1"/>
  <c r="AB31" i="1" s="1"/>
  <c r="Z31" i="1"/>
  <c r="Y31" i="1"/>
  <c r="X31" i="1"/>
  <c r="AB30" i="1"/>
  <c r="AA30" i="1"/>
  <c r="Z30" i="1"/>
  <c r="Y30" i="1"/>
  <c r="X30" i="1"/>
  <c r="AA29" i="1"/>
  <c r="AB29" i="1" s="1"/>
  <c r="Z29" i="1"/>
  <c r="Y29" i="1"/>
  <c r="X29" i="1"/>
  <c r="AA28" i="1"/>
  <c r="AB28" i="1" s="1"/>
  <c r="Z28" i="1"/>
  <c r="Y28" i="1"/>
  <c r="X28" i="1"/>
  <c r="AA27" i="1"/>
  <c r="AB27" i="1" s="1"/>
  <c r="Z27" i="1"/>
  <c r="Y27" i="1"/>
  <c r="X27" i="1"/>
  <c r="AB26" i="1"/>
  <c r="AA26" i="1"/>
  <c r="Z26" i="1"/>
  <c r="Y26" i="1"/>
  <c r="X26" i="1"/>
  <c r="AA25" i="1"/>
  <c r="AB25" i="1" s="1"/>
  <c r="Z25" i="1"/>
  <c r="Y25" i="1"/>
  <c r="X25" i="1"/>
  <c r="AA24" i="1"/>
  <c r="AB24" i="1" s="1"/>
  <c r="Y24" i="1"/>
  <c r="X24" i="1"/>
  <c r="AA23" i="1"/>
  <c r="Y23" i="1"/>
  <c r="M31" i="3" l="1"/>
  <c r="I31" i="3"/>
  <c r="J31" i="3"/>
  <c r="M30" i="3"/>
  <c r="I30" i="3"/>
  <c r="L31" i="3"/>
  <c r="O31" i="3"/>
  <c r="K30" i="3"/>
  <c r="L30" i="3"/>
  <c r="N30" i="3"/>
  <c r="Q31" i="3"/>
  <c r="Q32" i="3"/>
  <c r="N32" i="3"/>
  <c r="L32" i="3"/>
  <c r="K32" i="3"/>
  <c r="P30" i="3"/>
  <c r="Q30" i="3"/>
  <c r="M32" i="3"/>
  <c r="I32" i="3"/>
  <c r="AL3" i="2" a="1"/>
  <c r="AL3" i="2" s="1"/>
  <c r="J32" i="3"/>
  <c r="O32" i="3"/>
  <c r="I35" i="3"/>
  <c r="M33" i="3"/>
  <c r="J35" i="3"/>
  <c r="K35" i="3"/>
  <c r="N33" i="3"/>
  <c r="P35" i="3"/>
  <c r="M35" i="3"/>
  <c r="L33" i="3"/>
  <c r="J33" i="3"/>
  <c r="L34" i="3"/>
  <c r="N35" i="3"/>
  <c r="O33" i="3"/>
  <c r="P33" i="3"/>
  <c r="K34" i="3"/>
  <c r="P34" i="3"/>
  <c r="J34" i="3"/>
  <c r="O34" i="3"/>
  <c r="N34" i="3"/>
  <c r="I33" i="3"/>
  <c r="I34" i="3"/>
  <c r="M34" i="3"/>
  <c r="E31" i="3"/>
  <c r="X16" i="1"/>
  <c r="X16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tc={27ACF675-9812-48AF-A33B-C2317229CBA2}</author>
  </authors>
  <commentList>
    <comment ref="J10" authorId="0" shapeId="0" xr:uid="{27ACF675-9812-48AF-A33B-C2317229CB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Shows how much of the max supply is locked up post-TGE, reflecting potential long-term stability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tc={CE922A06-9DA4-4AD6-89E9-1463B2663029}</author>
  </authors>
  <commentList>
    <comment ref="AE52" authorId="0" shapeId="0" xr:uid="{CE922A06-9DA4-4AD6-89E9-1463B26630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WAUT is a measure of how gradually or abruptly tokens unlock over time. 
Reply:
    A WAUT of 6 months means tokens are, on average, released 6 months after the TGE. 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tc={28009BB9-A881-4ABB-826E-A8624F633DCD}</author>
  </authors>
  <commentList>
    <comment ref="D8" authorId="0" shapeId="0" xr:uid="{28009BB9-A881-4ABB-826E-A8624F633D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Shows how much of the max supply is locked up post-TGE, reflecting potential long-term stability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<sst xmlns="http://schemas.openxmlformats.org/spreadsheetml/2006/main" count="180" uniqueCount="132">
  <si>
    <t>Token Details</t>
  </si>
  <si>
    <t>Token Price</t>
  </si>
  <si>
    <t>Capitalisation Table</t>
  </si>
  <si>
    <t>Token Name</t>
  </si>
  <si>
    <t>TrustPay Coin</t>
  </si>
  <si>
    <t>Round</t>
  </si>
  <si>
    <t>Tokens</t>
  </si>
  <si>
    <t>% Max Supply</t>
  </si>
  <si>
    <t>Price</t>
  </si>
  <si>
    <t>Discount</t>
  </si>
  <si>
    <t>Funding</t>
  </si>
  <si>
    <t>Pre-Launch</t>
  </si>
  <si>
    <t>Launch</t>
  </si>
  <si>
    <t>FDV</t>
  </si>
  <si>
    <t>Symbol</t>
  </si>
  <si>
    <t>TXP</t>
  </si>
  <si>
    <t>seed</t>
  </si>
  <si>
    <t>4.00%</t>
  </si>
  <si>
    <t>75.00%</t>
  </si>
  <si>
    <t>Protocol</t>
  </si>
  <si>
    <t>Ethereum</t>
  </si>
  <si>
    <t>Starting Price</t>
  </si>
  <si>
    <t>Max Supply</t>
  </si>
  <si>
    <t>Token Distribution</t>
  </si>
  <si>
    <t>Seed</t>
  </si>
  <si>
    <t>Private</t>
  </si>
  <si>
    <t>Pre-Sale</t>
  </si>
  <si>
    <t>Public</t>
  </si>
  <si>
    <t>Team</t>
  </si>
  <si>
    <t>Advisors</t>
  </si>
  <si>
    <t>Rewards</t>
  </si>
  <si>
    <t>Liquidity</t>
  </si>
  <si>
    <t>Treasury</t>
  </si>
  <si>
    <t>Reserve</t>
  </si>
  <si>
    <t>Token Release Schedule</t>
  </si>
  <si>
    <t>Date</t>
  </si>
  <si>
    <t>Seed(Cumulative)</t>
  </si>
  <si>
    <t>Seed(Daily)</t>
  </si>
  <si>
    <t>Private(Cumulative)</t>
  </si>
  <si>
    <t>Private(Daily)</t>
  </si>
  <si>
    <t>Pre-Sale(Cumulative)</t>
  </si>
  <si>
    <t>Pre-Sale(Daily)</t>
  </si>
  <si>
    <t>Public(Cumulative)</t>
  </si>
  <si>
    <t>Public(Daily)</t>
  </si>
  <si>
    <t>Team(Cumulative)</t>
  </si>
  <si>
    <t>Team(Daily)</t>
  </si>
  <si>
    <t>Advisors(Cumulative)</t>
  </si>
  <si>
    <t>Advisors(Daily)</t>
  </si>
  <si>
    <t>Rewards(Cumulative)</t>
  </si>
  <si>
    <t>Rewards(Daily)</t>
  </si>
  <si>
    <t>Liquidity(Cumulative)</t>
  </si>
  <si>
    <t>Liquidity(Daily)</t>
  </si>
  <si>
    <t>Treasury(Cumulative)</t>
  </si>
  <si>
    <t>Treasury(Daily)</t>
  </si>
  <si>
    <t>Reserve(Cumulative)</t>
  </si>
  <si>
    <t>Reserve(Daily)</t>
  </si>
  <si>
    <t>Total Cumulative</t>
  </si>
  <si>
    <t>Total Daily</t>
  </si>
  <si>
    <t>Monthly Release Schedule</t>
  </si>
  <si>
    <t>Seed(Monthly)</t>
  </si>
  <si>
    <t>Private(Monthly)</t>
  </si>
  <si>
    <t>Pre-Sale(Monthly)</t>
  </si>
  <si>
    <t>Public(Monthly)</t>
  </si>
  <si>
    <t>Team(Monthly)</t>
  </si>
  <si>
    <t>Advisors(Monthly)</t>
  </si>
  <si>
    <t>Rewards(Monthly)</t>
  </si>
  <si>
    <t>Liquidity(Monthly)</t>
  </si>
  <si>
    <t>Treasury(Monthly)</t>
  </si>
  <si>
    <t>Reserve(Monthly)</t>
  </si>
  <si>
    <t>Total Monthly</t>
  </si>
  <si>
    <t>% Max supply (Cumulative)</t>
  </si>
  <si>
    <t>% Max supply (Daily)</t>
  </si>
  <si>
    <t xml:space="preserve">Remaining supply </t>
  </si>
  <si>
    <t xml:space="preserve">Confidence indicator </t>
  </si>
  <si>
    <t xml:space="preserve">Liquidity Pressure Ratio (LPR) </t>
  </si>
  <si>
    <t xml:space="preserve">Incremental Drop % </t>
  </si>
  <si>
    <t>private</t>
  </si>
  <si>
    <t>10.00%</t>
  </si>
  <si>
    <t>50.00%</t>
  </si>
  <si>
    <t>pre-sale</t>
  </si>
  <si>
    <t>25.00%</t>
  </si>
  <si>
    <t>public</t>
  </si>
  <si>
    <t>0.00%</t>
  </si>
  <si>
    <t xml:space="preserve">Total pressure </t>
  </si>
  <si>
    <t>% on TGE</t>
  </si>
  <si>
    <t xml:space="preserve">segments </t>
  </si>
  <si>
    <t xml:space="preserve">Release on TGE </t>
  </si>
  <si>
    <t>LOOK UP MONTHS</t>
  </si>
  <si>
    <t xml:space="preserve">LINEAR REALSE </t>
  </si>
  <si>
    <t>Fully Dilluted Marketcap:</t>
  </si>
  <si>
    <t>Initial Circulating Supply:</t>
  </si>
  <si>
    <t>Target Raise :</t>
  </si>
  <si>
    <t>Q1</t>
  </si>
  <si>
    <t>Q2</t>
  </si>
  <si>
    <t>Q3</t>
  </si>
  <si>
    <t>Q4</t>
  </si>
  <si>
    <t>Y1</t>
  </si>
  <si>
    <t xml:space="preserve">Y2 </t>
  </si>
  <si>
    <t>Y3</t>
  </si>
  <si>
    <t>Y4</t>
  </si>
  <si>
    <t>Y5</t>
  </si>
  <si>
    <t>Avg. Release (D)</t>
  </si>
  <si>
    <t>Avg. Release (M)</t>
  </si>
  <si>
    <t>% Max supply(Avg. Release (M))</t>
  </si>
  <si>
    <t xml:space="preserve">Total Release </t>
  </si>
  <si>
    <t>% Max supply(Total Release)</t>
  </si>
  <si>
    <t xml:space="preserve">Key metrics </t>
  </si>
  <si>
    <t xml:space="preserve">Sale  Pressure Metrics </t>
  </si>
  <si>
    <t>seed:</t>
  </si>
  <si>
    <t>private:</t>
  </si>
  <si>
    <t>pre-sale:</t>
  </si>
  <si>
    <t>Sale Pressure Indicator on TGE</t>
  </si>
  <si>
    <t xml:space="preserve"> Long-term Realized Profit ($)</t>
  </si>
  <si>
    <t>Realized Profit on TGE ($)</t>
  </si>
  <si>
    <t xml:space="preserve"> Total Sale Pressure</t>
  </si>
  <si>
    <t>ROI</t>
  </si>
  <si>
    <t>Avg. D</t>
  </si>
  <si>
    <t xml:space="preserve">Confidence indicator  </t>
  </si>
  <si>
    <t>Confidence indicator</t>
  </si>
  <si>
    <t>Avg. M</t>
  </si>
  <si>
    <t xml:space="preserve">Threthold liquidify </t>
  </si>
  <si>
    <t>% Max supply (Montly)</t>
  </si>
  <si>
    <t xml:space="preserve">Incremental % Drop </t>
  </si>
  <si>
    <t xml:space="preserve">Supply metrics  </t>
  </si>
  <si>
    <t xml:space="preserve">Sreess metrics </t>
  </si>
  <si>
    <t>Half-Life of Token Supply</t>
  </si>
  <si>
    <t xml:space="preserve"> Infaltion (Incremental drop) </t>
  </si>
  <si>
    <t xml:space="preserve">Infaltion (Incremental drop) </t>
  </si>
  <si>
    <t>Initial Marketcap:</t>
  </si>
  <si>
    <t xml:space="preserve"> Initial Marketcap, including liquidiy :</t>
  </si>
  <si>
    <t>Liquidity pressure Ratio on TGE</t>
  </si>
  <si>
    <t>Lock-Up Ratio on TGE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</si>
</sst>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87" formatCode="yyyy\-mm\-dd"/>
    <numFmt numFmtId="188" formatCode="0.0%"/>
    <numFmt numFmtId="189" formatCode="&quot;$&quot;#,##0.00"/>
  </numFmts>
  <fonts count="13" x14ac:knownFonts="1">
    <font>
      <sz val="11"/>
      <color theme="1"/>
      <name val="Tahoma"/>
      <family val="2"/>
      <scheme val="minor"/>
    </font>
    <font>
      <b/>
      <sz val="14"/>
      <color rgb="FFFFFFFF"/>
      <name val="Tahoma"/>
    </font>
    <font>
      <b/>
      <sz val="11"/>
      <name val="Tahoma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4"/>
      <color rgb="FFFFFFFF"/>
      <name val="Tahoma"/>
      <family val="2"/>
    </font>
    <font>
      <b/>
      <sz val="11"/>
      <color rgb="FFFF0000"/>
      <name val="Tahoma"/>
      <family val="2"/>
      <scheme val="minor"/>
    </font>
    <font>
      <b/>
      <sz val="11"/>
      <name val="Tahoma"/>
      <family val="2"/>
    </font>
    <font>
      <sz val="11"/>
      <color rgb="FFFF0000"/>
      <name val="Tahoma"/>
      <family val="2"/>
      <scheme val="minor"/>
    </font>
    <font>
      <b/>
      <sz val="12"/>
      <color theme="1"/>
      <name val="Consolas"/>
      <family val="3"/>
    </font>
    <font>
      <b/>
      <sz val="14"/>
      <color theme="1" tint="4.9989318521683403E-2"/>
      <name val="Consolas"/>
      <family val="3"/>
    </font>
    <font>
      <sz val="8"/>
      <name val="Tahoma"/>
      <family val="2"/>
      <scheme val="minor"/>
    </font>
    <font>
      <sz val="11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3395D"/>
        <bgColor rgb="FF23395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188" fontId="0" fillId="0" borderId="0" xfId="1" applyNumberFormat="1" applyFont="1"/>
    <xf numFmtId="0" fontId="4" fillId="0" borderId="0" xfId="0" applyFont="1"/>
    <xf numFmtId="188" fontId="6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9" fontId="8" fillId="0" borderId="0" xfId="1" applyFont="1"/>
    <xf numFmtId="0" fontId="8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2" fontId="0" fillId="0" borderId="0" xfId="0" applyNumberFormat="1" applyAlignment="1">
      <alignment horizontal="center"/>
    </xf>
    <xf numFmtId="8" fontId="0" fillId="0" borderId="0" xfId="0" applyNumberFormat="1"/>
    <xf numFmtId="0" fontId="10" fillId="3" borderId="1" xfId="0" applyFont="1" applyFill="1" applyBorder="1" applyAlignment="1">
      <alignment horizontal="right"/>
    </xf>
    <xf numFmtId="4" fontId="9" fillId="4" borderId="1" xfId="2" applyNumberFormat="1" applyFont="1" applyFill="1" applyBorder="1" applyAlignment="1">
      <alignment horizontal="left"/>
    </xf>
    <xf numFmtId="189" fontId="9" fillId="4" borderId="1" xfId="2" applyNumberFormat="1" applyFont="1" applyFill="1" applyBorder="1" applyAlignment="1">
      <alignment horizontal="left"/>
    </xf>
    <xf numFmtId="0" fontId="10" fillId="3" borderId="2" xfId="0" applyFont="1" applyFill="1" applyBorder="1" applyAlignment="1">
      <alignment horizontal="right"/>
    </xf>
    <xf numFmtId="4" fontId="0" fillId="0" borderId="0" xfId="0" applyNumberFormat="1"/>
    <xf numFmtId="10" fontId="9" fillId="4" borderId="1" xfId="1" applyNumberFormat="1" applyFont="1" applyFill="1" applyBorder="1" applyAlignment="1">
      <alignment horizontal="left"/>
    </xf>
    <xf numFmtId="4" fontId="9" fillId="5" borderId="1" xfId="2" applyNumberFormat="1" applyFont="1" applyFill="1" applyBorder="1" applyAlignment="1">
      <alignment horizontal="left"/>
    </xf>
    <xf numFmtId="10" fontId="9" fillId="5" borderId="1" xfId="1" applyNumberFormat="1" applyFont="1" applyFill="1" applyBorder="1" applyAlignment="1">
      <alignment horizontal="left"/>
    </xf>
    <xf numFmtId="43" fontId="0" fillId="0" borderId="0" xfId="2" applyFont="1"/>
    <xf numFmtId="9" fontId="9" fillId="4" borderId="1" xfId="1" applyFont="1" applyFill="1" applyBorder="1" applyAlignment="1">
      <alignment horizontal="left"/>
    </xf>
    <xf numFmtId="0" fontId="10" fillId="6" borderId="1" xfId="0" applyFont="1" applyFill="1" applyBorder="1" applyAlignment="1">
      <alignment horizontal="right"/>
    </xf>
    <xf numFmtId="188" fontId="9" fillId="4" borderId="1" xfId="1" applyNumberFormat="1" applyFont="1" applyFill="1" applyBorder="1" applyAlignment="1">
      <alignment horizontal="left"/>
    </xf>
    <xf numFmtId="44" fontId="0" fillId="0" borderId="0" xfId="3" applyFont="1"/>
    <xf numFmtId="0" fontId="10" fillId="3" borderId="4" xfId="0" applyFont="1" applyFill="1" applyBorder="1" applyAlignment="1">
      <alignment horizontal="right"/>
    </xf>
    <xf numFmtId="9" fontId="9" fillId="5" borderId="1" xfId="1" applyFont="1" applyFill="1" applyBorder="1" applyAlignment="1">
      <alignment horizontal="left"/>
    </xf>
    <xf numFmtId="188" fontId="9" fillId="5" borderId="1" xfId="1" applyNumberFormat="1" applyFont="1" applyFill="1" applyBorder="1" applyAlignment="1">
      <alignment horizontal="left"/>
    </xf>
    <xf numFmtId="10" fontId="9" fillId="7" borderId="1" xfId="1" applyNumberFormat="1" applyFont="1" applyFill="1" applyBorder="1" applyAlignment="1">
      <alignment horizontal="left"/>
    </xf>
    <xf numFmtId="0" fontId="10" fillId="8" borderId="1" xfId="0" applyFont="1" applyFill="1" applyBorder="1" applyAlignment="1">
      <alignment horizontal="right"/>
    </xf>
    <xf numFmtId="0" fontId="10" fillId="8" borderId="4" xfId="0" applyFont="1" applyFill="1" applyBorder="1" applyAlignment="1">
      <alignment horizontal="right"/>
    </xf>
    <xf numFmtId="188" fontId="9" fillId="9" borderId="1" xfId="1" applyNumberFormat="1" applyFont="1" applyFill="1" applyBorder="1" applyAlignment="1">
      <alignment horizontal="left"/>
    </xf>
    <xf numFmtId="187" fontId="0" fillId="0" borderId="0" xfId="0" applyNumberFormat="1"/>
    <xf numFmtId="9" fontId="0" fillId="0" borderId="0" xfId="1" applyFont="1" applyFill="1"/>
    <xf numFmtId="10" fontId="0" fillId="0" borderId="0" xfId="1" applyNumberFormat="1" applyFont="1" applyFill="1"/>
    <xf numFmtId="188" fontId="0" fillId="0" borderId="0" xfId="1" applyNumberFormat="1" applyFont="1" applyFill="1"/>
    <xf numFmtId="43" fontId="0" fillId="0" borderId="0" xfId="2" applyFont="1" applyFill="1"/>
    <xf numFmtId="43" fontId="0" fillId="0" borderId="1" xfId="2" applyFont="1" applyFill="1" applyBorder="1" applyAlignment="1">
      <alignment horizontal="center"/>
    </xf>
    <xf numFmtId="43" fontId="0" fillId="0" borderId="0" xfId="2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188" fontId="12" fillId="0" borderId="1" xfId="0" applyNumberFormat="1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43" fontId="12" fillId="0" borderId="1" xfId="2" applyFont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10" fontId="0" fillId="0" borderId="1" xfId="1" applyNumberFormat="1" applyFont="1" applyFill="1" applyBorder="1" applyAlignment="1">
      <alignment horizontal="center"/>
    </xf>
    <xf numFmtId="14" fontId="8" fillId="0" borderId="0" xfId="1" applyNumberFormat="1" applyFont="1" applyAlignment="1">
      <alignment horizontal="center"/>
    </xf>
    <xf numFmtId="187" fontId="0" fillId="10" borderId="0" xfId="0" applyNumberFormat="1" applyFill="1"/>
    <xf numFmtId="43" fontId="0" fillId="10" borderId="0" xfId="2" applyFont="1" applyFill="1"/>
    <xf numFmtId="9" fontId="0" fillId="10" borderId="0" xfId="1" applyFont="1" applyFill="1"/>
    <xf numFmtId="10" fontId="0" fillId="10" borderId="0" xfId="1" applyNumberFormat="1" applyFont="1" applyFill="1"/>
    <xf numFmtId="0" fontId="0" fillId="10" borderId="0" xfId="0" applyFill="1"/>
    <xf numFmtId="14" fontId="0" fillId="0" borderId="0" xfId="0" applyNumberFormat="1"/>
    <xf numFmtId="14" fontId="9" fillId="4" borderId="1" xfId="1" applyNumberFormat="1" applyFont="1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right" vertical="center"/>
    </xf>
    <xf numFmtId="0" fontId="10" fillId="8" borderId="7" xfId="0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right" vertical="center"/>
    </xf>
    <xf numFmtId="0" fontId="10" fillId="3" borderId="3" xfId="0" applyFont="1" applyFill="1" applyBorder="1" applyAlignment="1">
      <alignment horizontal="right" vertical="center"/>
    </xf>
    <xf numFmtId="0" fontId="10" fillId="3" borderId="4" xfId="0" applyFont="1" applyFill="1" applyBorder="1" applyAlignment="1">
      <alignment horizontal="right" vertical="center"/>
    </xf>
    <xf numFmtId="0" fontId="10" fillId="3" borderId="5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CC00"/>
      <color rgb="FF006600"/>
      <color rgb="FF33CC33"/>
      <color rgb="FF07AB07"/>
      <color rgb="FF00FF00"/>
      <color rgb="FFCCCCFF"/>
      <color rgb="FF53F95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Incremental Drop &amp;  Daily Remaining Supply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'Token Model'!$Z$22</c:f>
              <c:strCache>
                <c:ptCount val="1"/>
                <c:pt idx="0">
                  <c:v>Incremental Drop % </c:v>
                </c:pt>
              </c:strCache>
            </c:strRef>
          </c:tx>
          <c:spPr>
            <a:ln w="25400">
              <a:noFill/>
            </a:ln>
          </c:spPr>
          <c:invertIfNegative val="0"/>
          <c:cat>
            <c:numRef>
              <c:f>'Token Model'!$A$23:$A$1492</c:f>
              <c:numCache>
                <c:formatCode>yyyy\-mm\-dd</c:formatCode>
                <c:ptCount val="1470"/>
                <c:pt idx="0">
                  <c:v>45659</c:v>
                </c:pt>
                <c:pt idx="1">
                  <c:v>45660</c:v>
                </c:pt>
                <c:pt idx="2">
                  <c:v>45661</c:v>
                </c:pt>
                <c:pt idx="3">
                  <c:v>45662</c:v>
                </c:pt>
                <c:pt idx="4">
                  <c:v>45663</c:v>
                </c:pt>
                <c:pt idx="5">
                  <c:v>45664</c:v>
                </c:pt>
                <c:pt idx="6">
                  <c:v>45665</c:v>
                </c:pt>
                <c:pt idx="7">
                  <c:v>45666</c:v>
                </c:pt>
                <c:pt idx="8">
                  <c:v>45667</c:v>
                </c:pt>
                <c:pt idx="9">
                  <c:v>45668</c:v>
                </c:pt>
                <c:pt idx="10">
                  <c:v>45669</c:v>
                </c:pt>
                <c:pt idx="11">
                  <c:v>45670</c:v>
                </c:pt>
                <c:pt idx="12">
                  <c:v>45671</c:v>
                </c:pt>
                <c:pt idx="13">
                  <c:v>45672</c:v>
                </c:pt>
                <c:pt idx="14">
                  <c:v>45673</c:v>
                </c:pt>
                <c:pt idx="15">
                  <c:v>45674</c:v>
                </c:pt>
                <c:pt idx="16">
                  <c:v>45675</c:v>
                </c:pt>
                <c:pt idx="17">
                  <c:v>45676</c:v>
                </c:pt>
                <c:pt idx="18">
                  <c:v>45677</c:v>
                </c:pt>
                <c:pt idx="19">
                  <c:v>45678</c:v>
                </c:pt>
                <c:pt idx="20">
                  <c:v>45679</c:v>
                </c:pt>
                <c:pt idx="21">
                  <c:v>45680</c:v>
                </c:pt>
                <c:pt idx="22">
                  <c:v>45681</c:v>
                </c:pt>
                <c:pt idx="23">
                  <c:v>45682</c:v>
                </c:pt>
                <c:pt idx="24">
                  <c:v>45683</c:v>
                </c:pt>
                <c:pt idx="25">
                  <c:v>45684</c:v>
                </c:pt>
                <c:pt idx="26">
                  <c:v>45685</c:v>
                </c:pt>
                <c:pt idx="27">
                  <c:v>45686</c:v>
                </c:pt>
                <c:pt idx="28">
                  <c:v>45687</c:v>
                </c:pt>
                <c:pt idx="29">
                  <c:v>45688</c:v>
                </c:pt>
                <c:pt idx="30">
                  <c:v>45689</c:v>
                </c:pt>
                <c:pt idx="31">
                  <c:v>45690</c:v>
                </c:pt>
                <c:pt idx="32">
                  <c:v>45691</c:v>
                </c:pt>
                <c:pt idx="33">
                  <c:v>45692</c:v>
                </c:pt>
                <c:pt idx="34">
                  <c:v>45693</c:v>
                </c:pt>
                <c:pt idx="35">
                  <c:v>45694</c:v>
                </c:pt>
                <c:pt idx="36">
                  <c:v>45695</c:v>
                </c:pt>
                <c:pt idx="37">
                  <c:v>45696</c:v>
                </c:pt>
                <c:pt idx="38">
                  <c:v>45697</c:v>
                </c:pt>
                <c:pt idx="39">
                  <c:v>45698</c:v>
                </c:pt>
                <c:pt idx="40">
                  <c:v>45699</c:v>
                </c:pt>
                <c:pt idx="41">
                  <c:v>45700</c:v>
                </c:pt>
                <c:pt idx="42">
                  <c:v>45701</c:v>
                </c:pt>
                <c:pt idx="43">
                  <c:v>45702</c:v>
                </c:pt>
                <c:pt idx="44">
                  <c:v>45703</c:v>
                </c:pt>
                <c:pt idx="45">
                  <c:v>45704</c:v>
                </c:pt>
                <c:pt idx="46">
                  <c:v>45705</c:v>
                </c:pt>
                <c:pt idx="47">
                  <c:v>45706</c:v>
                </c:pt>
                <c:pt idx="48">
                  <c:v>45707</c:v>
                </c:pt>
                <c:pt idx="49">
                  <c:v>45708</c:v>
                </c:pt>
                <c:pt idx="50">
                  <c:v>45709</c:v>
                </c:pt>
                <c:pt idx="51">
                  <c:v>45710</c:v>
                </c:pt>
                <c:pt idx="52">
                  <c:v>45711</c:v>
                </c:pt>
                <c:pt idx="53">
                  <c:v>45712</c:v>
                </c:pt>
                <c:pt idx="54">
                  <c:v>45713</c:v>
                </c:pt>
                <c:pt idx="55">
                  <c:v>45714</c:v>
                </c:pt>
                <c:pt idx="56">
                  <c:v>45715</c:v>
                </c:pt>
                <c:pt idx="57">
                  <c:v>45716</c:v>
                </c:pt>
                <c:pt idx="58">
                  <c:v>45717</c:v>
                </c:pt>
                <c:pt idx="59">
                  <c:v>45718</c:v>
                </c:pt>
                <c:pt idx="60">
                  <c:v>45719</c:v>
                </c:pt>
                <c:pt idx="61">
                  <c:v>45720</c:v>
                </c:pt>
                <c:pt idx="62">
                  <c:v>45721</c:v>
                </c:pt>
                <c:pt idx="63">
                  <c:v>45722</c:v>
                </c:pt>
                <c:pt idx="64">
                  <c:v>45723</c:v>
                </c:pt>
                <c:pt idx="65">
                  <c:v>45724</c:v>
                </c:pt>
                <c:pt idx="66">
                  <c:v>45725</c:v>
                </c:pt>
                <c:pt idx="67">
                  <c:v>45726</c:v>
                </c:pt>
                <c:pt idx="68">
                  <c:v>45727</c:v>
                </c:pt>
                <c:pt idx="69">
                  <c:v>45728</c:v>
                </c:pt>
                <c:pt idx="70">
                  <c:v>45729</c:v>
                </c:pt>
                <c:pt idx="71">
                  <c:v>45730</c:v>
                </c:pt>
                <c:pt idx="72">
                  <c:v>45731</c:v>
                </c:pt>
                <c:pt idx="73">
                  <c:v>45732</c:v>
                </c:pt>
                <c:pt idx="74">
                  <c:v>45733</c:v>
                </c:pt>
                <c:pt idx="75">
                  <c:v>45734</c:v>
                </c:pt>
                <c:pt idx="76">
                  <c:v>45735</c:v>
                </c:pt>
                <c:pt idx="77">
                  <c:v>45736</c:v>
                </c:pt>
                <c:pt idx="78">
                  <c:v>45737</c:v>
                </c:pt>
                <c:pt idx="79">
                  <c:v>45738</c:v>
                </c:pt>
                <c:pt idx="80">
                  <c:v>45739</c:v>
                </c:pt>
                <c:pt idx="81">
                  <c:v>45740</c:v>
                </c:pt>
                <c:pt idx="82">
                  <c:v>45741</c:v>
                </c:pt>
                <c:pt idx="83">
                  <c:v>45742</c:v>
                </c:pt>
                <c:pt idx="84">
                  <c:v>45743</c:v>
                </c:pt>
                <c:pt idx="85">
                  <c:v>45744</c:v>
                </c:pt>
                <c:pt idx="86">
                  <c:v>45745</c:v>
                </c:pt>
                <c:pt idx="87">
                  <c:v>45746</c:v>
                </c:pt>
                <c:pt idx="88">
                  <c:v>45747</c:v>
                </c:pt>
                <c:pt idx="89">
                  <c:v>45748</c:v>
                </c:pt>
                <c:pt idx="90">
                  <c:v>45749</c:v>
                </c:pt>
                <c:pt idx="91">
                  <c:v>45750</c:v>
                </c:pt>
                <c:pt idx="92">
                  <c:v>45751</c:v>
                </c:pt>
                <c:pt idx="93">
                  <c:v>45752</c:v>
                </c:pt>
                <c:pt idx="94">
                  <c:v>45753</c:v>
                </c:pt>
                <c:pt idx="95">
                  <c:v>45754</c:v>
                </c:pt>
                <c:pt idx="96">
                  <c:v>45755</c:v>
                </c:pt>
                <c:pt idx="97">
                  <c:v>45756</c:v>
                </c:pt>
                <c:pt idx="98">
                  <c:v>45757</c:v>
                </c:pt>
                <c:pt idx="99">
                  <c:v>45758</c:v>
                </c:pt>
                <c:pt idx="100">
                  <c:v>45759</c:v>
                </c:pt>
                <c:pt idx="101">
                  <c:v>45760</c:v>
                </c:pt>
                <c:pt idx="102">
                  <c:v>45761</c:v>
                </c:pt>
                <c:pt idx="103">
                  <c:v>45762</c:v>
                </c:pt>
                <c:pt idx="104">
                  <c:v>45763</c:v>
                </c:pt>
                <c:pt idx="105">
                  <c:v>45764</c:v>
                </c:pt>
                <c:pt idx="106">
                  <c:v>45765</c:v>
                </c:pt>
                <c:pt idx="107">
                  <c:v>45766</c:v>
                </c:pt>
                <c:pt idx="108">
                  <c:v>45767</c:v>
                </c:pt>
                <c:pt idx="109">
                  <c:v>45768</c:v>
                </c:pt>
                <c:pt idx="110">
                  <c:v>45769</c:v>
                </c:pt>
                <c:pt idx="111">
                  <c:v>45770</c:v>
                </c:pt>
                <c:pt idx="112">
                  <c:v>45771</c:v>
                </c:pt>
                <c:pt idx="113">
                  <c:v>45772</c:v>
                </c:pt>
                <c:pt idx="114">
                  <c:v>45773</c:v>
                </c:pt>
                <c:pt idx="115">
                  <c:v>45774</c:v>
                </c:pt>
                <c:pt idx="116">
                  <c:v>45775</c:v>
                </c:pt>
                <c:pt idx="117">
                  <c:v>45776</c:v>
                </c:pt>
                <c:pt idx="118">
                  <c:v>45777</c:v>
                </c:pt>
                <c:pt idx="119">
                  <c:v>45778</c:v>
                </c:pt>
                <c:pt idx="120">
                  <c:v>45779</c:v>
                </c:pt>
                <c:pt idx="121">
                  <c:v>45780</c:v>
                </c:pt>
                <c:pt idx="122">
                  <c:v>45781</c:v>
                </c:pt>
                <c:pt idx="123">
                  <c:v>45782</c:v>
                </c:pt>
                <c:pt idx="124">
                  <c:v>45783</c:v>
                </c:pt>
                <c:pt idx="125">
                  <c:v>45784</c:v>
                </c:pt>
                <c:pt idx="126">
                  <c:v>45785</c:v>
                </c:pt>
                <c:pt idx="127">
                  <c:v>45786</c:v>
                </c:pt>
                <c:pt idx="128">
                  <c:v>45787</c:v>
                </c:pt>
                <c:pt idx="129">
                  <c:v>45788</c:v>
                </c:pt>
                <c:pt idx="130">
                  <c:v>45789</c:v>
                </c:pt>
                <c:pt idx="131">
                  <c:v>45790</c:v>
                </c:pt>
                <c:pt idx="132">
                  <c:v>45791</c:v>
                </c:pt>
                <c:pt idx="133">
                  <c:v>45792</c:v>
                </c:pt>
                <c:pt idx="134">
                  <c:v>45793</c:v>
                </c:pt>
                <c:pt idx="135">
                  <c:v>45794</c:v>
                </c:pt>
                <c:pt idx="136">
                  <c:v>45795</c:v>
                </c:pt>
                <c:pt idx="137">
                  <c:v>45796</c:v>
                </c:pt>
                <c:pt idx="138">
                  <c:v>45797</c:v>
                </c:pt>
                <c:pt idx="139">
                  <c:v>45798</c:v>
                </c:pt>
                <c:pt idx="140">
                  <c:v>45799</c:v>
                </c:pt>
                <c:pt idx="141">
                  <c:v>45800</c:v>
                </c:pt>
                <c:pt idx="142">
                  <c:v>45801</c:v>
                </c:pt>
                <c:pt idx="143">
                  <c:v>45802</c:v>
                </c:pt>
                <c:pt idx="144">
                  <c:v>45803</c:v>
                </c:pt>
                <c:pt idx="145">
                  <c:v>45804</c:v>
                </c:pt>
                <c:pt idx="146">
                  <c:v>45805</c:v>
                </c:pt>
                <c:pt idx="147">
                  <c:v>45806</c:v>
                </c:pt>
                <c:pt idx="148">
                  <c:v>45807</c:v>
                </c:pt>
                <c:pt idx="149">
                  <c:v>45808</c:v>
                </c:pt>
                <c:pt idx="150">
                  <c:v>45809</c:v>
                </c:pt>
                <c:pt idx="151">
                  <c:v>45810</c:v>
                </c:pt>
                <c:pt idx="152">
                  <c:v>45811</c:v>
                </c:pt>
                <c:pt idx="153">
                  <c:v>45812</c:v>
                </c:pt>
                <c:pt idx="154">
                  <c:v>45813</c:v>
                </c:pt>
                <c:pt idx="155">
                  <c:v>45814</c:v>
                </c:pt>
                <c:pt idx="156">
                  <c:v>45815</c:v>
                </c:pt>
                <c:pt idx="157">
                  <c:v>45816</c:v>
                </c:pt>
                <c:pt idx="158">
                  <c:v>45817</c:v>
                </c:pt>
                <c:pt idx="159">
                  <c:v>45818</c:v>
                </c:pt>
                <c:pt idx="160">
                  <c:v>45819</c:v>
                </c:pt>
                <c:pt idx="161">
                  <c:v>45820</c:v>
                </c:pt>
                <c:pt idx="162">
                  <c:v>45821</c:v>
                </c:pt>
                <c:pt idx="163">
                  <c:v>45822</c:v>
                </c:pt>
                <c:pt idx="164">
                  <c:v>45823</c:v>
                </c:pt>
                <c:pt idx="165">
                  <c:v>45824</c:v>
                </c:pt>
                <c:pt idx="166">
                  <c:v>45825</c:v>
                </c:pt>
                <c:pt idx="167">
                  <c:v>45826</c:v>
                </c:pt>
                <c:pt idx="168">
                  <c:v>45827</c:v>
                </c:pt>
                <c:pt idx="169">
                  <c:v>45828</c:v>
                </c:pt>
                <c:pt idx="170">
                  <c:v>45829</c:v>
                </c:pt>
                <c:pt idx="171">
                  <c:v>45830</c:v>
                </c:pt>
                <c:pt idx="172">
                  <c:v>45831</c:v>
                </c:pt>
                <c:pt idx="173">
                  <c:v>45832</c:v>
                </c:pt>
                <c:pt idx="174">
                  <c:v>45833</c:v>
                </c:pt>
                <c:pt idx="175">
                  <c:v>45834</c:v>
                </c:pt>
                <c:pt idx="176">
                  <c:v>45835</c:v>
                </c:pt>
                <c:pt idx="177">
                  <c:v>45836</c:v>
                </c:pt>
                <c:pt idx="178">
                  <c:v>45837</c:v>
                </c:pt>
                <c:pt idx="179">
                  <c:v>45838</c:v>
                </c:pt>
                <c:pt idx="180">
                  <c:v>45839</c:v>
                </c:pt>
                <c:pt idx="181">
                  <c:v>45840</c:v>
                </c:pt>
                <c:pt idx="182">
                  <c:v>45841</c:v>
                </c:pt>
                <c:pt idx="183">
                  <c:v>45842</c:v>
                </c:pt>
                <c:pt idx="184">
                  <c:v>45843</c:v>
                </c:pt>
                <c:pt idx="185">
                  <c:v>45844</c:v>
                </c:pt>
                <c:pt idx="186">
                  <c:v>45845</c:v>
                </c:pt>
                <c:pt idx="187">
                  <c:v>45846</c:v>
                </c:pt>
                <c:pt idx="188">
                  <c:v>45847</c:v>
                </c:pt>
                <c:pt idx="189">
                  <c:v>45848</c:v>
                </c:pt>
                <c:pt idx="190">
                  <c:v>45849</c:v>
                </c:pt>
                <c:pt idx="191">
                  <c:v>45850</c:v>
                </c:pt>
                <c:pt idx="192">
                  <c:v>45851</c:v>
                </c:pt>
                <c:pt idx="193">
                  <c:v>45852</c:v>
                </c:pt>
                <c:pt idx="194">
                  <c:v>45853</c:v>
                </c:pt>
                <c:pt idx="195">
                  <c:v>45854</c:v>
                </c:pt>
                <c:pt idx="196">
                  <c:v>45855</c:v>
                </c:pt>
                <c:pt idx="197">
                  <c:v>45856</c:v>
                </c:pt>
                <c:pt idx="198">
                  <c:v>45857</c:v>
                </c:pt>
                <c:pt idx="199">
                  <c:v>45858</c:v>
                </c:pt>
                <c:pt idx="200">
                  <c:v>45859</c:v>
                </c:pt>
                <c:pt idx="201">
                  <c:v>45860</c:v>
                </c:pt>
                <c:pt idx="202">
                  <c:v>45861</c:v>
                </c:pt>
                <c:pt idx="203">
                  <c:v>45862</c:v>
                </c:pt>
                <c:pt idx="204">
                  <c:v>45863</c:v>
                </c:pt>
                <c:pt idx="205">
                  <c:v>45864</c:v>
                </c:pt>
                <c:pt idx="206">
                  <c:v>45865</c:v>
                </c:pt>
                <c:pt idx="207">
                  <c:v>45866</c:v>
                </c:pt>
                <c:pt idx="208">
                  <c:v>45867</c:v>
                </c:pt>
                <c:pt idx="209">
                  <c:v>45868</c:v>
                </c:pt>
                <c:pt idx="210">
                  <c:v>45869</c:v>
                </c:pt>
                <c:pt idx="211">
                  <c:v>45870</c:v>
                </c:pt>
                <c:pt idx="212">
                  <c:v>45871</c:v>
                </c:pt>
                <c:pt idx="213">
                  <c:v>45872</c:v>
                </c:pt>
                <c:pt idx="214">
                  <c:v>45873</c:v>
                </c:pt>
                <c:pt idx="215">
                  <c:v>45874</c:v>
                </c:pt>
                <c:pt idx="216">
                  <c:v>45875</c:v>
                </c:pt>
                <c:pt idx="217">
                  <c:v>45876</c:v>
                </c:pt>
                <c:pt idx="218">
                  <c:v>45877</c:v>
                </c:pt>
                <c:pt idx="219">
                  <c:v>45878</c:v>
                </c:pt>
                <c:pt idx="220">
                  <c:v>45879</c:v>
                </c:pt>
                <c:pt idx="221">
                  <c:v>45880</c:v>
                </c:pt>
                <c:pt idx="222">
                  <c:v>45881</c:v>
                </c:pt>
                <c:pt idx="223">
                  <c:v>45882</c:v>
                </c:pt>
                <c:pt idx="224">
                  <c:v>45883</c:v>
                </c:pt>
                <c:pt idx="225">
                  <c:v>45884</c:v>
                </c:pt>
                <c:pt idx="226">
                  <c:v>45885</c:v>
                </c:pt>
                <c:pt idx="227">
                  <c:v>45886</c:v>
                </c:pt>
                <c:pt idx="228">
                  <c:v>45887</c:v>
                </c:pt>
                <c:pt idx="229">
                  <c:v>45888</c:v>
                </c:pt>
                <c:pt idx="230">
                  <c:v>45889</c:v>
                </c:pt>
                <c:pt idx="231">
                  <c:v>45890</c:v>
                </c:pt>
                <c:pt idx="232">
                  <c:v>45891</c:v>
                </c:pt>
                <c:pt idx="233">
                  <c:v>45892</c:v>
                </c:pt>
                <c:pt idx="234">
                  <c:v>45893</c:v>
                </c:pt>
                <c:pt idx="235">
                  <c:v>45894</c:v>
                </c:pt>
                <c:pt idx="236">
                  <c:v>45895</c:v>
                </c:pt>
                <c:pt idx="237">
                  <c:v>45896</c:v>
                </c:pt>
                <c:pt idx="238">
                  <c:v>45897</c:v>
                </c:pt>
                <c:pt idx="239">
                  <c:v>45898</c:v>
                </c:pt>
                <c:pt idx="240">
                  <c:v>45899</c:v>
                </c:pt>
                <c:pt idx="241">
                  <c:v>45900</c:v>
                </c:pt>
                <c:pt idx="242">
                  <c:v>45901</c:v>
                </c:pt>
                <c:pt idx="243">
                  <c:v>45902</c:v>
                </c:pt>
                <c:pt idx="244">
                  <c:v>45903</c:v>
                </c:pt>
                <c:pt idx="245">
                  <c:v>45904</c:v>
                </c:pt>
                <c:pt idx="246">
                  <c:v>45905</c:v>
                </c:pt>
                <c:pt idx="247">
                  <c:v>45906</c:v>
                </c:pt>
                <c:pt idx="248">
                  <c:v>45907</c:v>
                </c:pt>
                <c:pt idx="249">
                  <c:v>45908</c:v>
                </c:pt>
                <c:pt idx="250">
                  <c:v>45909</c:v>
                </c:pt>
                <c:pt idx="251">
                  <c:v>45910</c:v>
                </c:pt>
                <c:pt idx="252">
                  <c:v>45911</c:v>
                </c:pt>
                <c:pt idx="253">
                  <c:v>45912</c:v>
                </c:pt>
                <c:pt idx="254">
                  <c:v>45913</c:v>
                </c:pt>
                <c:pt idx="255">
                  <c:v>45914</c:v>
                </c:pt>
                <c:pt idx="256">
                  <c:v>45915</c:v>
                </c:pt>
                <c:pt idx="257">
                  <c:v>45916</c:v>
                </c:pt>
                <c:pt idx="258">
                  <c:v>45917</c:v>
                </c:pt>
                <c:pt idx="259">
                  <c:v>45918</c:v>
                </c:pt>
                <c:pt idx="260">
                  <c:v>45919</c:v>
                </c:pt>
                <c:pt idx="261">
                  <c:v>45920</c:v>
                </c:pt>
                <c:pt idx="262">
                  <c:v>45921</c:v>
                </c:pt>
                <c:pt idx="263">
                  <c:v>45922</c:v>
                </c:pt>
                <c:pt idx="264">
                  <c:v>45923</c:v>
                </c:pt>
                <c:pt idx="265">
                  <c:v>45924</c:v>
                </c:pt>
                <c:pt idx="266">
                  <c:v>45925</c:v>
                </c:pt>
                <c:pt idx="267">
                  <c:v>45926</c:v>
                </c:pt>
                <c:pt idx="268">
                  <c:v>45927</c:v>
                </c:pt>
                <c:pt idx="269">
                  <c:v>45928</c:v>
                </c:pt>
                <c:pt idx="270">
                  <c:v>45929</c:v>
                </c:pt>
                <c:pt idx="271">
                  <c:v>45930</c:v>
                </c:pt>
                <c:pt idx="272">
                  <c:v>45931</c:v>
                </c:pt>
                <c:pt idx="273">
                  <c:v>45932</c:v>
                </c:pt>
                <c:pt idx="274">
                  <c:v>45933</c:v>
                </c:pt>
                <c:pt idx="275">
                  <c:v>45934</c:v>
                </c:pt>
                <c:pt idx="276">
                  <c:v>45935</c:v>
                </c:pt>
                <c:pt idx="277">
                  <c:v>45936</c:v>
                </c:pt>
                <c:pt idx="278">
                  <c:v>45937</c:v>
                </c:pt>
                <c:pt idx="279">
                  <c:v>45938</c:v>
                </c:pt>
                <c:pt idx="280">
                  <c:v>45939</c:v>
                </c:pt>
                <c:pt idx="281">
                  <c:v>45940</c:v>
                </c:pt>
                <c:pt idx="282">
                  <c:v>45941</c:v>
                </c:pt>
                <c:pt idx="283">
                  <c:v>45942</c:v>
                </c:pt>
                <c:pt idx="284">
                  <c:v>45943</c:v>
                </c:pt>
                <c:pt idx="285">
                  <c:v>45944</c:v>
                </c:pt>
                <c:pt idx="286">
                  <c:v>45945</c:v>
                </c:pt>
                <c:pt idx="287">
                  <c:v>45946</c:v>
                </c:pt>
                <c:pt idx="288">
                  <c:v>45947</c:v>
                </c:pt>
                <c:pt idx="289">
                  <c:v>45948</c:v>
                </c:pt>
                <c:pt idx="290">
                  <c:v>45949</c:v>
                </c:pt>
                <c:pt idx="291">
                  <c:v>45950</c:v>
                </c:pt>
                <c:pt idx="292">
                  <c:v>45951</c:v>
                </c:pt>
                <c:pt idx="293">
                  <c:v>45952</c:v>
                </c:pt>
                <c:pt idx="294">
                  <c:v>45953</c:v>
                </c:pt>
                <c:pt idx="295">
                  <c:v>45954</c:v>
                </c:pt>
                <c:pt idx="296">
                  <c:v>45955</c:v>
                </c:pt>
                <c:pt idx="297">
                  <c:v>45956</c:v>
                </c:pt>
                <c:pt idx="298">
                  <c:v>45957</c:v>
                </c:pt>
                <c:pt idx="299">
                  <c:v>45958</c:v>
                </c:pt>
                <c:pt idx="300">
                  <c:v>45959</c:v>
                </c:pt>
                <c:pt idx="301">
                  <c:v>45960</c:v>
                </c:pt>
                <c:pt idx="302">
                  <c:v>45961</c:v>
                </c:pt>
                <c:pt idx="303">
                  <c:v>45962</c:v>
                </c:pt>
                <c:pt idx="304">
                  <c:v>45963</c:v>
                </c:pt>
                <c:pt idx="305">
                  <c:v>45964</c:v>
                </c:pt>
                <c:pt idx="306">
                  <c:v>45965</c:v>
                </c:pt>
                <c:pt idx="307">
                  <c:v>45966</c:v>
                </c:pt>
                <c:pt idx="308">
                  <c:v>45967</c:v>
                </c:pt>
                <c:pt idx="309">
                  <c:v>45968</c:v>
                </c:pt>
                <c:pt idx="310">
                  <c:v>45969</c:v>
                </c:pt>
                <c:pt idx="311">
                  <c:v>45970</c:v>
                </c:pt>
                <c:pt idx="312">
                  <c:v>45971</c:v>
                </c:pt>
                <c:pt idx="313">
                  <c:v>45972</c:v>
                </c:pt>
                <c:pt idx="314">
                  <c:v>45973</c:v>
                </c:pt>
                <c:pt idx="315">
                  <c:v>45974</c:v>
                </c:pt>
                <c:pt idx="316">
                  <c:v>45975</c:v>
                </c:pt>
                <c:pt idx="317">
                  <c:v>45976</c:v>
                </c:pt>
                <c:pt idx="318">
                  <c:v>45977</c:v>
                </c:pt>
                <c:pt idx="319">
                  <c:v>45978</c:v>
                </c:pt>
                <c:pt idx="320">
                  <c:v>45979</c:v>
                </c:pt>
                <c:pt idx="321">
                  <c:v>45980</c:v>
                </c:pt>
                <c:pt idx="322">
                  <c:v>45981</c:v>
                </c:pt>
                <c:pt idx="323">
                  <c:v>45982</c:v>
                </c:pt>
                <c:pt idx="324">
                  <c:v>45983</c:v>
                </c:pt>
                <c:pt idx="325">
                  <c:v>45984</c:v>
                </c:pt>
                <c:pt idx="326">
                  <c:v>45985</c:v>
                </c:pt>
                <c:pt idx="327">
                  <c:v>45986</c:v>
                </c:pt>
                <c:pt idx="328">
                  <c:v>45987</c:v>
                </c:pt>
                <c:pt idx="329">
                  <c:v>45988</c:v>
                </c:pt>
                <c:pt idx="330">
                  <c:v>45989</c:v>
                </c:pt>
                <c:pt idx="331">
                  <c:v>45990</c:v>
                </c:pt>
                <c:pt idx="332">
                  <c:v>45991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45997</c:v>
                </c:pt>
                <c:pt idx="339">
                  <c:v>45998</c:v>
                </c:pt>
                <c:pt idx="340">
                  <c:v>45999</c:v>
                </c:pt>
                <c:pt idx="341">
                  <c:v>46000</c:v>
                </c:pt>
                <c:pt idx="342">
                  <c:v>46001</c:v>
                </c:pt>
                <c:pt idx="343">
                  <c:v>46002</c:v>
                </c:pt>
                <c:pt idx="344">
                  <c:v>46003</c:v>
                </c:pt>
                <c:pt idx="345">
                  <c:v>46004</c:v>
                </c:pt>
                <c:pt idx="346">
                  <c:v>46005</c:v>
                </c:pt>
                <c:pt idx="347">
                  <c:v>46006</c:v>
                </c:pt>
                <c:pt idx="348">
                  <c:v>46007</c:v>
                </c:pt>
                <c:pt idx="349">
                  <c:v>46008</c:v>
                </c:pt>
                <c:pt idx="350">
                  <c:v>46009</c:v>
                </c:pt>
                <c:pt idx="351">
                  <c:v>46010</c:v>
                </c:pt>
                <c:pt idx="352">
                  <c:v>46011</c:v>
                </c:pt>
                <c:pt idx="353">
                  <c:v>46012</c:v>
                </c:pt>
                <c:pt idx="354">
                  <c:v>46013</c:v>
                </c:pt>
                <c:pt idx="355">
                  <c:v>46014</c:v>
                </c:pt>
                <c:pt idx="356">
                  <c:v>46015</c:v>
                </c:pt>
                <c:pt idx="357">
                  <c:v>46016</c:v>
                </c:pt>
                <c:pt idx="358">
                  <c:v>46017</c:v>
                </c:pt>
                <c:pt idx="359">
                  <c:v>46018</c:v>
                </c:pt>
                <c:pt idx="360">
                  <c:v>46019</c:v>
                </c:pt>
                <c:pt idx="361">
                  <c:v>46020</c:v>
                </c:pt>
                <c:pt idx="362">
                  <c:v>46021</c:v>
                </c:pt>
                <c:pt idx="363">
                  <c:v>46022</c:v>
                </c:pt>
                <c:pt idx="364">
                  <c:v>46023</c:v>
                </c:pt>
                <c:pt idx="365">
                  <c:v>46024</c:v>
                </c:pt>
                <c:pt idx="366">
                  <c:v>46025</c:v>
                </c:pt>
                <c:pt idx="367">
                  <c:v>46026</c:v>
                </c:pt>
                <c:pt idx="368">
                  <c:v>46027</c:v>
                </c:pt>
                <c:pt idx="369">
                  <c:v>46028</c:v>
                </c:pt>
                <c:pt idx="370">
                  <c:v>46029</c:v>
                </c:pt>
                <c:pt idx="371">
                  <c:v>46030</c:v>
                </c:pt>
                <c:pt idx="372">
                  <c:v>46031</c:v>
                </c:pt>
                <c:pt idx="373">
                  <c:v>46032</c:v>
                </c:pt>
                <c:pt idx="374">
                  <c:v>46033</c:v>
                </c:pt>
                <c:pt idx="375">
                  <c:v>46034</c:v>
                </c:pt>
                <c:pt idx="376">
                  <c:v>46035</c:v>
                </c:pt>
                <c:pt idx="377">
                  <c:v>46036</c:v>
                </c:pt>
                <c:pt idx="378">
                  <c:v>46037</c:v>
                </c:pt>
                <c:pt idx="379">
                  <c:v>46038</c:v>
                </c:pt>
                <c:pt idx="380">
                  <c:v>46039</c:v>
                </c:pt>
                <c:pt idx="381">
                  <c:v>46040</c:v>
                </c:pt>
                <c:pt idx="382">
                  <c:v>46041</c:v>
                </c:pt>
                <c:pt idx="383">
                  <c:v>46042</c:v>
                </c:pt>
                <c:pt idx="384">
                  <c:v>46043</c:v>
                </c:pt>
                <c:pt idx="385">
                  <c:v>46044</c:v>
                </c:pt>
                <c:pt idx="386">
                  <c:v>46045</c:v>
                </c:pt>
                <c:pt idx="387">
                  <c:v>46046</c:v>
                </c:pt>
                <c:pt idx="388">
                  <c:v>46047</c:v>
                </c:pt>
                <c:pt idx="389">
                  <c:v>46048</c:v>
                </c:pt>
                <c:pt idx="390">
                  <c:v>46049</c:v>
                </c:pt>
                <c:pt idx="391">
                  <c:v>46050</c:v>
                </c:pt>
                <c:pt idx="392">
                  <c:v>46051</c:v>
                </c:pt>
                <c:pt idx="393">
                  <c:v>46052</c:v>
                </c:pt>
                <c:pt idx="394">
                  <c:v>46053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46060</c:v>
                </c:pt>
                <c:pt idx="402">
                  <c:v>46061</c:v>
                </c:pt>
                <c:pt idx="403">
                  <c:v>46062</c:v>
                </c:pt>
                <c:pt idx="404">
                  <c:v>46063</c:v>
                </c:pt>
                <c:pt idx="405">
                  <c:v>46064</c:v>
                </c:pt>
                <c:pt idx="406">
                  <c:v>46065</c:v>
                </c:pt>
                <c:pt idx="407">
                  <c:v>46066</c:v>
                </c:pt>
                <c:pt idx="408">
                  <c:v>46067</c:v>
                </c:pt>
                <c:pt idx="409">
                  <c:v>46068</c:v>
                </c:pt>
                <c:pt idx="410">
                  <c:v>46069</c:v>
                </c:pt>
                <c:pt idx="411">
                  <c:v>46070</c:v>
                </c:pt>
                <c:pt idx="412">
                  <c:v>46071</c:v>
                </c:pt>
                <c:pt idx="413">
                  <c:v>46072</c:v>
                </c:pt>
                <c:pt idx="414">
                  <c:v>46073</c:v>
                </c:pt>
                <c:pt idx="415">
                  <c:v>46074</c:v>
                </c:pt>
                <c:pt idx="416">
                  <c:v>46075</c:v>
                </c:pt>
                <c:pt idx="417">
                  <c:v>46076</c:v>
                </c:pt>
                <c:pt idx="418">
                  <c:v>46077</c:v>
                </c:pt>
                <c:pt idx="419">
                  <c:v>46078</c:v>
                </c:pt>
                <c:pt idx="420">
                  <c:v>46079</c:v>
                </c:pt>
                <c:pt idx="421">
                  <c:v>46080</c:v>
                </c:pt>
                <c:pt idx="422">
                  <c:v>46081</c:v>
                </c:pt>
                <c:pt idx="423">
                  <c:v>46082</c:v>
                </c:pt>
                <c:pt idx="424">
                  <c:v>46083</c:v>
                </c:pt>
                <c:pt idx="425">
                  <c:v>46084</c:v>
                </c:pt>
                <c:pt idx="426">
                  <c:v>46085</c:v>
                </c:pt>
                <c:pt idx="427">
                  <c:v>46086</c:v>
                </c:pt>
                <c:pt idx="428">
                  <c:v>46087</c:v>
                </c:pt>
                <c:pt idx="429">
                  <c:v>46088</c:v>
                </c:pt>
                <c:pt idx="430">
                  <c:v>46089</c:v>
                </c:pt>
                <c:pt idx="431">
                  <c:v>46090</c:v>
                </c:pt>
                <c:pt idx="432">
                  <c:v>46091</c:v>
                </c:pt>
                <c:pt idx="433">
                  <c:v>46092</c:v>
                </c:pt>
                <c:pt idx="434">
                  <c:v>46093</c:v>
                </c:pt>
                <c:pt idx="435">
                  <c:v>46094</c:v>
                </c:pt>
                <c:pt idx="436">
                  <c:v>46095</c:v>
                </c:pt>
                <c:pt idx="437">
                  <c:v>46096</c:v>
                </c:pt>
                <c:pt idx="438">
                  <c:v>46097</c:v>
                </c:pt>
                <c:pt idx="439">
                  <c:v>46098</c:v>
                </c:pt>
                <c:pt idx="440">
                  <c:v>46099</c:v>
                </c:pt>
                <c:pt idx="441">
                  <c:v>46100</c:v>
                </c:pt>
                <c:pt idx="442">
                  <c:v>46101</c:v>
                </c:pt>
                <c:pt idx="443">
                  <c:v>46102</c:v>
                </c:pt>
                <c:pt idx="444">
                  <c:v>46103</c:v>
                </c:pt>
                <c:pt idx="445">
                  <c:v>46104</c:v>
                </c:pt>
                <c:pt idx="446">
                  <c:v>46105</c:v>
                </c:pt>
                <c:pt idx="447">
                  <c:v>46106</c:v>
                </c:pt>
                <c:pt idx="448">
                  <c:v>46107</c:v>
                </c:pt>
                <c:pt idx="449">
                  <c:v>46108</c:v>
                </c:pt>
                <c:pt idx="450">
                  <c:v>46109</c:v>
                </c:pt>
                <c:pt idx="451">
                  <c:v>46110</c:v>
                </c:pt>
                <c:pt idx="452">
                  <c:v>46111</c:v>
                </c:pt>
                <c:pt idx="453">
                  <c:v>46112</c:v>
                </c:pt>
                <c:pt idx="454">
                  <c:v>46113</c:v>
                </c:pt>
                <c:pt idx="455">
                  <c:v>46114</c:v>
                </c:pt>
                <c:pt idx="456">
                  <c:v>46115</c:v>
                </c:pt>
                <c:pt idx="457">
                  <c:v>46116</c:v>
                </c:pt>
                <c:pt idx="458">
                  <c:v>46117</c:v>
                </c:pt>
                <c:pt idx="459">
                  <c:v>46118</c:v>
                </c:pt>
                <c:pt idx="460">
                  <c:v>46119</c:v>
                </c:pt>
                <c:pt idx="461">
                  <c:v>46120</c:v>
                </c:pt>
                <c:pt idx="462">
                  <c:v>46121</c:v>
                </c:pt>
                <c:pt idx="463">
                  <c:v>46122</c:v>
                </c:pt>
                <c:pt idx="464">
                  <c:v>46123</c:v>
                </c:pt>
                <c:pt idx="465">
                  <c:v>46124</c:v>
                </c:pt>
                <c:pt idx="466">
                  <c:v>46125</c:v>
                </c:pt>
                <c:pt idx="467">
                  <c:v>46126</c:v>
                </c:pt>
                <c:pt idx="468">
                  <c:v>46127</c:v>
                </c:pt>
                <c:pt idx="469">
                  <c:v>46128</c:v>
                </c:pt>
                <c:pt idx="470">
                  <c:v>46129</c:v>
                </c:pt>
                <c:pt idx="471">
                  <c:v>46130</c:v>
                </c:pt>
                <c:pt idx="472">
                  <c:v>46131</c:v>
                </c:pt>
                <c:pt idx="473">
                  <c:v>46132</c:v>
                </c:pt>
                <c:pt idx="474">
                  <c:v>46133</c:v>
                </c:pt>
                <c:pt idx="475">
                  <c:v>46134</c:v>
                </c:pt>
                <c:pt idx="476">
                  <c:v>46135</c:v>
                </c:pt>
                <c:pt idx="477">
                  <c:v>46136</c:v>
                </c:pt>
                <c:pt idx="478">
                  <c:v>46137</c:v>
                </c:pt>
                <c:pt idx="479">
                  <c:v>46138</c:v>
                </c:pt>
                <c:pt idx="480">
                  <c:v>46139</c:v>
                </c:pt>
                <c:pt idx="481">
                  <c:v>46140</c:v>
                </c:pt>
                <c:pt idx="482">
                  <c:v>46141</c:v>
                </c:pt>
                <c:pt idx="483">
                  <c:v>46142</c:v>
                </c:pt>
                <c:pt idx="484">
                  <c:v>46143</c:v>
                </c:pt>
                <c:pt idx="485">
                  <c:v>46144</c:v>
                </c:pt>
                <c:pt idx="486">
                  <c:v>46145</c:v>
                </c:pt>
                <c:pt idx="487">
                  <c:v>46146</c:v>
                </c:pt>
                <c:pt idx="488">
                  <c:v>46147</c:v>
                </c:pt>
                <c:pt idx="489">
                  <c:v>46148</c:v>
                </c:pt>
                <c:pt idx="490">
                  <c:v>46149</c:v>
                </c:pt>
                <c:pt idx="491">
                  <c:v>46150</c:v>
                </c:pt>
                <c:pt idx="492">
                  <c:v>46151</c:v>
                </c:pt>
                <c:pt idx="493">
                  <c:v>46152</c:v>
                </c:pt>
                <c:pt idx="494">
                  <c:v>46153</c:v>
                </c:pt>
                <c:pt idx="495">
                  <c:v>46154</c:v>
                </c:pt>
                <c:pt idx="496">
                  <c:v>46155</c:v>
                </c:pt>
                <c:pt idx="497">
                  <c:v>46156</c:v>
                </c:pt>
                <c:pt idx="498">
                  <c:v>46157</c:v>
                </c:pt>
                <c:pt idx="499">
                  <c:v>46158</c:v>
                </c:pt>
                <c:pt idx="500">
                  <c:v>46159</c:v>
                </c:pt>
                <c:pt idx="501">
                  <c:v>46160</c:v>
                </c:pt>
                <c:pt idx="502">
                  <c:v>46161</c:v>
                </c:pt>
                <c:pt idx="503">
                  <c:v>46162</c:v>
                </c:pt>
                <c:pt idx="504">
                  <c:v>46163</c:v>
                </c:pt>
                <c:pt idx="505">
                  <c:v>46164</c:v>
                </c:pt>
                <c:pt idx="506">
                  <c:v>46165</c:v>
                </c:pt>
                <c:pt idx="507">
                  <c:v>46166</c:v>
                </c:pt>
                <c:pt idx="508">
                  <c:v>46167</c:v>
                </c:pt>
                <c:pt idx="509">
                  <c:v>46168</c:v>
                </c:pt>
                <c:pt idx="510">
                  <c:v>46169</c:v>
                </c:pt>
                <c:pt idx="511">
                  <c:v>46170</c:v>
                </c:pt>
                <c:pt idx="512">
                  <c:v>46171</c:v>
                </c:pt>
                <c:pt idx="513">
                  <c:v>46172</c:v>
                </c:pt>
                <c:pt idx="514">
                  <c:v>46173</c:v>
                </c:pt>
                <c:pt idx="515">
                  <c:v>46174</c:v>
                </c:pt>
                <c:pt idx="516">
                  <c:v>46175</c:v>
                </c:pt>
                <c:pt idx="517">
                  <c:v>46176</c:v>
                </c:pt>
                <c:pt idx="518">
                  <c:v>46177</c:v>
                </c:pt>
                <c:pt idx="519">
                  <c:v>46178</c:v>
                </c:pt>
                <c:pt idx="520">
                  <c:v>46179</c:v>
                </c:pt>
                <c:pt idx="521">
                  <c:v>46180</c:v>
                </c:pt>
                <c:pt idx="522">
                  <c:v>46181</c:v>
                </c:pt>
                <c:pt idx="523">
                  <c:v>46182</c:v>
                </c:pt>
                <c:pt idx="524">
                  <c:v>46183</c:v>
                </c:pt>
                <c:pt idx="525">
                  <c:v>46184</c:v>
                </c:pt>
                <c:pt idx="526">
                  <c:v>46185</c:v>
                </c:pt>
                <c:pt idx="527">
                  <c:v>46186</c:v>
                </c:pt>
                <c:pt idx="528">
                  <c:v>46187</c:v>
                </c:pt>
                <c:pt idx="529">
                  <c:v>46188</c:v>
                </c:pt>
                <c:pt idx="530">
                  <c:v>46189</c:v>
                </c:pt>
                <c:pt idx="531">
                  <c:v>46190</c:v>
                </c:pt>
                <c:pt idx="532">
                  <c:v>46191</c:v>
                </c:pt>
                <c:pt idx="533">
                  <c:v>46192</c:v>
                </c:pt>
                <c:pt idx="534">
                  <c:v>46193</c:v>
                </c:pt>
                <c:pt idx="535">
                  <c:v>46194</c:v>
                </c:pt>
                <c:pt idx="536">
                  <c:v>46195</c:v>
                </c:pt>
                <c:pt idx="537">
                  <c:v>46196</c:v>
                </c:pt>
                <c:pt idx="538">
                  <c:v>46197</c:v>
                </c:pt>
                <c:pt idx="539">
                  <c:v>46198</c:v>
                </c:pt>
                <c:pt idx="540">
                  <c:v>46199</c:v>
                </c:pt>
                <c:pt idx="541">
                  <c:v>46200</c:v>
                </c:pt>
                <c:pt idx="542">
                  <c:v>46201</c:v>
                </c:pt>
                <c:pt idx="543">
                  <c:v>46202</c:v>
                </c:pt>
                <c:pt idx="544">
                  <c:v>46203</c:v>
                </c:pt>
                <c:pt idx="545">
                  <c:v>46204</c:v>
                </c:pt>
                <c:pt idx="546">
                  <c:v>46205</c:v>
                </c:pt>
                <c:pt idx="547">
                  <c:v>46206</c:v>
                </c:pt>
                <c:pt idx="548">
                  <c:v>46207</c:v>
                </c:pt>
                <c:pt idx="549">
                  <c:v>46208</c:v>
                </c:pt>
                <c:pt idx="550">
                  <c:v>46209</c:v>
                </c:pt>
                <c:pt idx="551">
                  <c:v>46210</c:v>
                </c:pt>
                <c:pt idx="552">
                  <c:v>46211</c:v>
                </c:pt>
                <c:pt idx="553">
                  <c:v>46212</c:v>
                </c:pt>
                <c:pt idx="554">
                  <c:v>46213</c:v>
                </c:pt>
                <c:pt idx="555">
                  <c:v>46214</c:v>
                </c:pt>
                <c:pt idx="556">
                  <c:v>46215</c:v>
                </c:pt>
                <c:pt idx="557">
                  <c:v>46216</c:v>
                </c:pt>
                <c:pt idx="558">
                  <c:v>46217</c:v>
                </c:pt>
                <c:pt idx="559">
                  <c:v>46218</c:v>
                </c:pt>
                <c:pt idx="560">
                  <c:v>46219</c:v>
                </c:pt>
                <c:pt idx="561">
                  <c:v>46220</c:v>
                </c:pt>
                <c:pt idx="562">
                  <c:v>46221</c:v>
                </c:pt>
                <c:pt idx="563">
                  <c:v>46222</c:v>
                </c:pt>
                <c:pt idx="564">
                  <c:v>46223</c:v>
                </c:pt>
                <c:pt idx="565">
                  <c:v>46224</c:v>
                </c:pt>
                <c:pt idx="566">
                  <c:v>46225</c:v>
                </c:pt>
                <c:pt idx="567">
                  <c:v>46226</c:v>
                </c:pt>
                <c:pt idx="568">
                  <c:v>46227</c:v>
                </c:pt>
                <c:pt idx="569">
                  <c:v>46228</c:v>
                </c:pt>
                <c:pt idx="570">
                  <c:v>46229</c:v>
                </c:pt>
                <c:pt idx="571">
                  <c:v>46230</c:v>
                </c:pt>
                <c:pt idx="572">
                  <c:v>46231</c:v>
                </c:pt>
                <c:pt idx="573">
                  <c:v>46232</c:v>
                </c:pt>
                <c:pt idx="574">
                  <c:v>46233</c:v>
                </c:pt>
                <c:pt idx="575">
                  <c:v>46234</c:v>
                </c:pt>
                <c:pt idx="576">
                  <c:v>46235</c:v>
                </c:pt>
                <c:pt idx="577">
                  <c:v>46236</c:v>
                </c:pt>
                <c:pt idx="578">
                  <c:v>46237</c:v>
                </c:pt>
                <c:pt idx="579">
                  <c:v>46238</c:v>
                </c:pt>
                <c:pt idx="580">
                  <c:v>46239</c:v>
                </c:pt>
                <c:pt idx="581">
                  <c:v>46240</c:v>
                </c:pt>
                <c:pt idx="582">
                  <c:v>46241</c:v>
                </c:pt>
                <c:pt idx="583">
                  <c:v>46242</c:v>
                </c:pt>
                <c:pt idx="584">
                  <c:v>46243</c:v>
                </c:pt>
                <c:pt idx="585">
                  <c:v>46244</c:v>
                </c:pt>
                <c:pt idx="586">
                  <c:v>46245</c:v>
                </c:pt>
                <c:pt idx="587">
                  <c:v>46246</c:v>
                </c:pt>
                <c:pt idx="588">
                  <c:v>46247</c:v>
                </c:pt>
                <c:pt idx="589">
                  <c:v>46248</c:v>
                </c:pt>
                <c:pt idx="590">
                  <c:v>46249</c:v>
                </c:pt>
                <c:pt idx="591">
                  <c:v>46250</c:v>
                </c:pt>
                <c:pt idx="592">
                  <c:v>46251</c:v>
                </c:pt>
                <c:pt idx="593">
                  <c:v>46252</c:v>
                </c:pt>
                <c:pt idx="594">
                  <c:v>46253</c:v>
                </c:pt>
                <c:pt idx="595">
                  <c:v>46254</c:v>
                </c:pt>
                <c:pt idx="596">
                  <c:v>46255</c:v>
                </c:pt>
                <c:pt idx="597">
                  <c:v>46256</c:v>
                </c:pt>
                <c:pt idx="598">
                  <c:v>46257</c:v>
                </c:pt>
                <c:pt idx="599">
                  <c:v>46258</c:v>
                </c:pt>
                <c:pt idx="600">
                  <c:v>46259</c:v>
                </c:pt>
                <c:pt idx="601">
                  <c:v>46260</c:v>
                </c:pt>
                <c:pt idx="602">
                  <c:v>46261</c:v>
                </c:pt>
                <c:pt idx="603">
                  <c:v>46262</c:v>
                </c:pt>
                <c:pt idx="604">
                  <c:v>46263</c:v>
                </c:pt>
                <c:pt idx="605">
                  <c:v>46264</c:v>
                </c:pt>
                <c:pt idx="606">
                  <c:v>46265</c:v>
                </c:pt>
                <c:pt idx="607">
                  <c:v>46266</c:v>
                </c:pt>
                <c:pt idx="608">
                  <c:v>46267</c:v>
                </c:pt>
                <c:pt idx="609">
                  <c:v>46268</c:v>
                </c:pt>
                <c:pt idx="610">
                  <c:v>46269</c:v>
                </c:pt>
                <c:pt idx="611">
                  <c:v>46270</c:v>
                </c:pt>
                <c:pt idx="612">
                  <c:v>46271</c:v>
                </c:pt>
                <c:pt idx="613">
                  <c:v>46272</c:v>
                </c:pt>
                <c:pt idx="614">
                  <c:v>46273</c:v>
                </c:pt>
                <c:pt idx="615">
                  <c:v>46274</c:v>
                </c:pt>
                <c:pt idx="616">
                  <c:v>46275</c:v>
                </c:pt>
                <c:pt idx="617">
                  <c:v>46276</c:v>
                </c:pt>
                <c:pt idx="618">
                  <c:v>46277</c:v>
                </c:pt>
                <c:pt idx="619">
                  <c:v>46278</c:v>
                </c:pt>
                <c:pt idx="620">
                  <c:v>46279</c:v>
                </c:pt>
                <c:pt idx="621">
                  <c:v>46280</c:v>
                </c:pt>
                <c:pt idx="622">
                  <c:v>46281</c:v>
                </c:pt>
                <c:pt idx="623">
                  <c:v>46282</c:v>
                </c:pt>
                <c:pt idx="624">
                  <c:v>46283</c:v>
                </c:pt>
                <c:pt idx="625">
                  <c:v>46284</c:v>
                </c:pt>
                <c:pt idx="626">
                  <c:v>46285</c:v>
                </c:pt>
                <c:pt idx="627">
                  <c:v>46286</c:v>
                </c:pt>
                <c:pt idx="628">
                  <c:v>46287</c:v>
                </c:pt>
                <c:pt idx="629">
                  <c:v>46288</c:v>
                </c:pt>
                <c:pt idx="630">
                  <c:v>46289</c:v>
                </c:pt>
                <c:pt idx="631">
                  <c:v>46290</c:v>
                </c:pt>
                <c:pt idx="632">
                  <c:v>46291</c:v>
                </c:pt>
                <c:pt idx="633">
                  <c:v>46292</c:v>
                </c:pt>
                <c:pt idx="634">
                  <c:v>46293</c:v>
                </c:pt>
                <c:pt idx="635">
                  <c:v>46294</c:v>
                </c:pt>
                <c:pt idx="636">
                  <c:v>46295</c:v>
                </c:pt>
                <c:pt idx="637">
                  <c:v>46296</c:v>
                </c:pt>
                <c:pt idx="638">
                  <c:v>46297</c:v>
                </c:pt>
                <c:pt idx="639">
                  <c:v>46298</c:v>
                </c:pt>
                <c:pt idx="640">
                  <c:v>46299</c:v>
                </c:pt>
                <c:pt idx="641">
                  <c:v>46300</c:v>
                </c:pt>
                <c:pt idx="642">
                  <c:v>46301</c:v>
                </c:pt>
                <c:pt idx="643">
                  <c:v>46302</c:v>
                </c:pt>
                <c:pt idx="644">
                  <c:v>46303</c:v>
                </c:pt>
                <c:pt idx="645">
                  <c:v>46304</c:v>
                </c:pt>
                <c:pt idx="646">
                  <c:v>46305</c:v>
                </c:pt>
                <c:pt idx="647">
                  <c:v>46306</c:v>
                </c:pt>
                <c:pt idx="648">
                  <c:v>46307</c:v>
                </c:pt>
                <c:pt idx="649">
                  <c:v>46308</c:v>
                </c:pt>
                <c:pt idx="650">
                  <c:v>46309</c:v>
                </c:pt>
                <c:pt idx="651">
                  <c:v>46310</c:v>
                </c:pt>
                <c:pt idx="652">
                  <c:v>46311</c:v>
                </c:pt>
                <c:pt idx="653">
                  <c:v>46312</c:v>
                </c:pt>
                <c:pt idx="654">
                  <c:v>46313</c:v>
                </c:pt>
                <c:pt idx="655">
                  <c:v>46314</c:v>
                </c:pt>
                <c:pt idx="656">
                  <c:v>46315</c:v>
                </c:pt>
                <c:pt idx="657">
                  <c:v>46316</c:v>
                </c:pt>
                <c:pt idx="658">
                  <c:v>46317</c:v>
                </c:pt>
                <c:pt idx="659">
                  <c:v>46318</c:v>
                </c:pt>
                <c:pt idx="660">
                  <c:v>46319</c:v>
                </c:pt>
                <c:pt idx="661">
                  <c:v>46320</c:v>
                </c:pt>
                <c:pt idx="662">
                  <c:v>46321</c:v>
                </c:pt>
                <c:pt idx="663">
                  <c:v>46322</c:v>
                </c:pt>
                <c:pt idx="664">
                  <c:v>46323</c:v>
                </c:pt>
                <c:pt idx="665">
                  <c:v>46324</c:v>
                </c:pt>
                <c:pt idx="666">
                  <c:v>46325</c:v>
                </c:pt>
                <c:pt idx="667">
                  <c:v>46326</c:v>
                </c:pt>
                <c:pt idx="668">
                  <c:v>46327</c:v>
                </c:pt>
                <c:pt idx="669">
                  <c:v>46328</c:v>
                </c:pt>
                <c:pt idx="670">
                  <c:v>46329</c:v>
                </c:pt>
                <c:pt idx="671">
                  <c:v>46330</c:v>
                </c:pt>
                <c:pt idx="672">
                  <c:v>46331</c:v>
                </c:pt>
                <c:pt idx="673">
                  <c:v>46332</c:v>
                </c:pt>
                <c:pt idx="674">
                  <c:v>46333</c:v>
                </c:pt>
                <c:pt idx="675">
                  <c:v>46334</c:v>
                </c:pt>
                <c:pt idx="676">
                  <c:v>46335</c:v>
                </c:pt>
                <c:pt idx="677">
                  <c:v>46336</c:v>
                </c:pt>
                <c:pt idx="678">
                  <c:v>46337</c:v>
                </c:pt>
                <c:pt idx="679">
                  <c:v>46338</c:v>
                </c:pt>
                <c:pt idx="680">
                  <c:v>46339</c:v>
                </c:pt>
                <c:pt idx="681">
                  <c:v>46340</c:v>
                </c:pt>
                <c:pt idx="682">
                  <c:v>46341</c:v>
                </c:pt>
                <c:pt idx="683">
                  <c:v>46342</c:v>
                </c:pt>
                <c:pt idx="684">
                  <c:v>46343</c:v>
                </c:pt>
                <c:pt idx="685">
                  <c:v>46344</c:v>
                </c:pt>
                <c:pt idx="686">
                  <c:v>46345</c:v>
                </c:pt>
                <c:pt idx="687">
                  <c:v>46346</c:v>
                </c:pt>
                <c:pt idx="688">
                  <c:v>46347</c:v>
                </c:pt>
                <c:pt idx="689">
                  <c:v>46348</c:v>
                </c:pt>
                <c:pt idx="690">
                  <c:v>46349</c:v>
                </c:pt>
                <c:pt idx="691">
                  <c:v>46350</c:v>
                </c:pt>
                <c:pt idx="692">
                  <c:v>46351</c:v>
                </c:pt>
                <c:pt idx="693">
                  <c:v>46352</c:v>
                </c:pt>
                <c:pt idx="694">
                  <c:v>46353</c:v>
                </c:pt>
                <c:pt idx="695">
                  <c:v>46354</c:v>
                </c:pt>
                <c:pt idx="696">
                  <c:v>46355</c:v>
                </c:pt>
                <c:pt idx="697">
                  <c:v>46356</c:v>
                </c:pt>
                <c:pt idx="698">
                  <c:v>46357</c:v>
                </c:pt>
                <c:pt idx="699">
                  <c:v>46358</c:v>
                </c:pt>
                <c:pt idx="700">
                  <c:v>46359</c:v>
                </c:pt>
                <c:pt idx="701">
                  <c:v>46360</c:v>
                </c:pt>
                <c:pt idx="702">
                  <c:v>46361</c:v>
                </c:pt>
                <c:pt idx="703">
                  <c:v>46362</c:v>
                </c:pt>
                <c:pt idx="704">
                  <c:v>46363</c:v>
                </c:pt>
                <c:pt idx="705">
                  <c:v>46364</c:v>
                </c:pt>
                <c:pt idx="706">
                  <c:v>46365</c:v>
                </c:pt>
                <c:pt idx="707">
                  <c:v>46366</c:v>
                </c:pt>
                <c:pt idx="708">
                  <c:v>46367</c:v>
                </c:pt>
                <c:pt idx="709">
                  <c:v>46368</c:v>
                </c:pt>
                <c:pt idx="710">
                  <c:v>46369</c:v>
                </c:pt>
                <c:pt idx="711">
                  <c:v>46370</c:v>
                </c:pt>
                <c:pt idx="712">
                  <c:v>46371</c:v>
                </c:pt>
                <c:pt idx="713">
                  <c:v>46372</c:v>
                </c:pt>
                <c:pt idx="714">
                  <c:v>46373</c:v>
                </c:pt>
                <c:pt idx="715">
                  <c:v>46374</c:v>
                </c:pt>
                <c:pt idx="716">
                  <c:v>46375</c:v>
                </c:pt>
                <c:pt idx="717">
                  <c:v>46376</c:v>
                </c:pt>
                <c:pt idx="718">
                  <c:v>46377</c:v>
                </c:pt>
                <c:pt idx="719">
                  <c:v>46378</c:v>
                </c:pt>
                <c:pt idx="720">
                  <c:v>46379</c:v>
                </c:pt>
                <c:pt idx="721">
                  <c:v>46380</c:v>
                </c:pt>
                <c:pt idx="722">
                  <c:v>46381</c:v>
                </c:pt>
                <c:pt idx="723">
                  <c:v>46382</c:v>
                </c:pt>
                <c:pt idx="724">
                  <c:v>46383</c:v>
                </c:pt>
                <c:pt idx="725">
                  <c:v>46384</c:v>
                </c:pt>
                <c:pt idx="726">
                  <c:v>46385</c:v>
                </c:pt>
                <c:pt idx="727">
                  <c:v>46386</c:v>
                </c:pt>
                <c:pt idx="728">
                  <c:v>46387</c:v>
                </c:pt>
                <c:pt idx="729">
                  <c:v>46388</c:v>
                </c:pt>
                <c:pt idx="730">
                  <c:v>46389</c:v>
                </c:pt>
                <c:pt idx="731">
                  <c:v>46390</c:v>
                </c:pt>
                <c:pt idx="732">
                  <c:v>46391</c:v>
                </c:pt>
                <c:pt idx="733">
                  <c:v>46392</c:v>
                </c:pt>
                <c:pt idx="734">
                  <c:v>46393</c:v>
                </c:pt>
                <c:pt idx="735">
                  <c:v>46394</c:v>
                </c:pt>
                <c:pt idx="736">
                  <c:v>46395</c:v>
                </c:pt>
                <c:pt idx="737">
                  <c:v>46396</c:v>
                </c:pt>
                <c:pt idx="738">
                  <c:v>46397</c:v>
                </c:pt>
                <c:pt idx="739">
                  <c:v>46398</c:v>
                </c:pt>
                <c:pt idx="740">
                  <c:v>46399</c:v>
                </c:pt>
                <c:pt idx="741">
                  <c:v>46400</c:v>
                </c:pt>
                <c:pt idx="742">
                  <c:v>46401</c:v>
                </c:pt>
                <c:pt idx="743">
                  <c:v>46402</c:v>
                </c:pt>
                <c:pt idx="744">
                  <c:v>46403</c:v>
                </c:pt>
                <c:pt idx="745">
                  <c:v>46404</c:v>
                </c:pt>
                <c:pt idx="746">
                  <c:v>46405</c:v>
                </c:pt>
                <c:pt idx="747">
                  <c:v>46406</c:v>
                </c:pt>
                <c:pt idx="748">
                  <c:v>46407</c:v>
                </c:pt>
                <c:pt idx="749">
                  <c:v>46408</c:v>
                </c:pt>
                <c:pt idx="750">
                  <c:v>46409</c:v>
                </c:pt>
                <c:pt idx="751">
                  <c:v>46410</c:v>
                </c:pt>
                <c:pt idx="752">
                  <c:v>46411</c:v>
                </c:pt>
                <c:pt idx="753">
                  <c:v>46412</c:v>
                </c:pt>
                <c:pt idx="754">
                  <c:v>46413</c:v>
                </c:pt>
                <c:pt idx="755">
                  <c:v>46414</c:v>
                </c:pt>
                <c:pt idx="756">
                  <c:v>46415</c:v>
                </c:pt>
                <c:pt idx="757">
                  <c:v>46416</c:v>
                </c:pt>
                <c:pt idx="758">
                  <c:v>46417</c:v>
                </c:pt>
                <c:pt idx="759">
                  <c:v>46418</c:v>
                </c:pt>
                <c:pt idx="760">
                  <c:v>46419</c:v>
                </c:pt>
                <c:pt idx="761">
                  <c:v>46420</c:v>
                </c:pt>
                <c:pt idx="762">
                  <c:v>46421</c:v>
                </c:pt>
                <c:pt idx="763">
                  <c:v>46422</c:v>
                </c:pt>
                <c:pt idx="764">
                  <c:v>46423</c:v>
                </c:pt>
                <c:pt idx="765">
                  <c:v>46424</c:v>
                </c:pt>
                <c:pt idx="766">
                  <c:v>46425</c:v>
                </c:pt>
                <c:pt idx="767">
                  <c:v>46426</c:v>
                </c:pt>
                <c:pt idx="768">
                  <c:v>46427</c:v>
                </c:pt>
                <c:pt idx="769">
                  <c:v>46428</c:v>
                </c:pt>
                <c:pt idx="770">
                  <c:v>46429</c:v>
                </c:pt>
                <c:pt idx="771">
                  <c:v>46430</c:v>
                </c:pt>
                <c:pt idx="772">
                  <c:v>46431</c:v>
                </c:pt>
                <c:pt idx="773">
                  <c:v>46432</c:v>
                </c:pt>
                <c:pt idx="774">
                  <c:v>46433</c:v>
                </c:pt>
                <c:pt idx="775">
                  <c:v>46434</c:v>
                </c:pt>
                <c:pt idx="776">
                  <c:v>46435</c:v>
                </c:pt>
                <c:pt idx="777">
                  <c:v>46436</c:v>
                </c:pt>
                <c:pt idx="778">
                  <c:v>46437</c:v>
                </c:pt>
                <c:pt idx="779">
                  <c:v>46438</c:v>
                </c:pt>
                <c:pt idx="780">
                  <c:v>46439</c:v>
                </c:pt>
                <c:pt idx="781">
                  <c:v>46440</c:v>
                </c:pt>
                <c:pt idx="782">
                  <c:v>46441</c:v>
                </c:pt>
                <c:pt idx="783">
                  <c:v>46442</c:v>
                </c:pt>
                <c:pt idx="784">
                  <c:v>46443</c:v>
                </c:pt>
                <c:pt idx="785">
                  <c:v>46444</c:v>
                </c:pt>
                <c:pt idx="786">
                  <c:v>46445</c:v>
                </c:pt>
                <c:pt idx="787">
                  <c:v>46446</c:v>
                </c:pt>
                <c:pt idx="788">
                  <c:v>46447</c:v>
                </c:pt>
                <c:pt idx="789">
                  <c:v>46448</c:v>
                </c:pt>
                <c:pt idx="790">
                  <c:v>46449</c:v>
                </c:pt>
                <c:pt idx="791">
                  <c:v>46450</c:v>
                </c:pt>
                <c:pt idx="792">
                  <c:v>46451</c:v>
                </c:pt>
                <c:pt idx="793">
                  <c:v>46452</c:v>
                </c:pt>
                <c:pt idx="794">
                  <c:v>46453</c:v>
                </c:pt>
                <c:pt idx="795">
                  <c:v>46454</c:v>
                </c:pt>
                <c:pt idx="796">
                  <c:v>46455</c:v>
                </c:pt>
                <c:pt idx="797">
                  <c:v>46456</c:v>
                </c:pt>
                <c:pt idx="798">
                  <c:v>46457</c:v>
                </c:pt>
                <c:pt idx="799">
                  <c:v>46458</c:v>
                </c:pt>
                <c:pt idx="800">
                  <c:v>46459</c:v>
                </c:pt>
                <c:pt idx="801">
                  <c:v>46460</c:v>
                </c:pt>
                <c:pt idx="802">
                  <c:v>46461</c:v>
                </c:pt>
                <c:pt idx="803">
                  <c:v>46462</c:v>
                </c:pt>
                <c:pt idx="804">
                  <c:v>46463</c:v>
                </c:pt>
                <c:pt idx="805">
                  <c:v>46464</c:v>
                </c:pt>
                <c:pt idx="806">
                  <c:v>46465</c:v>
                </c:pt>
                <c:pt idx="807">
                  <c:v>46466</c:v>
                </c:pt>
                <c:pt idx="808">
                  <c:v>46467</c:v>
                </c:pt>
                <c:pt idx="809">
                  <c:v>46468</c:v>
                </c:pt>
                <c:pt idx="810">
                  <c:v>46469</c:v>
                </c:pt>
                <c:pt idx="811">
                  <c:v>46470</c:v>
                </c:pt>
                <c:pt idx="812">
                  <c:v>46471</c:v>
                </c:pt>
                <c:pt idx="813">
                  <c:v>46472</c:v>
                </c:pt>
                <c:pt idx="814">
                  <c:v>46473</c:v>
                </c:pt>
                <c:pt idx="815">
                  <c:v>46474</c:v>
                </c:pt>
                <c:pt idx="816">
                  <c:v>46475</c:v>
                </c:pt>
                <c:pt idx="817">
                  <c:v>46476</c:v>
                </c:pt>
                <c:pt idx="818">
                  <c:v>46477</c:v>
                </c:pt>
                <c:pt idx="819">
                  <c:v>46478</c:v>
                </c:pt>
                <c:pt idx="820">
                  <c:v>46479</c:v>
                </c:pt>
                <c:pt idx="821">
                  <c:v>46480</c:v>
                </c:pt>
                <c:pt idx="822">
                  <c:v>46481</c:v>
                </c:pt>
                <c:pt idx="823">
                  <c:v>46482</c:v>
                </c:pt>
                <c:pt idx="824">
                  <c:v>46483</c:v>
                </c:pt>
                <c:pt idx="825">
                  <c:v>46484</c:v>
                </c:pt>
                <c:pt idx="826">
                  <c:v>46485</c:v>
                </c:pt>
                <c:pt idx="827">
                  <c:v>46486</c:v>
                </c:pt>
                <c:pt idx="828">
                  <c:v>46487</c:v>
                </c:pt>
                <c:pt idx="829">
                  <c:v>46488</c:v>
                </c:pt>
                <c:pt idx="830">
                  <c:v>46489</c:v>
                </c:pt>
                <c:pt idx="831">
                  <c:v>46490</c:v>
                </c:pt>
                <c:pt idx="832">
                  <c:v>46491</c:v>
                </c:pt>
                <c:pt idx="833">
                  <c:v>46492</c:v>
                </c:pt>
                <c:pt idx="834">
                  <c:v>46493</c:v>
                </c:pt>
                <c:pt idx="835">
                  <c:v>46494</c:v>
                </c:pt>
                <c:pt idx="836">
                  <c:v>46495</c:v>
                </c:pt>
                <c:pt idx="837">
                  <c:v>46496</c:v>
                </c:pt>
                <c:pt idx="838">
                  <c:v>46497</c:v>
                </c:pt>
                <c:pt idx="839">
                  <c:v>46498</c:v>
                </c:pt>
                <c:pt idx="840">
                  <c:v>46499</c:v>
                </c:pt>
                <c:pt idx="841">
                  <c:v>46500</c:v>
                </c:pt>
                <c:pt idx="842">
                  <c:v>46501</c:v>
                </c:pt>
                <c:pt idx="843">
                  <c:v>46502</c:v>
                </c:pt>
                <c:pt idx="844">
                  <c:v>46503</c:v>
                </c:pt>
                <c:pt idx="845">
                  <c:v>46504</c:v>
                </c:pt>
                <c:pt idx="846">
                  <c:v>46505</c:v>
                </c:pt>
                <c:pt idx="847">
                  <c:v>46506</c:v>
                </c:pt>
                <c:pt idx="848">
                  <c:v>46507</c:v>
                </c:pt>
                <c:pt idx="849">
                  <c:v>46508</c:v>
                </c:pt>
                <c:pt idx="850">
                  <c:v>46509</c:v>
                </c:pt>
                <c:pt idx="851">
                  <c:v>46510</c:v>
                </c:pt>
                <c:pt idx="852">
                  <c:v>46511</c:v>
                </c:pt>
                <c:pt idx="853">
                  <c:v>46512</c:v>
                </c:pt>
                <c:pt idx="854">
                  <c:v>46513</c:v>
                </c:pt>
                <c:pt idx="855">
                  <c:v>46514</c:v>
                </c:pt>
                <c:pt idx="856">
                  <c:v>46515</c:v>
                </c:pt>
                <c:pt idx="857">
                  <c:v>46516</c:v>
                </c:pt>
                <c:pt idx="858">
                  <c:v>46517</c:v>
                </c:pt>
                <c:pt idx="859">
                  <c:v>46518</c:v>
                </c:pt>
                <c:pt idx="860">
                  <c:v>46519</c:v>
                </c:pt>
                <c:pt idx="861">
                  <c:v>46520</c:v>
                </c:pt>
                <c:pt idx="862">
                  <c:v>46521</c:v>
                </c:pt>
                <c:pt idx="863">
                  <c:v>46522</c:v>
                </c:pt>
                <c:pt idx="864">
                  <c:v>46523</c:v>
                </c:pt>
                <c:pt idx="865">
                  <c:v>46524</c:v>
                </c:pt>
                <c:pt idx="866">
                  <c:v>46525</c:v>
                </c:pt>
                <c:pt idx="867">
                  <c:v>46526</c:v>
                </c:pt>
                <c:pt idx="868">
                  <c:v>46527</c:v>
                </c:pt>
                <c:pt idx="869">
                  <c:v>46528</c:v>
                </c:pt>
                <c:pt idx="870">
                  <c:v>46529</c:v>
                </c:pt>
                <c:pt idx="871">
                  <c:v>46530</c:v>
                </c:pt>
                <c:pt idx="872">
                  <c:v>46531</c:v>
                </c:pt>
                <c:pt idx="873">
                  <c:v>46532</c:v>
                </c:pt>
                <c:pt idx="874">
                  <c:v>46533</c:v>
                </c:pt>
                <c:pt idx="875">
                  <c:v>46534</c:v>
                </c:pt>
                <c:pt idx="876">
                  <c:v>46535</c:v>
                </c:pt>
                <c:pt idx="877">
                  <c:v>46536</c:v>
                </c:pt>
                <c:pt idx="878">
                  <c:v>46537</c:v>
                </c:pt>
                <c:pt idx="879">
                  <c:v>46538</c:v>
                </c:pt>
                <c:pt idx="880">
                  <c:v>46539</c:v>
                </c:pt>
                <c:pt idx="881">
                  <c:v>46540</c:v>
                </c:pt>
                <c:pt idx="882">
                  <c:v>46541</c:v>
                </c:pt>
                <c:pt idx="883">
                  <c:v>46542</c:v>
                </c:pt>
                <c:pt idx="884">
                  <c:v>46543</c:v>
                </c:pt>
                <c:pt idx="885">
                  <c:v>46544</c:v>
                </c:pt>
                <c:pt idx="886">
                  <c:v>46545</c:v>
                </c:pt>
                <c:pt idx="887">
                  <c:v>46546</c:v>
                </c:pt>
                <c:pt idx="888">
                  <c:v>46547</c:v>
                </c:pt>
                <c:pt idx="889">
                  <c:v>46548</c:v>
                </c:pt>
                <c:pt idx="890">
                  <c:v>46549</c:v>
                </c:pt>
                <c:pt idx="891">
                  <c:v>46550</c:v>
                </c:pt>
                <c:pt idx="892">
                  <c:v>46551</c:v>
                </c:pt>
                <c:pt idx="893">
                  <c:v>46552</c:v>
                </c:pt>
                <c:pt idx="894">
                  <c:v>46553</c:v>
                </c:pt>
                <c:pt idx="895">
                  <c:v>46554</c:v>
                </c:pt>
                <c:pt idx="896">
                  <c:v>46555</c:v>
                </c:pt>
                <c:pt idx="897">
                  <c:v>46556</c:v>
                </c:pt>
                <c:pt idx="898">
                  <c:v>46557</c:v>
                </c:pt>
                <c:pt idx="899">
                  <c:v>46558</c:v>
                </c:pt>
                <c:pt idx="900">
                  <c:v>46559</c:v>
                </c:pt>
                <c:pt idx="901">
                  <c:v>46560</c:v>
                </c:pt>
                <c:pt idx="902">
                  <c:v>46561</c:v>
                </c:pt>
                <c:pt idx="903">
                  <c:v>46562</c:v>
                </c:pt>
                <c:pt idx="904">
                  <c:v>46563</c:v>
                </c:pt>
                <c:pt idx="905">
                  <c:v>46564</c:v>
                </c:pt>
                <c:pt idx="906">
                  <c:v>46565</c:v>
                </c:pt>
                <c:pt idx="907">
                  <c:v>46566</c:v>
                </c:pt>
                <c:pt idx="908">
                  <c:v>46567</c:v>
                </c:pt>
                <c:pt idx="909">
                  <c:v>46568</c:v>
                </c:pt>
                <c:pt idx="910">
                  <c:v>46569</c:v>
                </c:pt>
                <c:pt idx="911">
                  <c:v>46570</c:v>
                </c:pt>
                <c:pt idx="912">
                  <c:v>46571</c:v>
                </c:pt>
                <c:pt idx="913">
                  <c:v>46572</c:v>
                </c:pt>
                <c:pt idx="914">
                  <c:v>46573</c:v>
                </c:pt>
                <c:pt idx="915">
                  <c:v>46574</c:v>
                </c:pt>
                <c:pt idx="916">
                  <c:v>46575</c:v>
                </c:pt>
                <c:pt idx="917">
                  <c:v>46576</c:v>
                </c:pt>
                <c:pt idx="918">
                  <c:v>46577</c:v>
                </c:pt>
                <c:pt idx="919">
                  <c:v>46578</c:v>
                </c:pt>
                <c:pt idx="920">
                  <c:v>46579</c:v>
                </c:pt>
                <c:pt idx="921">
                  <c:v>46580</c:v>
                </c:pt>
                <c:pt idx="922">
                  <c:v>46581</c:v>
                </c:pt>
                <c:pt idx="923">
                  <c:v>46582</c:v>
                </c:pt>
                <c:pt idx="924">
                  <c:v>46583</c:v>
                </c:pt>
                <c:pt idx="925">
                  <c:v>46584</c:v>
                </c:pt>
                <c:pt idx="926">
                  <c:v>46585</c:v>
                </c:pt>
                <c:pt idx="927">
                  <c:v>46586</c:v>
                </c:pt>
                <c:pt idx="928">
                  <c:v>46587</c:v>
                </c:pt>
                <c:pt idx="929">
                  <c:v>46588</c:v>
                </c:pt>
                <c:pt idx="930">
                  <c:v>46589</c:v>
                </c:pt>
                <c:pt idx="931">
                  <c:v>46590</c:v>
                </c:pt>
                <c:pt idx="932">
                  <c:v>46591</c:v>
                </c:pt>
                <c:pt idx="933">
                  <c:v>46592</c:v>
                </c:pt>
                <c:pt idx="934">
                  <c:v>46593</c:v>
                </c:pt>
                <c:pt idx="935">
                  <c:v>46594</c:v>
                </c:pt>
                <c:pt idx="936">
                  <c:v>46595</c:v>
                </c:pt>
                <c:pt idx="937">
                  <c:v>46596</c:v>
                </c:pt>
                <c:pt idx="938">
                  <c:v>46597</c:v>
                </c:pt>
                <c:pt idx="939">
                  <c:v>46598</c:v>
                </c:pt>
                <c:pt idx="940">
                  <c:v>46599</c:v>
                </c:pt>
                <c:pt idx="941">
                  <c:v>46600</c:v>
                </c:pt>
                <c:pt idx="942">
                  <c:v>46601</c:v>
                </c:pt>
                <c:pt idx="943">
                  <c:v>46602</c:v>
                </c:pt>
                <c:pt idx="944">
                  <c:v>46603</c:v>
                </c:pt>
                <c:pt idx="945">
                  <c:v>46604</c:v>
                </c:pt>
                <c:pt idx="946">
                  <c:v>46605</c:v>
                </c:pt>
                <c:pt idx="947">
                  <c:v>46606</c:v>
                </c:pt>
                <c:pt idx="948">
                  <c:v>46607</c:v>
                </c:pt>
                <c:pt idx="949">
                  <c:v>46608</c:v>
                </c:pt>
                <c:pt idx="950">
                  <c:v>46609</c:v>
                </c:pt>
                <c:pt idx="951">
                  <c:v>46610</c:v>
                </c:pt>
                <c:pt idx="952">
                  <c:v>46611</c:v>
                </c:pt>
                <c:pt idx="953">
                  <c:v>46612</c:v>
                </c:pt>
                <c:pt idx="954">
                  <c:v>46613</c:v>
                </c:pt>
                <c:pt idx="955">
                  <c:v>46614</c:v>
                </c:pt>
                <c:pt idx="956">
                  <c:v>46615</c:v>
                </c:pt>
                <c:pt idx="957">
                  <c:v>46616</c:v>
                </c:pt>
                <c:pt idx="958">
                  <c:v>46617</c:v>
                </c:pt>
                <c:pt idx="959">
                  <c:v>46618</c:v>
                </c:pt>
                <c:pt idx="960">
                  <c:v>46619</c:v>
                </c:pt>
                <c:pt idx="961">
                  <c:v>46620</c:v>
                </c:pt>
                <c:pt idx="962">
                  <c:v>46621</c:v>
                </c:pt>
                <c:pt idx="963">
                  <c:v>46622</c:v>
                </c:pt>
                <c:pt idx="964">
                  <c:v>46623</c:v>
                </c:pt>
                <c:pt idx="965">
                  <c:v>46624</c:v>
                </c:pt>
                <c:pt idx="966">
                  <c:v>46625</c:v>
                </c:pt>
                <c:pt idx="967">
                  <c:v>46626</c:v>
                </c:pt>
                <c:pt idx="968">
                  <c:v>46627</c:v>
                </c:pt>
                <c:pt idx="969">
                  <c:v>46628</c:v>
                </c:pt>
                <c:pt idx="970">
                  <c:v>46629</c:v>
                </c:pt>
                <c:pt idx="971">
                  <c:v>46630</c:v>
                </c:pt>
                <c:pt idx="972">
                  <c:v>46631</c:v>
                </c:pt>
                <c:pt idx="973">
                  <c:v>46632</c:v>
                </c:pt>
                <c:pt idx="974">
                  <c:v>46633</c:v>
                </c:pt>
                <c:pt idx="975">
                  <c:v>46634</c:v>
                </c:pt>
                <c:pt idx="976">
                  <c:v>46635</c:v>
                </c:pt>
                <c:pt idx="977">
                  <c:v>46636</c:v>
                </c:pt>
                <c:pt idx="978">
                  <c:v>46637</c:v>
                </c:pt>
                <c:pt idx="979">
                  <c:v>46638</c:v>
                </c:pt>
                <c:pt idx="980">
                  <c:v>46639</c:v>
                </c:pt>
                <c:pt idx="981">
                  <c:v>46640</c:v>
                </c:pt>
                <c:pt idx="982">
                  <c:v>46641</c:v>
                </c:pt>
                <c:pt idx="983">
                  <c:v>46642</c:v>
                </c:pt>
                <c:pt idx="984">
                  <c:v>46643</c:v>
                </c:pt>
                <c:pt idx="985">
                  <c:v>46644</c:v>
                </c:pt>
                <c:pt idx="986">
                  <c:v>46645</c:v>
                </c:pt>
                <c:pt idx="987">
                  <c:v>46646</c:v>
                </c:pt>
                <c:pt idx="988">
                  <c:v>46647</c:v>
                </c:pt>
                <c:pt idx="989">
                  <c:v>46648</c:v>
                </c:pt>
                <c:pt idx="990">
                  <c:v>46649</c:v>
                </c:pt>
                <c:pt idx="991">
                  <c:v>46650</c:v>
                </c:pt>
                <c:pt idx="992">
                  <c:v>46651</c:v>
                </c:pt>
                <c:pt idx="993">
                  <c:v>46652</c:v>
                </c:pt>
                <c:pt idx="994">
                  <c:v>46653</c:v>
                </c:pt>
                <c:pt idx="995">
                  <c:v>46654</c:v>
                </c:pt>
                <c:pt idx="996">
                  <c:v>46655</c:v>
                </c:pt>
                <c:pt idx="997">
                  <c:v>46656</c:v>
                </c:pt>
                <c:pt idx="998">
                  <c:v>46657</c:v>
                </c:pt>
                <c:pt idx="999">
                  <c:v>46658</c:v>
                </c:pt>
                <c:pt idx="1000">
                  <c:v>46659</c:v>
                </c:pt>
                <c:pt idx="1001">
                  <c:v>46660</c:v>
                </c:pt>
                <c:pt idx="1002">
                  <c:v>46661</c:v>
                </c:pt>
                <c:pt idx="1003">
                  <c:v>46662</c:v>
                </c:pt>
                <c:pt idx="1004">
                  <c:v>46663</c:v>
                </c:pt>
                <c:pt idx="1005">
                  <c:v>46664</c:v>
                </c:pt>
                <c:pt idx="1006">
                  <c:v>46665</c:v>
                </c:pt>
                <c:pt idx="1007">
                  <c:v>46666</c:v>
                </c:pt>
                <c:pt idx="1008">
                  <c:v>46667</c:v>
                </c:pt>
                <c:pt idx="1009">
                  <c:v>46668</c:v>
                </c:pt>
                <c:pt idx="1010">
                  <c:v>46669</c:v>
                </c:pt>
                <c:pt idx="1011">
                  <c:v>46670</c:v>
                </c:pt>
                <c:pt idx="1012">
                  <c:v>46671</c:v>
                </c:pt>
                <c:pt idx="1013">
                  <c:v>46672</c:v>
                </c:pt>
                <c:pt idx="1014">
                  <c:v>46673</c:v>
                </c:pt>
                <c:pt idx="1015">
                  <c:v>46674</c:v>
                </c:pt>
                <c:pt idx="1016">
                  <c:v>46675</c:v>
                </c:pt>
                <c:pt idx="1017">
                  <c:v>46676</c:v>
                </c:pt>
                <c:pt idx="1018">
                  <c:v>46677</c:v>
                </c:pt>
                <c:pt idx="1019">
                  <c:v>46678</c:v>
                </c:pt>
                <c:pt idx="1020">
                  <c:v>46679</c:v>
                </c:pt>
                <c:pt idx="1021">
                  <c:v>46680</c:v>
                </c:pt>
                <c:pt idx="1022">
                  <c:v>46681</c:v>
                </c:pt>
                <c:pt idx="1023">
                  <c:v>46682</c:v>
                </c:pt>
                <c:pt idx="1024">
                  <c:v>46683</c:v>
                </c:pt>
                <c:pt idx="1025">
                  <c:v>46684</c:v>
                </c:pt>
                <c:pt idx="1026">
                  <c:v>46685</c:v>
                </c:pt>
                <c:pt idx="1027">
                  <c:v>46686</c:v>
                </c:pt>
                <c:pt idx="1028">
                  <c:v>46687</c:v>
                </c:pt>
                <c:pt idx="1029">
                  <c:v>46688</c:v>
                </c:pt>
                <c:pt idx="1030">
                  <c:v>46689</c:v>
                </c:pt>
                <c:pt idx="1031">
                  <c:v>46690</c:v>
                </c:pt>
                <c:pt idx="1032">
                  <c:v>46691</c:v>
                </c:pt>
                <c:pt idx="1033">
                  <c:v>46692</c:v>
                </c:pt>
                <c:pt idx="1034">
                  <c:v>46693</c:v>
                </c:pt>
                <c:pt idx="1035">
                  <c:v>46694</c:v>
                </c:pt>
                <c:pt idx="1036">
                  <c:v>46695</c:v>
                </c:pt>
                <c:pt idx="1037">
                  <c:v>46696</c:v>
                </c:pt>
                <c:pt idx="1038">
                  <c:v>46697</c:v>
                </c:pt>
                <c:pt idx="1039">
                  <c:v>46698</c:v>
                </c:pt>
                <c:pt idx="1040">
                  <c:v>46699</c:v>
                </c:pt>
                <c:pt idx="1041">
                  <c:v>46700</c:v>
                </c:pt>
                <c:pt idx="1042">
                  <c:v>46701</c:v>
                </c:pt>
                <c:pt idx="1043">
                  <c:v>46702</c:v>
                </c:pt>
                <c:pt idx="1044">
                  <c:v>46703</c:v>
                </c:pt>
                <c:pt idx="1045">
                  <c:v>46704</c:v>
                </c:pt>
                <c:pt idx="1046">
                  <c:v>46705</c:v>
                </c:pt>
                <c:pt idx="1047">
                  <c:v>46706</c:v>
                </c:pt>
                <c:pt idx="1048">
                  <c:v>46707</c:v>
                </c:pt>
                <c:pt idx="1049">
                  <c:v>46708</c:v>
                </c:pt>
                <c:pt idx="1050">
                  <c:v>46709</c:v>
                </c:pt>
                <c:pt idx="1051">
                  <c:v>46710</c:v>
                </c:pt>
                <c:pt idx="1052">
                  <c:v>46711</c:v>
                </c:pt>
                <c:pt idx="1053">
                  <c:v>46712</c:v>
                </c:pt>
                <c:pt idx="1054">
                  <c:v>46713</c:v>
                </c:pt>
                <c:pt idx="1055">
                  <c:v>46714</c:v>
                </c:pt>
                <c:pt idx="1056">
                  <c:v>46715</c:v>
                </c:pt>
                <c:pt idx="1057">
                  <c:v>46716</c:v>
                </c:pt>
                <c:pt idx="1058">
                  <c:v>46717</c:v>
                </c:pt>
                <c:pt idx="1059">
                  <c:v>46718</c:v>
                </c:pt>
                <c:pt idx="1060">
                  <c:v>46719</c:v>
                </c:pt>
                <c:pt idx="1061">
                  <c:v>46720</c:v>
                </c:pt>
                <c:pt idx="1062">
                  <c:v>46721</c:v>
                </c:pt>
                <c:pt idx="1063">
                  <c:v>46722</c:v>
                </c:pt>
                <c:pt idx="1064">
                  <c:v>46723</c:v>
                </c:pt>
                <c:pt idx="1065">
                  <c:v>46724</c:v>
                </c:pt>
                <c:pt idx="1066">
                  <c:v>46725</c:v>
                </c:pt>
                <c:pt idx="1067">
                  <c:v>46726</c:v>
                </c:pt>
                <c:pt idx="1068">
                  <c:v>46727</c:v>
                </c:pt>
                <c:pt idx="1069">
                  <c:v>46728</c:v>
                </c:pt>
                <c:pt idx="1070">
                  <c:v>46729</c:v>
                </c:pt>
                <c:pt idx="1071">
                  <c:v>46730</c:v>
                </c:pt>
                <c:pt idx="1072">
                  <c:v>46731</c:v>
                </c:pt>
                <c:pt idx="1073">
                  <c:v>46732</c:v>
                </c:pt>
                <c:pt idx="1074">
                  <c:v>46733</c:v>
                </c:pt>
                <c:pt idx="1075">
                  <c:v>46734</c:v>
                </c:pt>
                <c:pt idx="1076">
                  <c:v>46735</c:v>
                </c:pt>
                <c:pt idx="1077">
                  <c:v>46736</c:v>
                </c:pt>
                <c:pt idx="1078">
                  <c:v>46737</c:v>
                </c:pt>
                <c:pt idx="1079">
                  <c:v>46738</c:v>
                </c:pt>
                <c:pt idx="1080">
                  <c:v>46739</c:v>
                </c:pt>
                <c:pt idx="1081">
                  <c:v>46740</c:v>
                </c:pt>
                <c:pt idx="1082">
                  <c:v>46741</c:v>
                </c:pt>
                <c:pt idx="1083">
                  <c:v>46742</c:v>
                </c:pt>
                <c:pt idx="1084">
                  <c:v>46743</c:v>
                </c:pt>
                <c:pt idx="1085">
                  <c:v>46744</c:v>
                </c:pt>
                <c:pt idx="1086">
                  <c:v>46745</c:v>
                </c:pt>
                <c:pt idx="1087">
                  <c:v>46746</c:v>
                </c:pt>
                <c:pt idx="1088">
                  <c:v>46747</c:v>
                </c:pt>
                <c:pt idx="1089">
                  <c:v>46748</c:v>
                </c:pt>
                <c:pt idx="1090">
                  <c:v>46749</c:v>
                </c:pt>
                <c:pt idx="1091">
                  <c:v>46750</c:v>
                </c:pt>
                <c:pt idx="1092">
                  <c:v>46751</c:v>
                </c:pt>
                <c:pt idx="1093">
                  <c:v>46752</c:v>
                </c:pt>
                <c:pt idx="1094">
                  <c:v>46753</c:v>
                </c:pt>
                <c:pt idx="1095">
                  <c:v>46754</c:v>
                </c:pt>
                <c:pt idx="1096">
                  <c:v>46755</c:v>
                </c:pt>
                <c:pt idx="1097">
                  <c:v>46756</c:v>
                </c:pt>
                <c:pt idx="1098">
                  <c:v>46757</c:v>
                </c:pt>
                <c:pt idx="1099">
                  <c:v>46758</c:v>
                </c:pt>
                <c:pt idx="1100">
                  <c:v>46759</c:v>
                </c:pt>
                <c:pt idx="1101">
                  <c:v>46760</c:v>
                </c:pt>
                <c:pt idx="1102">
                  <c:v>46761</c:v>
                </c:pt>
                <c:pt idx="1103">
                  <c:v>46762</c:v>
                </c:pt>
                <c:pt idx="1104">
                  <c:v>46763</c:v>
                </c:pt>
                <c:pt idx="1105">
                  <c:v>46764</c:v>
                </c:pt>
                <c:pt idx="1106">
                  <c:v>46765</c:v>
                </c:pt>
                <c:pt idx="1107">
                  <c:v>46766</c:v>
                </c:pt>
                <c:pt idx="1108">
                  <c:v>46767</c:v>
                </c:pt>
                <c:pt idx="1109">
                  <c:v>46768</c:v>
                </c:pt>
                <c:pt idx="1110">
                  <c:v>46769</c:v>
                </c:pt>
                <c:pt idx="1111">
                  <c:v>46770</c:v>
                </c:pt>
                <c:pt idx="1112">
                  <c:v>46771</c:v>
                </c:pt>
                <c:pt idx="1113">
                  <c:v>46772</c:v>
                </c:pt>
                <c:pt idx="1114">
                  <c:v>46773</c:v>
                </c:pt>
                <c:pt idx="1115">
                  <c:v>46774</c:v>
                </c:pt>
                <c:pt idx="1116">
                  <c:v>46775</c:v>
                </c:pt>
                <c:pt idx="1117">
                  <c:v>46776</c:v>
                </c:pt>
                <c:pt idx="1118">
                  <c:v>46777</c:v>
                </c:pt>
                <c:pt idx="1119">
                  <c:v>46778</c:v>
                </c:pt>
                <c:pt idx="1120">
                  <c:v>46779</c:v>
                </c:pt>
                <c:pt idx="1121">
                  <c:v>46780</c:v>
                </c:pt>
                <c:pt idx="1122">
                  <c:v>46781</c:v>
                </c:pt>
                <c:pt idx="1123">
                  <c:v>46782</c:v>
                </c:pt>
                <c:pt idx="1124">
                  <c:v>46783</c:v>
                </c:pt>
                <c:pt idx="1125">
                  <c:v>46784</c:v>
                </c:pt>
                <c:pt idx="1126">
                  <c:v>46785</c:v>
                </c:pt>
                <c:pt idx="1127">
                  <c:v>46786</c:v>
                </c:pt>
                <c:pt idx="1128">
                  <c:v>46787</c:v>
                </c:pt>
                <c:pt idx="1129">
                  <c:v>46788</c:v>
                </c:pt>
                <c:pt idx="1130">
                  <c:v>46789</c:v>
                </c:pt>
                <c:pt idx="1131">
                  <c:v>46790</c:v>
                </c:pt>
                <c:pt idx="1132">
                  <c:v>46791</c:v>
                </c:pt>
                <c:pt idx="1133">
                  <c:v>46792</c:v>
                </c:pt>
                <c:pt idx="1134">
                  <c:v>46793</c:v>
                </c:pt>
                <c:pt idx="1135">
                  <c:v>46794</c:v>
                </c:pt>
                <c:pt idx="1136">
                  <c:v>46795</c:v>
                </c:pt>
                <c:pt idx="1137">
                  <c:v>46796</c:v>
                </c:pt>
                <c:pt idx="1138">
                  <c:v>46797</c:v>
                </c:pt>
                <c:pt idx="1139">
                  <c:v>46798</c:v>
                </c:pt>
                <c:pt idx="1140">
                  <c:v>46799</c:v>
                </c:pt>
                <c:pt idx="1141">
                  <c:v>46800</c:v>
                </c:pt>
                <c:pt idx="1142">
                  <c:v>46801</c:v>
                </c:pt>
                <c:pt idx="1143">
                  <c:v>46802</c:v>
                </c:pt>
                <c:pt idx="1144">
                  <c:v>46803</c:v>
                </c:pt>
                <c:pt idx="1145">
                  <c:v>46804</c:v>
                </c:pt>
                <c:pt idx="1146">
                  <c:v>46805</c:v>
                </c:pt>
                <c:pt idx="1147">
                  <c:v>46806</c:v>
                </c:pt>
                <c:pt idx="1148">
                  <c:v>46807</c:v>
                </c:pt>
                <c:pt idx="1149">
                  <c:v>46808</c:v>
                </c:pt>
                <c:pt idx="1150">
                  <c:v>46809</c:v>
                </c:pt>
                <c:pt idx="1151">
                  <c:v>46810</c:v>
                </c:pt>
                <c:pt idx="1152">
                  <c:v>46811</c:v>
                </c:pt>
                <c:pt idx="1153">
                  <c:v>46812</c:v>
                </c:pt>
                <c:pt idx="1154">
                  <c:v>46813</c:v>
                </c:pt>
                <c:pt idx="1155">
                  <c:v>46814</c:v>
                </c:pt>
                <c:pt idx="1156">
                  <c:v>46815</c:v>
                </c:pt>
                <c:pt idx="1157">
                  <c:v>46816</c:v>
                </c:pt>
                <c:pt idx="1158">
                  <c:v>46817</c:v>
                </c:pt>
                <c:pt idx="1159">
                  <c:v>46818</c:v>
                </c:pt>
                <c:pt idx="1160">
                  <c:v>46819</c:v>
                </c:pt>
                <c:pt idx="1161">
                  <c:v>46820</c:v>
                </c:pt>
                <c:pt idx="1162">
                  <c:v>46821</c:v>
                </c:pt>
                <c:pt idx="1163">
                  <c:v>46822</c:v>
                </c:pt>
                <c:pt idx="1164">
                  <c:v>46823</c:v>
                </c:pt>
                <c:pt idx="1165">
                  <c:v>46824</c:v>
                </c:pt>
                <c:pt idx="1166">
                  <c:v>46825</c:v>
                </c:pt>
                <c:pt idx="1167">
                  <c:v>46826</c:v>
                </c:pt>
                <c:pt idx="1168">
                  <c:v>46827</c:v>
                </c:pt>
                <c:pt idx="1169">
                  <c:v>46828</c:v>
                </c:pt>
                <c:pt idx="1170">
                  <c:v>46829</c:v>
                </c:pt>
                <c:pt idx="1171">
                  <c:v>46830</c:v>
                </c:pt>
                <c:pt idx="1172">
                  <c:v>46831</c:v>
                </c:pt>
                <c:pt idx="1173">
                  <c:v>46832</c:v>
                </c:pt>
                <c:pt idx="1174">
                  <c:v>46833</c:v>
                </c:pt>
                <c:pt idx="1175">
                  <c:v>46834</c:v>
                </c:pt>
                <c:pt idx="1176">
                  <c:v>46835</c:v>
                </c:pt>
                <c:pt idx="1177">
                  <c:v>46836</c:v>
                </c:pt>
                <c:pt idx="1178">
                  <c:v>46837</c:v>
                </c:pt>
                <c:pt idx="1179">
                  <c:v>46838</c:v>
                </c:pt>
                <c:pt idx="1180">
                  <c:v>46839</c:v>
                </c:pt>
                <c:pt idx="1181">
                  <c:v>46840</c:v>
                </c:pt>
                <c:pt idx="1182">
                  <c:v>46841</c:v>
                </c:pt>
                <c:pt idx="1183">
                  <c:v>46842</c:v>
                </c:pt>
                <c:pt idx="1184">
                  <c:v>46843</c:v>
                </c:pt>
                <c:pt idx="1185">
                  <c:v>46844</c:v>
                </c:pt>
                <c:pt idx="1186">
                  <c:v>46845</c:v>
                </c:pt>
                <c:pt idx="1187">
                  <c:v>46846</c:v>
                </c:pt>
                <c:pt idx="1188">
                  <c:v>46847</c:v>
                </c:pt>
                <c:pt idx="1189">
                  <c:v>46848</c:v>
                </c:pt>
                <c:pt idx="1190">
                  <c:v>46849</c:v>
                </c:pt>
                <c:pt idx="1191">
                  <c:v>46850</c:v>
                </c:pt>
                <c:pt idx="1192">
                  <c:v>46851</c:v>
                </c:pt>
                <c:pt idx="1193">
                  <c:v>46852</c:v>
                </c:pt>
                <c:pt idx="1194">
                  <c:v>46853</c:v>
                </c:pt>
                <c:pt idx="1195">
                  <c:v>46854</c:v>
                </c:pt>
                <c:pt idx="1196">
                  <c:v>46855</c:v>
                </c:pt>
                <c:pt idx="1197">
                  <c:v>46856</c:v>
                </c:pt>
                <c:pt idx="1198">
                  <c:v>46857</c:v>
                </c:pt>
                <c:pt idx="1199">
                  <c:v>46858</c:v>
                </c:pt>
                <c:pt idx="1200">
                  <c:v>46859</c:v>
                </c:pt>
                <c:pt idx="1201">
                  <c:v>46860</c:v>
                </c:pt>
                <c:pt idx="1202">
                  <c:v>46861</c:v>
                </c:pt>
                <c:pt idx="1203">
                  <c:v>46862</c:v>
                </c:pt>
                <c:pt idx="1204">
                  <c:v>46863</c:v>
                </c:pt>
                <c:pt idx="1205">
                  <c:v>46864</c:v>
                </c:pt>
                <c:pt idx="1206">
                  <c:v>46865</c:v>
                </c:pt>
                <c:pt idx="1207">
                  <c:v>46866</c:v>
                </c:pt>
                <c:pt idx="1208">
                  <c:v>46867</c:v>
                </c:pt>
                <c:pt idx="1209">
                  <c:v>46868</c:v>
                </c:pt>
                <c:pt idx="1210">
                  <c:v>46869</c:v>
                </c:pt>
                <c:pt idx="1211">
                  <c:v>46870</c:v>
                </c:pt>
                <c:pt idx="1212">
                  <c:v>46871</c:v>
                </c:pt>
                <c:pt idx="1213">
                  <c:v>46872</c:v>
                </c:pt>
                <c:pt idx="1214">
                  <c:v>46873</c:v>
                </c:pt>
                <c:pt idx="1215">
                  <c:v>46874</c:v>
                </c:pt>
                <c:pt idx="1216">
                  <c:v>46875</c:v>
                </c:pt>
                <c:pt idx="1217">
                  <c:v>46876</c:v>
                </c:pt>
                <c:pt idx="1218">
                  <c:v>46877</c:v>
                </c:pt>
                <c:pt idx="1219">
                  <c:v>46878</c:v>
                </c:pt>
                <c:pt idx="1220">
                  <c:v>46879</c:v>
                </c:pt>
                <c:pt idx="1221">
                  <c:v>46880</c:v>
                </c:pt>
                <c:pt idx="1222">
                  <c:v>46881</c:v>
                </c:pt>
                <c:pt idx="1223">
                  <c:v>46882</c:v>
                </c:pt>
                <c:pt idx="1224">
                  <c:v>46883</c:v>
                </c:pt>
                <c:pt idx="1225">
                  <c:v>46884</c:v>
                </c:pt>
                <c:pt idx="1226">
                  <c:v>46885</c:v>
                </c:pt>
                <c:pt idx="1227">
                  <c:v>46886</c:v>
                </c:pt>
                <c:pt idx="1228">
                  <c:v>46887</c:v>
                </c:pt>
                <c:pt idx="1229">
                  <c:v>46888</c:v>
                </c:pt>
                <c:pt idx="1230">
                  <c:v>46889</c:v>
                </c:pt>
                <c:pt idx="1231">
                  <c:v>46890</c:v>
                </c:pt>
                <c:pt idx="1232">
                  <c:v>46891</c:v>
                </c:pt>
                <c:pt idx="1233">
                  <c:v>46892</c:v>
                </c:pt>
                <c:pt idx="1234">
                  <c:v>46893</c:v>
                </c:pt>
                <c:pt idx="1235">
                  <c:v>46894</c:v>
                </c:pt>
                <c:pt idx="1236">
                  <c:v>46895</c:v>
                </c:pt>
                <c:pt idx="1237">
                  <c:v>46896</c:v>
                </c:pt>
                <c:pt idx="1238">
                  <c:v>46897</c:v>
                </c:pt>
                <c:pt idx="1239">
                  <c:v>46898</c:v>
                </c:pt>
                <c:pt idx="1240">
                  <c:v>46899</c:v>
                </c:pt>
                <c:pt idx="1241">
                  <c:v>46900</c:v>
                </c:pt>
                <c:pt idx="1242">
                  <c:v>46901</c:v>
                </c:pt>
                <c:pt idx="1243">
                  <c:v>46902</c:v>
                </c:pt>
                <c:pt idx="1244">
                  <c:v>46903</c:v>
                </c:pt>
                <c:pt idx="1245">
                  <c:v>46904</c:v>
                </c:pt>
                <c:pt idx="1246">
                  <c:v>46905</c:v>
                </c:pt>
                <c:pt idx="1247">
                  <c:v>46906</c:v>
                </c:pt>
                <c:pt idx="1248">
                  <c:v>46907</c:v>
                </c:pt>
                <c:pt idx="1249">
                  <c:v>46908</c:v>
                </c:pt>
                <c:pt idx="1250">
                  <c:v>46909</c:v>
                </c:pt>
                <c:pt idx="1251">
                  <c:v>46910</c:v>
                </c:pt>
                <c:pt idx="1252">
                  <c:v>46911</c:v>
                </c:pt>
                <c:pt idx="1253">
                  <c:v>46912</c:v>
                </c:pt>
                <c:pt idx="1254">
                  <c:v>46913</c:v>
                </c:pt>
                <c:pt idx="1255">
                  <c:v>46914</c:v>
                </c:pt>
                <c:pt idx="1256">
                  <c:v>46915</c:v>
                </c:pt>
                <c:pt idx="1257">
                  <c:v>46916</c:v>
                </c:pt>
                <c:pt idx="1258">
                  <c:v>46917</c:v>
                </c:pt>
                <c:pt idx="1259">
                  <c:v>46918</c:v>
                </c:pt>
                <c:pt idx="1260">
                  <c:v>46919</c:v>
                </c:pt>
                <c:pt idx="1261">
                  <c:v>46920</c:v>
                </c:pt>
                <c:pt idx="1262">
                  <c:v>46921</c:v>
                </c:pt>
                <c:pt idx="1263">
                  <c:v>46922</c:v>
                </c:pt>
                <c:pt idx="1264">
                  <c:v>46923</c:v>
                </c:pt>
                <c:pt idx="1265">
                  <c:v>46924</c:v>
                </c:pt>
                <c:pt idx="1266">
                  <c:v>46925</c:v>
                </c:pt>
                <c:pt idx="1267">
                  <c:v>46926</c:v>
                </c:pt>
                <c:pt idx="1268">
                  <c:v>46927</c:v>
                </c:pt>
                <c:pt idx="1269">
                  <c:v>46928</c:v>
                </c:pt>
                <c:pt idx="1270">
                  <c:v>46929</c:v>
                </c:pt>
                <c:pt idx="1271">
                  <c:v>46930</c:v>
                </c:pt>
                <c:pt idx="1272">
                  <c:v>46931</c:v>
                </c:pt>
                <c:pt idx="1273">
                  <c:v>46932</c:v>
                </c:pt>
                <c:pt idx="1274">
                  <c:v>46933</c:v>
                </c:pt>
                <c:pt idx="1275">
                  <c:v>46934</c:v>
                </c:pt>
                <c:pt idx="1276">
                  <c:v>46935</c:v>
                </c:pt>
                <c:pt idx="1277">
                  <c:v>46936</c:v>
                </c:pt>
                <c:pt idx="1278">
                  <c:v>46937</c:v>
                </c:pt>
                <c:pt idx="1279">
                  <c:v>46938</c:v>
                </c:pt>
                <c:pt idx="1280">
                  <c:v>46939</c:v>
                </c:pt>
                <c:pt idx="1281">
                  <c:v>46940</c:v>
                </c:pt>
                <c:pt idx="1282">
                  <c:v>46941</c:v>
                </c:pt>
                <c:pt idx="1283">
                  <c:v>46942</c:v>
                </c:pt>
                <c:pt idx="1284">
                  <c:v>46943</c:v>
                </c:pt>
                <c:pt idx="1285">
                  <c:v>46944</c:v>
                </c:pt>
                <c:pt idx="1286">
                  <c:v>46945</c:v>
                </c:pt>
                <c:pt idx="1287">
                  <c:v>46946</c:v>
                </c:pt>
                <c:pt idx="1288">
                  <c:v>46947</c:v>
                </c:pt>
                <c:pt idx="1289">
                  <c:v>46948</c:v>
                </c:pt>
                <c:pt idx="1290">
                  <c:v>46949</c:v>
                </c:pt>
                <c:pt idx="1291">
                  <c:v>46950</c:v>
                </c:pt>
                <c:pt idx="1292">
                  <c:v>46951</c:v>
                </c:pt>
                <c:pt idx="1293">
                  <c:v>46952</c:v>
                </c:pt>
                <c:pt idx="1294">
                  <c:v>46953</c:v>
                </c:pt>
                <c:pt idx="1295">
                  <c:v>46954</c:v>
                </c:pt>
                <c:pt idx="1296">
                  <c:v>46955</c:v>
                </c:pt>
                <c:pt idx="1297">
                  <c:v>46956</c:v>
                </c:pt>
                <c:pt idx="1298">
                  <c:v>46957</c:v>
                </c:pt>
                <c:pt idx="1299">
                  <c:v>46958</c:v>
                </c:pt>
                <c:pt idx="1300">
                  <c:v>46959</c:v>
                </c:pt>
                <c:pt idx="1301">
                  <c:v>46960</c:v>
                </c:pt>
                <c:pt idx="1302">
                  <c:v>46961</c:v>
                </c:pt>
                <c:pt idx="1303">
                  <c:v>46962</c:v>
                </c:pt>
                <c:pt idx="1304">
                  <c:v>46963</c:v>
                </c:pt>
                <c:pt idx="1305">
                  <c:v>46964</c:v>
                </c:pt>
                <c:pt idx="1306">
                  <c:v>46965</c:v>
                </c:pt>
                <c:pt idx="1307">
                  <c:v>46966</c:v>
                </c:pt>
                <c:pt idx="1308">
                  <c:v>46967</c:v>
                </c:pt>
                <c:pt idx="1309">
                  <c:v>46968</c:v>
                </c:pt>
                <c:pt idx="1310">
                  <c:v>46969</c:v>
                </c:pt>
                <c:pt idx="1311">
                  <c:v>46970</c:v>
                </c:pt>
                <c:pt idx="1312">
                  <c:v>46971</c:v>
                </c:pt>
                <c:pt idx="1313">
                  <c:v>46972</c:v>
                </c:pt>
                <c:pt idx="1314">
                  <c:v>46973</c:v>
                </c:pt>
                <c:pt idx="1315">
                  <c:v>46974</c:v>
                </c:pt>
                <c:pt idx="1316">
                  <c:v>46975</c:v>
                </c:pt>
                <c:pt idx="1317">
                  <c:v>46976</c:v>
                </c:pt>
                <c:pt idx="1318">
                  <c:v>46977</c:v>
                </c:pt>
                <c:pt idx="1319">
                  <c:v>46978</c:v>
                </c:pt>
                <c:pt idx="1320">
                  <c:v>46979</c:v>
                </c:pt>
                <c:pt idx="1321">
                  <c:v>46980</c:v>
                </c:pt>
                <c:pt idx="1322">
                  <c:v>46981</c:v>
                </c:pt>
                <c:pt idx="1323">
                  <c:v>46982</c:v>
                </c:pt>
                <c:pt idx="1324">
                  <c:v>46983</c:v>
                </c:pt>
                <c:pt idx="1325">
                  <c:v>46984</c:v>
                </c:pt>
                <c:pt idx="1326">
                  <c:v>46985</c:v>
                </c:pt>
                <c:pt idx="1327">
                  <c:v>46986</c:v>
                </c:pt>
                <c:pt idx="1328">
                  <c:v>46987</c:v>
                </c:pt>
                <c:pt idx="1329">
                  <c:v>46988</c:v>
                </c:pt>
                <c:pt idx="1330">
                  <c:v>46989</c:v>
                </c:pt>
                <c:pt idx="1331">
                  <c:v>46990</c:v>
                </c:pt>
                <c:pt idx="1332">
                  <c:v>46991</c:v>
                </c:pt>
                <c:pt idx="1333">
                  <c:v>46992</c:v>
                </c:pt>
                <c:pt idx="1334">
                  <c:v>46993</c:v>
                </c:pt>
                <c:pt idx="1335">
                  <c:v>46994</c:v>
                </c:pt>
                <c:pt idx="1336">
                  <c:v>46995</c:v>
                </c:pt>
                <c:pt idx="1337">
                  <c:v>46996</c:v>
                </c:pt>
                <c:pt idx="1338">
                  <c:v>46997</c:v>
                </c:pt>
                <c:pt idx="1339">
                  <c:v>46998</c:v>
                </c:pt>
                <c:pt idx="1340">
                  <c:v>46999</c:v>
                </c:pt>
                <c:pt idx="1341">
                  <c:v>47000</c:v>
                </c:pt>
                <c:pt idx="1342">
                  <c:v>47001</c:v>
                </c:pt>
                <c:pt idx="1343">
                  <c:v>47002</c:v>
                </c:pt>
                <c:pt idx="1344">
                  <c:v>47003</c:v>
                </c:pt>
                <c:pt idx="1345">
                  <c:v>47004</c:v>
                </c:pt>
                <c:pt idx="1346">
                  <c:v>47005</c:v>
                </c:pt>
                <c:pt idx="1347">
                  <c:v>47006</c:v>
                </c:pt>
                <c:pt idx="1348">
                  <c:v>47007</c:v>
                </c:pt>
                <c:pt idx="1349">
                  <c:v>47008</c:v>
                </c:pt>
                <c:pt idx="1350">
                  <c:v>47009</c:v>
                </c:pt>
                <c:pt idx="1351">
                  <c:v>47010</c:v>
                </c:pt>
                <c:pt idx="1352">
                  <c:v>47011</c:v>
                </c:pt>
                <c:pt idx="1353">
                  <c:v>47012</c:v>
                </c:pt>
                <c:pt idx="1354">
                  <c:v>47013</c:v>
                </c:pt>
                <c:pt idx="1355">
                  <c:v>47014</c:v>
                </c:pt>
                <c:pt idx="1356">
                  <c:v>47015</c:v>
                </c:pt>
                <c:pt idx="1357">
                  <c:v>47016</c:v>
                </c:pt>
                <c:pt idx="1358">
                  <c:v>47017</c:v>
                </c:pt>
                <c:pt idx="1359">
                  <c:v>47018</c:v>
                </c:pt>
                <c:pt idx="1360">
                  <c:v>47019</c:v>
                </c:pt>
                <c:pt idx="1361">
                  <c:v>47020</c:v>
                </c:pt>
                <c:pt idx="1362">
                  <c:v>47021</c:v>
                </c:pt>
                <c:pt idx="1363">
                  <c:v>47022</c:v>
                </c:pt>
                <c:pt idx="1364">
                  <c:v>47023</c:v>
                </c:pt>
                <c:pt idx="1365">
                  <c:v>47024</c:v>
                </c:pt>
                <c:pt idx="1366">
                  <c:v>47025</c:v>
                </c:pt>
                <c:pt idx="1367">
                  <c:v>47026</c:v>
                </c:pt>
                <c:pt idx="1368">
                  <c:v>47027</c:v>
                </c:pt>
                <c:pt idx="1369">
                  <c:v>47028</c:v>
                </c:pt>
                <c:pt idx="1370">
                  <c:v>47029</c:v>
                </c:pt>
                <c:pt idx="1371">
                  <c:v>47030</c:v>
                </c:pt>
                <c:pt idx="1372">
                  <c:v>47031</c:v>
                </c:pt>
                <c:pt idx="1373">
                  <c:v>47032</c:v>
                </c:pt>
                <c:pt idx="1374">
                  <c:v>47033</c:v>
                </c:pt>
                <c:pt idx="1375">
                  <c:v>47034</c:v>
                </c:pt>
                <c:pt idx="1376">
                  <c:v>47035</c:v>
                </c:pt>
                <c:pt idx="1377">
                  <c:v>47036</c:v>
                </c:pt>
                <c:pt idx="1378">
                  <c:v>47037</c:v>
                </c:pt>
                <c:pt idx="1379">
                  <c:v>47038</c:v>
                </c:pt>
                <c:pt idx="1380">
                  <c:v>47039</c:v>
                </c:pt>
                <c:pt idx="1381">
                  <c:v>47040</c:v>
                </c:pt>
                <c:pt idx="1382">
                  <c:v>47041</c:v>
                </c:pt>
                <c:pt idx="1383">
                  <c:v>47042</c:v>
                </c:pt>
                <c:pt idx="1384">
                  <c:v>47043</c:v>
                </c:pt>
                <c:pt idx="1385">
                  <c:v>47044</c:v>
                </c:pt>
                <c:pt idx="1386">
                  <c:v>47045</c:v>
                </c:pt>
                <c:pt idx="1387">
                  <c:v>47046</c:v>
                </c:pt>
                <c:pt idx="1388">
                  <c:v>47047</c:v>
                </c:pt>
                <c:pt idx="1389">
                  <c:v>47048</c:v>
                </c:pt>
                <c:pt idx="1390">
                  <c:v>47049</c:v>
                </c:pt>
                <c:pt idx="1391">
                  <c:v>47050</c:v>
                </c:pt>
                <c:pt idx="1392">
                  <c:v>47051</c:v>
                </c:pt>
                <c:pt idx="1393">
                  <c:v>47052</c:v>
                </c:pt>
                <c:pt idx="1394">
                  <c:v>47053</c:v>
                </c:pt>
                <c:pt idx="1395">
                  <c:v>47054</c:v>
                </c:pt>
                <c:pt idx="1396">
                  <c:v>47055</c:v>
                </c:pt>
                <c:pt idx="1397">
                  <c:v>47056</c:v>
                </c:pt>
                <c:pt idx="1398">
                  <c:v>47057</c:v>
                </c:pt>
                <c:pt idx="1399">
                  <c:v>47058</c:v>
                </c:pt>
                <c:pt idx="1400">
                  <c:v>47059</c:v>
                </c:pt>
                <c:pt idx="1401">
                  <c:v>47060</c:v>
                </c:pt>
                <c:pt idx="1402">
                  <c:v>47061</c:v>
                </c:pt>
                <c:pt idx="1403">
                  <c:v>47062</c:v>
                </c:pt>
                <c:pt idx="1404">
                  <c:v>47063</c:v>
                </c:pt>
                <c:pt idx="1405">
                  <c:v>47064</c:v>
                </c:pt>
                <c:pt idx="1406">
                  <c:v>47065</c:v>
                </c:pt>
                <c:pt idx="1407">
                  <c:v>47066</c:v>
                </c:pt>
                <c:pt idx="1408">
                  <c:v>47067</c:v>
                </c:pt>
                <c:pt idx="1409">
                  <c:v>47068</c:v>
                </c:pt>
                <c:pt idx="1410">
                  <c:v>47069</c:v>
                </c:pt>
                <c:pt idx="1411">
                  <c:v>47070</c:v>
                </c:pt>
                <c:pt idx="1412">
                  <c:v>47071</c:v>
                </c:pt>
                <c:pt idx="1413">
                  <c:v>47072</c:v>
                </c:pt>
                <c:pt idx="1414">
                  <c:v>47073</c:v>
                </c:pt>
                <c:pt idx="1415">
                  <c:v>47074</c:v>
                </c:pt>
                <c:pt idx="1416">
                  <c:v>47075</c:v>
                </c:pt>
                <c:pt idx="1417">
                  <c:v>47076</c:v>
                </c:pt>
                <c:pt idx="1418">
                  <c:v>47077</c:v>
                </c:pt>
                <c:pt idx="1419">
                  <c:v>47078</c:v>
                </c:pt>
                <c:pt idx="1420">
                  <c:v>47079</c:v>
                </c:pt>
                <c:pt idx="1421">
                  <c:v>47080</c:v>
                </c:pt>
                <c:pt idx="1422">
                  <c:v>47081</c:v>
                </c:pt>
                <c:pt idx="1423">
                  <c:v>47082</c:v>
                </c:pt>
                <c:pt idx="1424">
                  <c:v>47083</c:v>
                </c:pt>
                <c:pt idx="1425">
                  <c:v>47084</c:v>
                </c:pt>
                <c:pt idx="1426">
                  <c:v>47085</c:v>
                </c:pt>
                <c:pt idx="1427">
                  <c:v>47086</c:v>
                </c:pt>
                <c:pt idx="1428">
                  <c:v>47087</c:v>
                </c:pt>
                <c:pt idx="1429">
                  <c:v>47088</c:v>
                </c:pt>
                <c:pt idx="1430">
                  <c:v>47089</c:v>
                </c:pt>
                <c:pt idx="1431">
                  <c:v>47090</c:v>
                </c:pt>
                <c:pt idx="1432">
                  <c:v>47091</c:v>
                </c:pt>
                <c:pt idx="1433">
                  <c:v>47092</c:v>
                </c:pt>
                <c:pt idx="1434">
                  <c:v>47093</c:v>
                </c:pt>
                <c:pt idx="1435">
                  <c:v>47094</c:v>
                </c:pt>
                <c:pt idx="1436">
                  <c:v>47095</c:v>
                </c:pt>
                <c:pt idx="1437">
                  <c:v>47096</c:v>
                </c:pt>
                <c:pt idx="1438">
                  <c:v>47097</c:v>
                </c:pt>
                <c:pt idx="1439">
                  <c:v>47098</c:v>
                </c:pt>
                <c:pt idx="1440">
                  <c:v>47099</c:v>
                </c:pt>
                <c:pt idx="1441">
                  <c:v>47100</c:v>
                </c:pt>
                <c:pt idx="1442">
                  <c:v>47101</c:v>
                </c:pt>
                <c:pt idx="1443">
                  <c:v>47102</c:v>
                </c:pt>
                <c:pt idx="1444">
                  <c:v>47103</c:v>
                </c:pt>
                <c:pt idx="1445">
                  <c:v>47104</c:v>
                </c:pt>
                <c:pt idx="1446">
                  <c:v>47105</c:v>
                </c:pt>
                <c:pt idx="1447">
                  <c:v>47106</c:v>
                </c:pt>
                <c:pt idx="1448">
                  <c:v>47107</c:v>
                </c:pt>
                <c:pt idx="1449">
                  <c:v>47108</c:v>
                </c:pt>
                <c:pt idx="1450">
                  <c:v>47109</c:v>
                </c:pt>
                <c:pt idx="1451">
                  <c:v>47110</c:v>
                </c:pt>
                <c:pt idx="1452">
                  <c:v>47111</c:v>
                </c:pt>
                <c:pt idx="1453">
                  <c:v>47112</c:v>
                </c:pt>
                <c:pt idx="1454">
                  <c:v>47113</c:v>
                </c:pt>
                <c:pt idx="1455">
                  <c:v>47114</c:v>
                </c:pt>
                <c:pt idx="1456">
                  <c:v>47115</c:v>
                </c:pt>
                <c:pt idx="1457">
                  <c:v>47116</c:v>
                </c:pt>
                <c:pt idx="1458">
                  <c:v>47117</c:v>
                </c:pt>
                <c:pt idx="1459">
                  <c:v>47118</c:v>
                </c:pt>
                <c:pt idx="1460">
                  <c:v>47119</c:v>
                </c:pt>
                <c:pt idx="1461">
                  <c:v>47120</c:v>
                </c:pt>
                <c:pt idx="1462">
                  <c:v>47121</c:v>
                </c:pt>
                <c:pt idx="1463">
                  <c:v>47122</c:v>
                </c:pt>
                <c:pt idx="1464">
                  <c:v>47123</c:v>
                </c:pt>
                <c:pt idx="1465">
                  <c:v>47124</c:v>
                </c:pt>
                <c:pt idx="1466">
                  <c:v>47125</c:v>
                </c:pt>
                <c:pt idx="1467">
                  <c:v>47126</c:v>
                </c:pt>
                <c:pt idx="1468">
                  <c:v>47127</c:v>
                </c:pt>
                <c:pt idx="1469">
                  <c:v>47128</c:v>
                </c:pt>
              </c:numCache>
            </c:numRef>
          </c:cat>
          <c:val>
            <c:numRef>
              <c:f>'Token Model'!$Z$23:$Z$1492</c:f>
              <c:numCache>
                <c:formatCode>0.00%</c:formatCode>
                <c:ptCount val="1470"/>
                <c:pt idx="1">
                  <c:v>8.0889787664307367E-3</c:v>
                </c:pt>
                <c:pt idx="2">
                  <c:v>8.0240722166499499E-3</c:v>
                </c:pt>
                <c:pt idx="3">
                  <c:v>7.9601990049751239E-3</c:v>
                </c:pt>
                <c:pt idx="4">
                  <c:v>7.8973346495557744E-3</c:v>
                </c:pt>
                <c:pt idx="5">
                  <c:v>7.8354554358472089E-3</c:v>
                </c:pt>
                <c:pt idx="6">
                  <c:v>7.7745383867832852E-3</c:v>
                </c:pt>
                <c:pt idx="7">
                  <c:v>7.7145612343297986E-3</c:v>
                </c:pt>
                <c:pt idx="8">
                  <c:v>7.6555023923444987E-3</c:v>
                </c:pt>
                <c:pt idx="9">
                  <c:v>7.5973409306742661E-3</c:v>
                </c:pt>
                <c:pt idx="10">
                  <c:v>7.5400565504241306E-3</c:v>
                </c:pt>
                <c:pt idx="11">
                  <c:v>7.4836295603367643E-3</c:v>
                </c:pt>
                <c:pt idx="12">
                  <c:v>7.4280408542247E-3</c:v>
                </c:pt>
                <c:pt idx="13">
                  <c:v>7.3732718894009243E-3</c:v>
                </c:pt>
                <c:pt idx="14">
                  <c:v>7.3193046660567276E-3</c:v>
                </c:pt>
                <c:pt idx="15">
                  <c:v>7.2661217075386027E-3</c:v>
                </c:pt>
                <c:pt idx="16">
                  <c:v>7.2137060414788111E-3</c:v>
                </c:pt>
                <c:pt idx="17">
                  <c:v>7.1620411817367967E-3</c:v>
                </c:pt>
                <c:pt idx="18">
                  <c:v>7.1111111111111132E-3</c:v>
                </c:pt>
                <c:pt idx="19">
                  <c:v>7.0609002647837619E-3</c:v>
                </c:pt>
                <c:pt idx="20">
                  <c:v>7.0113935144610002E-3</c:v>
                </c:pt>
                <c:pt idx="21">
                  <c:v>6.9625761531766769E-3</c:v>
                </c:pt>
                <c:pt idx="22">
                  <c:v>6.9144338807260184E-3</c:v>
                </c:pt>
                <c:pt idx="23">
                  <c:v>6.8669527896995739E-3</c:v>
                </c:pt>
                <c:pt idx="24">
                  <c:v>6.8201193520886633E-3</c:v>
                </c:pt>
                <c:pt idx="25">
                  <c:v>6.7739204064352267E-3</c:v>
                </c:pt>
                <c:pt idx="26">
                  <c:v>6.7283431455004228E-3</c:v>
                </c:pt>
                <c:pt idx="27">
                  <c:v>6.6833751044277382E-3</c:v>
                </c:pt>
                <c:pt idx="28">
                  <c:v>6.6390041493775949E-3</c:v>
                </c:pt>
                <c:pt idx="29">
                  <c:v>6.5952184666117075E-3</c:v>
                </c:pt>
                <c:pt idx="30">
                  <c:v>7.7190827190827234E-3</c:v>
                </c:pt>
                <c:pt idx="31">
                  <c:v>7.6599548936343168E-3</c:v>
                </c:pt>
                <c:pt idx="32">
                  <c:v>7.6017260152437833E-3</c:v>
                </c:pt>
                <c:pt idx="33">
                  <c:v>7.5443757379280024E-3</c:v>
                </c:pt>
                <c:pt idx="34">
                  <c:v>7.487884325097326E-3</c:v>
                </c:pt>
                <c:pt idx="35">
                  <c:v>7.4322326269098101E-3</c:v>
                </c:pt>
                <c:pt idx="36">
                  <c:v>7.3774020586278456E-3</c:v>
                </c:pt>
                <c:pt idx="37">
                  <c:v>7.3233745799257989E-3</c:v>
                </c:pt>
                <c:pt idx="38">
                  <c:v>7.2701326751002807E-3</c:v>
                </c:pt>
                <c:pt idx="39">
                  <c:v>7.2176593341374265E-3</c:v>
                </c:pt>
                <c:pt idx="40">
                  <c:v>7.1659380345941862E-3</c:v>
                </c:pt>
                <c:pt idx="41">
                  <c:v>7.1149527242531218E-3</c:v>
                </c:pt>
                <c:pt idx="42">
                  <c:v>7.064687804512409E-3</c:v>
                </c:pt>
                <c:pt idx="43">
                  <c:v>7.0151281144749849E-3</c:v>
                </c:pt>
                <c:pt idx="44">
                  <c:v>6.9662589157027275E-3</c:v>
                </c:pt>
                <c:pt idx="45">
                  <c:v>6.9180658776034527E-3</c:v>
                </c:pt>
                <c:pt idx="46">
                  <c:v>6.8705350634203268E-3</c:v>
                </c:pt>
                <c:pt idx="47">
                  <c:v>6.8236529167948782E-3</c:v>
                </c:pt>
                <c:pt idx="48">
                  <c:v>6.7774062488764279E-3</c:v>
                </c:pt>
                <c:pt idx="49">
                  <c:v>6.7317822259521836E-3</c:v>
                </c:pt>
                <c:pt idx="50">
                  <c:v>6.6867683575736105E-3</c:v>
                </c:pt>
                <c:pt idx="51">
                  <c:v>6.6423524851560193E-3</c:v>
                </c:pt>
                <c:pt idx="52">
                  <c:v>6.5985227710295127E-3</c:v>
                </c:pt>
                <c:pt idx="53">
                  <c:v>6.5552676879205738E-3</c:v>
                </c:pt>
                <c:pt idx="54">
                  <c:v>6.512576008844668E-3</c:v>
                </c:pt>
                <c:pt idx="55">
                  <c:v>6.4704367973912325E-3</c:v>
                </c:pt>
                <c:pt idx="56">
                  <c:v>6.4288393983834135E-3</c:v>
                </c:pt>
                <c:pt idx="57">
                  <c:v>6.387773428895782E-3</c:v>
                </c:pt>
                <c:pt idx="58">
                  <c:v>6.3472287696141189E-3</c:v>
                </c:pt>
                <c:pt idx="59">
                  <c:v>6.307195556522178E-3</c:v>
                </c:pt>
                <c:pt idx="60">
                  <c:v>6.2676641729010841E-3</c:v>
                </c:pt>
                <c:pt idx="61">
                  <c:v>6.2286252416277072E-3</c:v>
                </c:pt>
                <c:pt idx="62">
                  <c:v>6.1900696177590994E-3</c:v>
                </c:pt>
                <c:pt idx="63">
                  <c:v>6.1519883813906454E-3</c:v>
                </c:pt>
                <c:pt idx="64">
                  <c:v>6.1143728307762202E-3</c:v>
                </c:pt>
                <c:pt idx="65">
                  <c:v>6.0772144756992049E-3</c:v>
                </c:pt>
                <c:pt idx="66">
                  <c:v>6.0405050310837682E-3</c:v>
                </c:pt>
                <c:pt idx="67">
                  <c:v>6.004236410836296E-3</c:v>
                </c:pt>
                <c:pt idx="68">
                  <c:v>5.968400721907359E-3</c:v>
                </c:pt>
                <c:pt idx="69">
                  <c:v>5.9329902585650686E-3</c:v>
                </c:pt>
                <c:pt idx="70">
                  <c:v>5.8979974968710923E-3</c:v>
                </c:pt>
                <c:pt idx="71">
                  <c:v>5.8634150893509844E-3</c:v>
                </c:pt>
                <c:pt idx="72">
                  <c:v>5.8292358598509477E-3</c:v>
                </c:pt>
                <c:pt idx="73">
                  <c:v>5.7954527985734292E-3</c:v>
                </c:pt>
                <c:pt idx="74">
                  <c:v>5.7620590572843456E-3</c:v>
                </c:pt>
                <c:pt idx="75">
                  <c:v>5.7290479446850577E-3</c:v>
                </c:pt>
                <c:pt idx="76">
                  <c:v>5.6964129219425255E-3</c:v>
                </c:pt>
                <c:pt idx="77">
                  <c:v>5.6641475983713737E-3</c:v>
                </c:pt>
                <c:pt idx="78">
                  <c:v>5.6322457272618654E-3</c:v>
                </c:pt>
                <c:pt idx="79">
                  <c:v>5.6007012018480856E-3</c:v>
                </c:pt>
                <c:pt idx="80">
                  <c:v>5.5695080514108469E-3</c:v>
                </c:pt>
                <c:pt idx="81">
                  <c:v>5.5386604375101036E-3</c:v>
                </c:pt>
                <c:pt idx="82">
                  <c:v>5.5081526503418885E-3</c:v>
                </c:pt>
                <c:pt idx="83">
                  <c:v>5.4779791052149817E-3</c:v>
                </c:pt>
                <c:pt idx="84">
                  <c:v>5.4481343391427533E-3</c:v>
                </c:pt>
                <c:pt idx="85">
                  <c:v>5.4186130075458173E-3</c:v>
                </c:pt>
                <c:pt idx="86">
                  <c:v>5.3894098810613024E-3</c:v>
                </c:pt>
                <c:pt idx="87">
                  <c:v>5.360519842454752E-3</c:v>
                </c:pt>
                <c:pt idx="88">
                  <c:v>5.3319378836308128E-3</c:v>
                </c:pt>
                <c:pt idx="89">
                  <c:v>5.3036591027390547E-3</c:v>
                </c:pt>
                <c:pt idx="90">
                  <c:v>2.4769101595298083E-3</c:v>
                </c:pt>
                <c:pt idx="91">
                  <c:v>2.4707902340969029E-3</c:v>
                </c:pt>
                <c:pt idx="92">
                  <c:v>2.4647004762302594E-3</c:v>
                </c:pt>
                <c:pt idx="93">
                  <c:v>2.4586406634162579E-3</c:v>
                </c:pt>
                <c:pt idx="94">
                  <c:v>2.4526105753242414E-3</c:v>
                </c:pt>
                <c:pt idx="95">
                  <c:v>2.4466099937798039E-3</c:v>
                </c:pt>
                <c:pt idx="96">
                  <c:v>2.4406387027384765E-3</c:v>
                </c:pt>
                <c:pt idx="97">
                  <c:v>2.434696488259809E-3</c:v>
                </c:pt>
                <c:pt idx="98">
                  <c:v>2.4287831384818036E-3</c:v>
                </c:pt>
                <c:pt idx="99">
                  <c:v>2.4228984435957428E-3</c:v>
                </c:pt>
                <c:pt idx="100">
                  <c:v>2.4170421958213829E-3</c:v>
                </c:pt>
                <c:pt idx="101">
                  <c:v>2.4112141893824829E-3</c:v>
                </c:pt>
                <c:pt idx="102">
                  <c:v>2.4054142204827109E-3</c:v>
                </c:pt>
                <c:pt idx="103">
                  <c:v>2.3996420872818953E-3</c:v>
                </c:pt>
                <c:pt idx="104">
                  <c:v>2.3938975898725925E-3</c:v>
                </c:pt>
                <c:pt idx="105">
                  <c:v>2.3881805302570303E-3</c:v>
                </c:pt>
                <c:pt idx="106">
                  <c:v>2.3824907123243398E-3</c:v>
                </c:pt>
                <c:pt idx="107">
                  <c:v>2.37682794182814E-3</c:v>
                </c:pt>
                <c:pt idx="108">
                  <c:v>2.3711920263644374E-3</c:v>
                </c:pt>
                <c:pt idx="109">
                  <c:v>2.365582775349824E-3</c:v>
                </c:pt>
                <c:pt idx="110">
                  <c:v>2.3599999999999966E-3</c:v>
                </c:pt>
                <c:pt idx="111">
                  <c:v>2.3544435133085891E-3</c:v>
                </c:pt>
                <c:pt idx="112">
                  <c:v>2.3489131300262743E-3</c:v>
                </c:pt>
                <c:pt idx="113">
                  <c:v>2.343408666640184E-3</c:v>
                </c:pt>
                <c:pt idx="114">
                  <c:v>2.3379299413536195E-3</c:v>
                </c:pt>
                <c:pt idx="115">
                  <c:v>2.3324767740660192E-3</c:v>
                </c:pt>
                <c:pt idx="116">
                  <c:v>2.3270489863532373E-3</c:v>
                </c:pt>
                <c:pt idx="117">
                  <c:v>2.3216464014480754E-3</c:v>
                </c:pt>
                <c:pt idx="118">
                  <c:v>2.3162688442211038E-3</c:v>
                </c:pt>
                <c:pt idx="119">
                  <c:v>2.3109161411617239E-3</c:v>
                </c:pt>
                <c:pt idx="120">
                  <c:v>3.5430506708349586E-3</c:v>
                </c:pt>
                <c:pt idx="121">
                  <c:v>3.5305417824043994E-3</c:v>
                </c:pt>
                <c:pt idx="122">
                  <c:v>3.5181209095377281E-3</c:v>
                </c:pt>
                <c:pt idx="123">
                  <c:v>3.5057871265434465E-3</c:v>
                </c:pt>
                <c:pt idx="124">
                  <c:v>3.4935395206658251E-3</c:v>
                </c:pt>
                <c:pt idx="125">
                  <c:v>3.4813771918597212E-3</c:v>
                </c:pt>
                <c:pt idx="126">
                  <c:v>3.4692992525700867E-3</c:v>
                </c:pt>
                <c:pt idx="127">
                  <c:v>3.4573048275160774E-3</c:v>
                </c:pt>
                <c:pt idx="128">
                  <c:v>3.4453930534795916E-3</c:v>
                </c:pt>
                <c:pt idx="129">
                  <c:v>3.4335630790981852E-3</c:v>
                </c:pt>
                <c:pt idx="130">
                  <c:v>3.4218140646622209E-3</c:v>
                </c:pt>
                <c:pt idx="131">
                  <c:v>3.4101451819161998E-3</c:v>
                </c:pt>
                <c:pt idx="132">
                  <c:v>3.398555613864106E-3</c:v>
                </c:pt>
                <c:pt idx="133">
                  <c:v>3.3870445545787367E-3</c:v>
                </c:pt>
                <c:pt idx="134">
                  <c:v>3.3756112090148676E-3</c:v>
                </c:pt>
                <c:pt idx="135">
                  <c:v>3.3642547928262206E-3</c:v>
                </c:pt>
                <c:pt idx="136">
                  <c:v>3.3529745321860885E-3</c:v>
                </c:pt>
                <c:pt idx="137">
                  <c:v>3.3417696636115694E-3</c:v>
                </c:pt>
                <c:pt idx="138">
                  <c:v>3.3306394337912965E-3</c:v>
                </c:pt>
                <c:pt idx="139">
                  <c:v>3.3195830994166317E-3</c:v>
                </c:pt>
                <c:pt idx="140">
                  <c:v>3.3085999270161771E-3</c:v>
                </c:pt>
                <c:pt idx="141">
                  <c:v>3.2976891927935805E-3</c:v>
                </c:pt>
                <c:pt idx="142">
                  <c:v>3.2868501824685216E-3</c:v>
                </c:pt>
                <c:pt idx="143">
                  <c:v>3.276082191120854E-3</c:v>
                </c:pt>
                <c:pt idx="144">
                  <c:v>3.2653845230377673E-3</c:v>
                </c:pt>
                <c:pt idx="145">
                  <c:v>3.2547564915639598E-3</c:v>
                </c:pt>
                <c:pt idx="146">
                  <c:v>3.2441974189547015E-3</c:v>
                </c:pt>
                <c:pt idx="147">
                  <c:v>3.2337066362317811E-3</c:v>
                </c:pt>
                <c:pt idx="148">
                  <c:v>3.2232834830422104E-3</c:v>
                </c:pt>
                <c:pt idx="149">
                  <c:v>3.2129273075196694E-3</c:v>
                </c:pt>
                <c:pt idx="150">
                  <c:v>3.202637466148594E-3</c:v>
                </c:pt>
                <c:pt idx="151">
                  <c:v>3.192413323630901E-3</c:v>
                </c:pt>
                <c:pt idx="152">
                  <c:v>3.1822542527552241E-3</c:v>
                </c:pt>
                <c:pt idx="153">
                  <c:v>3.1721596342686562E-3</c:v>
                </c:pt>
                <c:pt idx="154">
                  <c:v>3.1621288567509139E-3</c:v>
                </c:pt>
                <c:pt idx="155">
                  <c:v>3.1521613164909039E-3</c:v>
                </c:pt>
                <c:pt idx="156">
                  <c:v>3.1422564173655908E-3</c:v>
                </c:pt>
                <c:pt idx="157">
                  <c:v>3.1324135707211484E-3</c:v>
                </c:pt>
                <c:pt idx="158">
                  <c:v>3.1226321952563564E-3</c:v>
                </c:pt>
                <c:pt idx="159">
                  <c:v>3.1129117169081473E-3</c:v>
                </c:pt>
                <c:pt idx="160">
                  <c:v>3.103251568739307E-3</c:v>
                </c:pt>
                <c:pt idx="161">
                  <c:v>3.0936511908282367E-3</c:v>
                </c:pt>
                <c:pt idx="162">
                  <c:v>3.0841100301607837E-3</c:v>
                </c:pt>
                <c:pt idx="163">
                  <c:v>3.0746275405240443E-3</c:v>
                </c:pt>
                <c:pt idx="164">
                  <c:v>3.065203182402131E-3</c:v>
                </c:pt>
                <c:pt idx="165">
                  <c:v>3.0558364228738372E-3</c:v>
                </c:pt>
                <c:pt idx="166">
                  <c:v>3.0465267355121992E-3</c:v>
                </c:pt>
                <c:pt idx="167">
                  <c:v>3.0372736002858627E-3</c:v>
                </c:pt>
                <c:pt idx="168">
                  <c:v>3.0280765034622504E-3</c:v>
                </c:pt>
                <c:pt idx="169">
                  <c:v>3.0189349375124895E-3</c:v>
                </c:pt>
                <c:pt idx="170">
                  <c:v>3.0098484010180394E-3</c:v>
                </c:pt>
                <c:pt idx="171">
                  <c:v>3.0008163985790269E-3</c:v>
                </c:pt>
                <c:pt idx="172">
                  <c:v>2.9918384407242021E-3</c:v>
                </c:pt>
                <c:pt idx="173">
                  <c:v>2.9829140438225195E-3</c:v>
                </c:pt>
                <c:pt idx="174">
                  <c:v>2.9740427299962853E-3</c:v>
                </c:pt>
                <c:pt idx="175">
                  <c:v>2.9652240270358681E-3</c:v>
                </c:pt>
                <c:pt idx="176">
                  <c:v>2.9564574683159078E-3</c:v>
                </c:pt>
                <c:pt idx="177">
                  <c:v>2.9477425927130103E-3</c:v>
                </c:pt>
                <c:pt idx="178">
                  <c:v>2.9390789445248879E-3</c:v>
                </c:pt>
                <c:pt idx="179">
                  <c:v>2.9304660733909392E-3</c:v>
                </c:pt>
                <c:pt idx="180">
                  <c:v>5.6110573996490882E-3</c:v>
                </c:pt>
                <c:pt idx="181">
                  <c:v>5.5797491071333249E-3</c:v>
                </c:pt>
                <c:pt idx="182">
                  <c:v>5.5487882607895113E-3</c:v>
                </c:pt>
                <c:pt idx="183">
                  <c:v>5.5181691088174558E-3</c:v>
                </c:pt>
                <c:pt idx="184">
                  <c:v>5.4878860256778478E-3</c:v>
                </c:pt>
                <c:pt idx="185">
                  <c:v>5.4579335086466655E-3</c:v>
                </c:pt>
                <c:pt idx="186">
                  <c:v>5.4283061744817701E-3</c:v>
                </c:pt>
                <c:pt idx="187">
                  <c:v>5.3989987561974817E-3</c:v>
                </c:pt>
                <c:pt idx="188">
                  <c:v>5.370006099943119E-3</c:v>
                </c:pt>
                <c:pt idx="189">
                  <c:v>5.3413231619815101E-3</c:v>
                </c:pt>
                <c:pt idx="190">
                  <c:v>5.3129450057638871E-3</c:v>
                </c:pt>
                <c:pt idx="191">
                  <c:v>5.2848667990974974E-3</c:v>
                </c:pt>
                <c:pt idx="192">
                  <c:v>5.2570838114025424E-3</c:v>
                </c:pt>
                <c:pt idx="193">
                  <c:v>5.2295914110552363E-3</c:v>
                </c:pt>
                <c:pt idx="194">
                  <c:v>5.2023850628137415E-3</c:v>
                </c:pt>
                <c:pt idx="195">
                  <c:v>5.1754603253240895E-3</c:v>
                </c:pt>
                <c:pt idx="196">
                  <c:v>5.1488128487031095E-3</c:v>
                </c:pt>
                <c:pt idx="197">
                  <c:v>5.122438372195658E-3</c:v>
                </c:pt>
                <c:pt idx="198">
                  <c:v>5.0963327219035008E-3</c:v>
                </c:pt>
                <c:pt idx="199">
                  <c:v>5.0704918085832766E-3</c:v>
                </c:pt>
                <c:pt idx="200">
                  <c:v>5.0449116255110952E-3</c:v>
                </c:pt>
                <c:pt idx="201">
                  <c:v>5.0195882464114973E-3</c:v>
                </c:pt>
                <c:pt idx="202">
                  <c:v>4.9945178234484218E-3</c:v>
                </c:pt>
                <c:pt idx="203">
                  <c:v>4.9696965852761279E-3</c:v>
                </c:pt>
                <c:pt idx="204">
                  <c:v>4.9451208351479169E-3</c:v>
                </c:pt>
                <c:pt idx="205">
                  <c:v>4.9207869490806933E-3</c:v>
                </c:pt>
                <c:pt idx="206">
                  <c:v>4.8966913740734752E-3</c:v>
                </c:pt>
                <c:pt idx="207">
                  <c:v>4.8728306263779711E-3</c:v>
                </c:pt>
                <c:pt idx="208">
                  <c:v>4.8492012898194697E-3</c:v>
                </c:pt>
                <c:pt idx="209">
                  <c:v>4.8258000141663624E-3</c:v>
                </c:pt>
                <c:pt idx="210">
                  <c:v>4.802623513546652E-3</c:v>
                </c:pt>
                <c:pt idx="211">
                  <c:v>4.7796685649098575E-3</c:v>
                </c:pt>
                <c:pt idx="212">
                  <c:v>4.7569320065328179E-3</c:v>
                </c:pt>
                <c:pt idx="213">
                  <c:v>4.7344107365679643E-3</c:v>
                </c:pt>
                <c:pt idx="214">
                  <c:v>4.7121017116326129E-3</c:v>
                </c:pt>
                <c:pt idx="215">
                  <c:v>4.6900019454379528E-3</c:v>
                </c:pt>
                <c:pt idx="216">
                  <c:v>4.6681085074564681E-3</c:v>
                </c:pt>
                <c:pt idx="217">
                  <c:v>4.6464185216264602E-3</c:v>
                </c:pt>
                <c:pt idx="218">
                  <c:v>4.6249291650925619E-3</c:v>
                </c:pt>
                <c:pt idx="219">
                  <c:v>4.6036376669810249E-3</c:v>
                </c:pt>
                <c:pt idx="220">
                  <c:v>4.582541307208662E-3</c:v>
                </c:pt>
                <c:pt idx="221">
                  <c:v>4.5616374153244297E-3</c:v>
                </c:pt>
                <c:pt idx="222">
                  <c:v>4.5409233693825329E-3</c:v>
                </c:pt>
                <c:pt idx="223">
                  <c:v>4.520396594846118E-3</c:v>
                </c:pt>
                <c:pt idx="224">
                  <c:v>4.5000545635205591E-3</c:v>
                </c:pt>
                <c:pt idx="225">
                  <c:v>4.4798947925154082E-3</c:v>
                </c:pt>
                <c:pt idx="226">
                  <c:v>4.4599148432341394E-3</c:v>
                </c:pt>
                <c:pt idx="227">
                  <c:v>4.4401123203908037E-3</c:v>
                </c:pt>
                <c:pt idx="228">
                  <c:v>4.4204848710527409E-3</c:v>
                </c:pt>
                <c:pt idx="229">
                  <c:v>4.4010301837086093E-3</c:v>
                </c:pt>
                <c:pt idx="230">
                  <c:v>4.3817459873608912E-3</c:v>
                </c:pt>
                <c:pt idx="231">
                  <c:v>4.3626300506421486E-3</c:v>
                </c:pt>
                <c:pt idx="232">
                  <c:v>4.34368018095434E-3</c:v>
                </c:pt>
                <c:pt idx="233">
                  <c:v>4.324894223630432E-3</c:v>
                </c:pt>
                <c:pt idx="234">
                  <c:v>4.3062700611177134E-3</c:v>
                </c:pt>
                <c:pt idx="235">
                  <c:v>4.2878056121820798E-3</c:v>
                </c:pt>
                <c:pt idx="236">
                  <c:v>4.2694988311327434E-3</c:v>
                </c:pt>
                <c:pt idx="237">
                  <c:v>4.2513477070666847E-3</c:v>
                </c:pt>
                <c:pt idx="238">
                  <c:v>4.2333502631323062E-3</c:v>
                </c:pt>
                <c:pt idx="239">
                  <c:v>4.215504555811724E-3</c:v>
                </c:pt>
                <c:pt idx="240">
                  <c:v>4.1978086742211207E-3</c:v>
                </c:pt>
                <c:pt idx="241">
                  <c:v>4.1802607394286406E-3</c:v>
                </c:pt>
                <c:pt idx="242">
                  <c:v>4.16285890378935E-3</c:v>
                </c:pt>
                <c:pt idx="243">
                  <c:v>4.1456013502967053E-3</c:v>
                </c:pt>
                <c:pt idx="244">
                  <c:v>4.1284862919501175E-3</c:v>
                </c:pt>
                <c:pt idx="245">
                  <c:v>4.111511971138084E-3</c:v>
                </c:pt>
                <c:pt idx="246">
                  <c:v>4.0946766590365148E-3</c:v>
                </c:pt>
                <c:pt idx="247">
                  <c:v>4.0779786550217498E-3</c:v>
                </c:pt>
                <c:pt idx="248">
                  <c:v>4.0614162860978832E-3</c:v>
                </c:pt>
                <c:pt idx="249">
                  <c:v>4.0449879063380149E-3</c:v>
                </c:pt>
                <c:pt idx="250">
                  <c:v>4.0286918963389614E-3</c:v>
                </c:pt>
                <c:pt idx="251">
                  <c:v>4.0125266626891403E-3</c:v>
                </c:pt>
                <c:pt idx="252">
                  <c:v>3.996490637449189E-3</c:v>
                </c:pt>
                <c:pt idx="253">
                  <c:v>3.980582277644985E-3</c:v>
                </c:pt>
                <c:pt idx="254">
                  <c:v>3.9648000647727437E-3</c:v>
                </c:pt>
                <c:pt idx="255">
                  <c:v>3.9491425043158366E-3</c:v>
                </c:pt>
                <c:pt idx="256">
                  <c:v>3.9336081252729976E-3</c:v>
                </c:pt>
                <c:pt idx="257">
                  <c:v>3.9181954796976507E-3</c:v>
                </c:pt>
                <c:pt idx="258">
                  <c:v>3.9029031422479982E-3</c:v>
                </c:pt>
                <c:pt idx="259">
                  <c:v>3.8877297097476148E-3</c:v>
                </c:pt>
                <c:pt idx="260">
                  <c:v>3.8726738007562526E-3</c:v>
                </c:pt>
                <c:pt idx="261">
                  <c:v>3.8577340551505853E-3</c:v>
                </c:pt>
                <c:pt idx="262">
                  <c:v>3.8429091337146056E-3</c:v>
                </c:pt>
                <c:pt idx="263">
                  <c:v>3.8281977177394393E-3</c:v>
                </c:pt>
                <c:pt idx="264">
                  <c:v>3.8135985086323173E-3</c:v>
                </c:pt>
                <c:pt idx="265">
                  <c:v>3.7991102275344636E-3</c:v>
                </c:pt>
                <c:pt idx="266">
                  <c:v>3.7847316149476422E-3</c:v>
                </c:pt>
                <c:pt idx="267">
                  <c:v>3.7704614303691849E-3</c:v>
                </c:pt>
                <c:pt idx="268">
                  <c:v>3.7562984519352066E-3</c:v>
                </c:pt>
                <c:pt idx="269">
                  <c:v>3.7422414760718697E-3</c:v>
                </c:pt>
                <c:pt idx="270">
                  <c:v>3.72828931715442E-3</c:v>
                </c:pt>
                <c:pt idx="271">
                  <c:v>3.7144408071738302E-3</c:v>
                </c:pt>
                <c:pt idx="272">
                  <c:v>3.7006947954108618E-3</c:v>
                </c:pt>
                <c:pt idx="273">
                  <c:v>3.6870501481173043E-3</c:v>
                </c:pt>
                <c:pt idx="274">
                  <c:v>3.6735057482042773E-3</c:v>
                </c:pt>
                <c:pt idx="275">
                  <c:v>3.6600604949373508E-3</c:v>
                </c:pt>
                <c:pt idx="276">
                  <c:v>3.6467133036383408E-3</c:v>
                </c:pt>
                <c:pt idx="277">
                  <c:v>3.6334631053936239E-3</c:v>
                </c:pt>
                <c:pt idx="278">
                  <c:v>3.6203088467687593E-3</c:v>
                </c:pt>
                <c:pt idx="279">
                  <c:v>3.6072494895293132E-3</c:v>
                </c:pt>
                <c:pt idx="280">
                  <c:v>3.5942840103676921E-3</c:v>
                </c:pt>
                <c:pt idx="281">
                  <c:v>3.5814114006358371E-3</c:v>
                </c:pt>
                <c:pt idx="282">
                  <c:v>3.5686306660836662E-3</c:v>
                </c:pt>
                <c:pt idx="283">
                  <c:v>3.5559408266030729E-3</c:v>
                </c:pt>
                <c:pt idx="284">
                  <c:v>3.5433409159773767E-3</c:v>
                </c:pt>
                <c:pt idx="285">
                  <c:v>3.5308299816360837E-3</c:v>
                </c:pt>
                <c:pt idx="286">
                  <c:v>3.5184070844148322E-3</c:v>
                </c:pt>
                <c:pt idx="287">
                  <c:v>3.5060712983203588E-3</c:v>
                </c:pt>
                <c:pt idx="288">
                  <c:v>3.4938217103004255E-3</c:v>
                </c:pt>
                <c:pt idx="289">
                  <c:v>3.4816574200185356E-3</c:v>
                </c:pt>
                <c:pt idx="290">
                  <c:v>3.4695775396333425E-3</c:v>
                </c:pt>
                <c:pt idx="291">
                  <c:v>3.457581193582629E-3</c:v>
                </c:pt>
                <c:pt idx="292">
                  <c:v>3.4456675183717695E-3</c:v>
                </c:pt>
                <c:pt idx="293">
                  <c:v>3.4338356623665259E-3</c:v>
                </c:pt>
                <c:pt idx="294">
                  <c:v>3.4220847855901239E-3</c:v>
                </c:pt>
                <c:pt idx="295">
                  <c:v>3.410414059524464E-3</c:v>
                </c:pt>
                <c:pt idx="296">
                  <c:v>3.3988226669153842E-3</c:v>
                </c:pt>
                <c:pt idx="297">
                  <c:v>3.3873098015819027E-3</c:v>
                </c:pt>
                <c:pt idx="298">
                  <c:v>3.3758746682292983E-3</c:v>
                </c:pt>
                <c:pt idx="299">
                  <c:v>3.364516482265976E-3</c:v>
                </c:pt>
                <c:pt idx="300">
                  <c:v>3.3532344696240229E-3</c:v>
                </c:pt>
                <c:pt idx="301">
                  <c:v>3.3420278665833528E-3</c:v>
                </c:pt>
                <c:pt idx="302">
                  <c:v>3.3308959195993623E-3</c:v>
                </c:pt>
                <c:pt idx="303">
                  <c:v>3.3198378851340389E-3</c:v>
                </c:pt>
                <c:pt idx="304">
                  <c:v>3.3088530294903954E-3</c:v>
                </c:pt>
                <c:pt idx="305">
                  <c:v>3.2979406286502079E-3</c:v>
                </c:pt>
                <c:pt idx="306">
                  <c:v>3.2870999681149263E-3</c:v>
                </c:pt>
                <c:pt idx="307">
                  <c:v>3.2763303427497392E-3</c:v>
                </c:pt>
                <c:pt idx="308">
                  <c:v>3.2656310566306752E-3</c:v>
                </c:pt>
                <c:pt idx="309">
                  <c:v>3.2550014228946923E-3</c:v>
                </c:pt>
                <c:pt idx="310">
                  <c:v>3.2444407635927003E-3</c:v>
                </c:pt>
                <c:pt idx="311">
                  <c:v>3.2339484095454166E-3</c:v>
                </c:pt>
                <c:pt idx="312">
                  <c:v>3.2235237002020169E-3</c:v>
                </c:pt>
                <c:pt idx="313">
                  <c:v>3.2131659835015151E-3</c:v>
                </c:pt>
                <c:pt idx="314">
                  <c:v>3.2028746157368097E-3</c:v>
                </c:pt>
                <c:pt idx="315">
                  <c:v>3.1926489614213143E-3</c:v>
                </c:pt>
                <c:pt idx="316">
                  <c:v>3.1824883931581634E-3</c:v>
                </c:pt>
                <c:pt idx="317">
                  <c:v>3.1723922915118819E-3</c:v>
                </c:pt>
                <c:pt idx="318">
                  <c:v>3.1623600448825112E-3</c:v>
                </c:pt>
                <c:pt idx="319">
                  <c:v>3.1523910493821009E-3</c:v>
                </c:pt>
                <c:pt idx="320">
                  <c:v>3.1424847087135315E-3</c:v>
                </c:pt>
                <c:pt idx="321">
                  <c:v>3.1326404340516261E-3</c:v>
                </c:pt>
                <c:pt idx="322">
                  <c:v>3.1228576439264757E-3</c:v>
                </c:pt>
                <c:pt idx="323">
                  <c:v>3.1131357641089453E-3</c:v>
                </c:pt>
                <c:pt idx="324">
                  <c:v>3.1034742274983311E-3</c:v>
                </c:pt>
                <c:pt idx="325">
                  <c:v>3.0938724740120684E-3</c:v>
                </c:pt>
                <c:pt idx="326">
                  <c:v>3.0843299504775138E-3</c:v>
                </c:pt>
                <c:pt idx="327">
                  <c:v>3.0748461105257105E-3</c:v>
                </c:pt>
                <c:pt idx="328">
                  <c:v>3.0654204144870984E-3</c:v>
                </c:pt>
                <c:pt idx="329">
                  <c:v>3.0560523292891555E-3</c:v>
                </c:pt>
                <c:pt idx="330">
                  <c:v>3.046741328355891E-3</c:v>
                </c:pt>
                <c:pt idx="331">
                  <c:v>3.0374868915091905E-3</c:v>
                </c:pt>
                <c:pt idx="332">
                  <c:v>3.0282885048719347E-3</c:v>
                </c:pt>
                <c:pt idx="333">
                  <c:v>3.0191456607728817E-3</c:v>
                </c:pt>
                <c:pt idx="334">
                  <c:v>3.0100578576532722E-3</c:v>
                </c:pt>
                <c:pt idx="335">
                  <c:v>3.0010245999751071E-3</c:v>
                </c:pt>
                <c:pt idx="336">
                  <c:v>2.9920453981310728E-3</c:v>
                </c:pt>
                <c:pt idx="337">
                  <c:v>2.9831197683560886E-3</c:v>
                </c:pt>
                <c:pt idx="338">
                  <c:v>2.9742472326404206E-3</c:v>
                </c:pt>
                <c:pt idx="339">
                  <c:v>2.9654273186443454E-3</c:v>
                </c:pt>
                <c:pt idx="340">
                  <c:v>2.9566595596143348E-3</c:v>
                </c:pt>
                <c:pt idx="341">
                  <c:v>2.9479434943007077E-3</c:v>
                </c:pt>
                <c:pt idx="342">
                  <c:v>2.9392786668767522E-3</c:v>
                </c:pt>
                <c:pt idx="343">
                  <c:v>2.9306646268592541E-3</c:v>
                </c:pt>
                <c:pt idx="344">
                  <c:v>2.9221009290304315E-3</c:v>
                </c:pt>
                <c:pt idx="345">
                  <c:v>2.9135871333612262E-3</c:v>
                </c:pt>
                <c:pt idx="346">
                  <c:v>2.9051228049359304E-3</c:v>
                </c:pt>
                <c:pt idx="347">
                  <c:v>2.8967075138781329E-3</c:v>
                </c:pt>
                <c:pt idx="348">
                  <c:v>2.8883408352779433E-3</c:v>
                </c:pt>
                <c:pt idx="349">
                  <c:v>2.8800223491204651E-3</c:v>
                </c:pt>
                <c:pt idx="350">
                  <c:v>2.8717516402155204E-3</c:v>
                </c:pt>
                <c:pt idx="351">
                  <c:v>2.8635282981285671E-3</c:v>
                </c:pt>
                <c:pt idx="352">
                  <c:v>2.8553519171127984E-3</c:v>
                </c:pt>
                <c:pt idx="353">
                  <c:v>2.8472220960424175E-3</c:v>
                </c:pt>
                <c:pt idx="354">
                  <c:v>2.839138438347032E-3</c:v>
                </c:pt>
                <c:pt idx="355">
                  <c:v>2.8311005519471742E-3</c:v>
                </c:pt>
                <c:pt idx="356">
                  <c:v>2.8231080491909026E-3</c:v>
                </c:pt>
                <c:pt idx="357">
                  <c:v>2.8151605467914907E-3</c:v>
                </c:pt>
                <c:pt idx="358">
                  <c:v>2.8072576657661471E-3</c:v>
                </c:pt>
                <c:pt idx="359">
                  <c:v>2.7993990313757802E-3</c:v>
                </c:pt>
                <c:pt idx="360">
                  <c:v>2.5778062815099861E-3</c:v>
                </c:pt>
                <c:pt idx="361">
                  <c:v>2.5711782819838047E-3</c:v>
                </c:pt>
                <c:pt idx="362">
                  <c:v>2.5645842785843912E-3</c:v>
                </c:pt>
                <c:pt idx="363">
                  <c:v>2.5580240104230191E-3</c:v>
                </c:pt>
                <c:pt idx="364">
                  <c:v>2.5514972192735895E-3</c:v>
                </c:pt>
                <c:pt idx="365">
                  <c:v>2.5450036495387506E-3</c:v>
                </c:pt>
                <c:pt idx="366">
                  <c:v>2.5385430482165283E-3</c:v>
                </c:pt>
                <c:pt idx="367">
                  <c:v>2.5321151648674701E-3</c:v>
                </c:pt>
                <c:pt idx="368">
                  <c:v>2.5257197515822834E-3</c:v>
                </c:pt>
                <c:pt idx="369">
                  <c:v>2.5193565629499613E-3</c:v>
                </c:pt>
                <c:pt idx="370">
                  <c:v>2.5130253560263966E-3</c:v>
                </c:pt>
                <c:pt idx="371">
                  <c:v>2.5067258903034564E-3</c:v>
                </c:pt>
                <c:pt idx="372">
                  <c:v>2.5004579276785301E-3</c:v>
                </c:pt>
                <c:pt idx="373">
                  <c:v>2.4942212324245302E-3</c:v>
                </c:pt>
                <c:pt idx="374">
                  <c:v>2.4880155711603392E-3</c:v>
                </c:pt>
                <c:pt idx="375">
                  <c:v>2.4818407128216992E-3</c:v>
                </c:pt>
                <c:pt idx="376">
                  <c:v>2.4756964286325317E-3</c:v>
                </c:pt>
                <c:pt idx="377">
                  <c:v>2.4695824920766838E-3</c:v>
                </c:pt>
                <c:pt idx="378">
                  <c:v>2.4634986788700918E-3</c:v>
                </c:pt>
                <c:pt idx="379">
                  <c:v>2.4574447669333554E-3</c:v>
                </c:pt>
                <c:pt idx="380">
                  <c:v>2.4514205363647132E-3</c:v>
                </c:pt>
                <c:pt idx="381">
                  <c:v>2.4454257694134177E-3</c:v>
                </c:pt>
                <c:pt idx="382">
                  <c:v>2.4394602504534979E-3</c:v>
                </c:pt>
                <c:pt idx="383">
                  <c:v>2.4335237659579107E-3</c:v>
                </c:pt>
                <c:pt idx="384">
                  <c:v>2.4276161044730535E-3</c:v>
                </c:pt>
                <c:pt idx="385">
                  <c:v>2.4217370565936674E-3</c:v>
                </c:pt>
                <c:pt idx="386">
                  <c:v>2.4158864149380903E-3</c:v>
                </c:pt>
                <c:pt idx="387">
                  <c:v>2.4100639741238732E-3</c:v>
                </c:pt>
                <c:pt idx="388">
                  <c:v>2.4042695307437442E-3</c:v>
                </c:pt>
                <c:pt idx="389">
                  <c:v>2.3985028833419238E-3</c:v>
                </c:pt>
                <c:pt idx="390">
                  <c:v>2.3927638323907783E-3</c:v>
                </c:pt>
                <c:pt idx="391">
                  <c:v>2.3870521802678039E-3</c:v>
                </c:pt>
                <c:pt idx="392">
                  <c:v>2.381367731232945E-3</c:v>
                </c:pt>
                <c:pt idx="393">
                  <c:v>2.3757102914062321E-3</c:v>
                </c:pt>
                <c:pt idx="394">
                  <c:v>2.37007966874574E-3</c:v>
                </c:pt>
                <c:pt idx="395">
                  <c:v>2.3644756730258577E-3</c:v>
                </c:pt>
                <c:pt idx="396">
                  <c:v>2.3588981158158646E-3</c:v>
                </c:pt>
                <c:pt idx="397">
                  <c:v>2.3533468104588121E-3</c:v>
                </c:pt>
                <c:pt idx="398">
                  <c:v>2.3478215720506997E-3</c:v>
                </c:pt>
                <c:pt idx="399">
                  <c:v>2.3423222174199475E-3</c:v>
                </c:pt>
                <c:pt idx="400">
                  <c:v>2.3368485651071511E-3</c:v>
                </c:pt>
                <c:pt idx="401">
                  <c:v>2.3314004353451249E-3</c:v>
                </c:pt>
                <c:pt idx="402">
                  <c:v>2.3259776500392207E-3</c:v>
                </c:pt>
                <c:pt idx="403">
                  <c:v>2.3205800327479216E-3</c:v>
                </c:pt>
                <c:pt idx="404">
                  <c:v>2.3152074086637067E-3</c:v>
                </c:pt>
                <c:pt idx="405">
                  <c:v>2.309859604594176E-3</c:v>
                </c:pt>
                <c:pt idx="406">
                  <c:v>2.3045364489434478E-3</c:v>
                </c:pt>
                <c:pt idx="407">
                  <c:v>2.2992377716937917E-3</c:v>
                </c:pt>
                <c:pt idx="408">
                  <c:v>2.2939634043875399E-3</c:v>
                </c:pt>
                <c:pt idx="409">
                  <c:v>2.2887131801092309E-3</c:v>
                </c:pt>
                <c:pt idx="410">
                  <c:v>2.2834869334679955E-3</c:v>
                </c:pt>
                <c:pt idx="411">
                  <c:v>2.2782845005801969E-3</c:v>
                </c:pt>
                <c:pt idx="412">
                  <c:v>2.2731057190523004E-3</c:v>
                </c:pt>
                <c:pt idx="413">
                  <c:v>2.2679504279639684E-3</c:v>
                </c:pt>
                <c:pt idx="414">
                  <c:v>2.2628184678514002E-3</c:v>
                </c:pt>
                <c:pt idx="415">
                  <c:v>2.2577096806908861E-3</c:v>
                </c:pt>
                <c:pt idx="416">
                  <c:v>2.2526239098825881E-3</c:v>
                </c:pt>
                <c:pt idx="417">
                  <c:v>2.247561000234541E-3</c:v>
                </c:pt>
                <c:pt idx="418">
                  <c:v>2.2425207979468601E-3</c:v>
                </c:pt>
                <c:pt idx="419">
                  <c:v>2.2375031505961758E-3</c:v>
                </c:pt>
                <c:pt idx="420">
                  <c:v>2.2325079071202642E-3</c:v>
                </c:pt>
                <c:pt idx="421">
                  <c:v>2.2275349178028829E-3</c:v>
                </c:pt>
                <c:pt idx="422">
                  <c:v>2.2225840342588194E-3</c:v>
                </c:pt>
                <c:pt idx="423">
                  <c:v>2.217655109419132E-3</c:v>
                </c:pt>
                <c:pt idx="424">
                  <c:v>2.2127479975165825E-3</c:v>
                </c:pt>
                <c:pt idx="425">
                  <c:v>2.2078625540712699E-3</c:v>
                </c:pt>
                <c:pt idx="426">
                  <c:v>2.2029986358764481E-3</c:v>
                </c:pt>
                <c:pt idx="427">
                  <c:v>2.1981561009845356E-3</c:v>
                </c:pt>
                <c:pt idx="428">
                  <c:v>2.1933348086933049E-3</c:v>
                </c:pt>
                <c:pt idx="429">
                  <c:v>2.1885346195322543E-3</c:v>
                </c:pt>
                <c:pt idx="430">
                  <c:v>2.1837553952491614E-3</c:v>
                </c:pt>
                <c:pt idx="431">
                  <c:v>2.178996998796806E-3</c:v>
                </c:pt>
                <c:pt idx="432">
                  <c:v>2.1742592943198771E-3</c:v>
                </c:pt>
                <c:pt idx="433">
                  <c:v>2.1695421471420351E-3</c:v>
                </c:pt>
                <c:pt idx="434">
                  <c:v>2.1648454237531548E-3</c:v>
                </c:pt>
                <c:pt idx="435">
                  <c:v>2.1601689917967303E-3</c:v>
                </c:pt>
                <c:pt idx="436">
                  <c:v>2.1555127200574386E-3</c:v>
                </c:pt>
                <c:pt idx="437">
                  <c:v>2.1508764784488694E-3</c:v>
                </c:pt>
                <c:pt idx="438">
                  <c:v>2.1462601380014103E-3</c:v>
                </c:pt>
                <c:pt idx="439">
                  <c:v>2.1416635708502853E-3</c:v>
                </c:pt>
                <c:pt idx="440">
                  <c:v>2.1370866502237497E-3</c:v>
                </c:pt>
                <c:pt idx="441">
                  <c:v>2.1325292504314418E-3</c:v>
                </c:pt>
                <c:pt idx="442">
                  <c:v>2.1279912468528651E-3</c:v>
                </c:pt>
                <c:pt idx="443">
                  <c:v>2.1234725159260427E-3</c:v>
                </c:pt>
                <c:pt idx="444">
                  <c:v>2.1189729351362889E-3</c:v>
                </c:pt>
                <c:pt idx="445">
                  <c:v>2.1144923830051492E-3</c:v>
                </c:pt>
                <c:pt idx="446">
                  <c:v>2.1100307390794588E-3</c:v>
                </c:pt>
                <c:pt idx="447">
                  <c:v>2.1055878839205534E-3</c:v>
                </c:pt>
                <c:pt idx="448">
                  <c:v>2.1011636990936077E-3</c:v>
                </c:pt>
                <c:pt idx="449">
                  <c:v>2.096758067157116E-3</c:v>
                </c:pt>
                <c:pt idx="450">
                  <c:v>2.0923708716524942E-3</c:v>
                </c:pt>
                <c:pt idx="451">
                  <c:v>2.0880019970938228E-3</c:v>
                </c:pt>
                <c:pt idx="452">
                  <c:v>2.0836513289577115E-3</c:v>
                </c:pt>
                <c:pt idx="453">
                  <c:v>2.0793187536732928E-3</c:v>
                </c:pt>
                <c:pt idx="454">
                  <c:v>2.0750041586123408E-3</c:v>
                </c:pt>
                <c:pt idx="455">
                  <c:v>2.0707074320795065E-3</c:v>
                </c:pt>
                <c:pt idx="456">
                  <c:v>2.0664284633026843E-3</c:v>
                </c:pt>
                <c:pt idx="457">
                  <c:v>2.0621671424234933E-3</c:v>
                </c:pt>
                <c:pt idx="458">
                  <c:v>2.0579233604878689E-3</c:v>
                </c:pt>
                <c:pt idx="459">
                  <c:v>2.0536970094367853E-3</c:v>
                </c:pt>
                <c:pt idx="460">
                  <c:v>2.049487982097076E-3</c:v>
                </c:pt>
                <c:pt idx="461">
                  <c:v>2.0452961721723795E-3</c:v>
                </c:pt>
                <c:pt idx="462">
                  <c:v>2.04112147423419E-3</c:v>
                </c:pt>
                <c:pt idx="463">
                  <c:v>2.0369637837130156E-3</c:v>
                </c:pt>
                <c:pt idx="464">
                  <c:v>2.0328229968896525E-3</c:v>
                </c:pt>
                <c:pt idx="465">
                  <c:v>2.0286990108865548E-3</c:v>
                </c:pt>
                <c:pt idx="466">
                  <c:v>2.0245917236593183E-3</c:v>
                </c:pt>
                <c:pt idx="467">
                  <c:v>2.0205010339882606E-3</c:v>
                </c:pt>
                <c:pt idx="468">
                  <c:v>2.016426841470108E-3</c:v>
                </c:pt>
                <c:pt idx="469">
                  <c:v>2.0123690465097821E-3</c:v>
                </c:pt>
                <c:pt idx="470">
                  <c:v>2.0083275503122808E-3</c:v>
                </c:pt>
                <c:pt idx="471">
                  <c:v>2.0043022548746629E-3</c:v>
                </c:pt>
                <c:pt idx="472">
                  <c:v>2.0002930629781255E-3</c:v>
                </c:pt>
                <c:pt idx="473">
                  <c:v>1.9962998781801783E-3</c:v>
                </c:pt>
                <c:pt idx="474">
                  <c:v>1.9923226048069067E-3</c:v>
                </c:pt>
                <c:pt idx="475">
                  <c:v>1.9883611479453354E-3</c:v>
                </c:pt>
                <c:pt idx="476">
                  <c:v>1.9844154134358756E-3</c:v>
                </c:pt>
                <c:pt idx="477">
                  <c:v>1.9804853078648653E-3</c:v>
                </c:pt>
                <c:pt idx="478">
                  <c:v>1.9765707385571971E-3</c:v>
                </c:pt>
                <c:pt idx="479">
                  <c:v>1.9726716135690337E-3</c:v>
                </c:pt>
                <c:pt idx="480">
                  <c:v>1.5810169122549213E-3</c:v>
                </c:pt>
                <c:pt idx="481">
                  <c:v>1.5785212434726377E-3</c:v>
                </c:pt>
                <c:pt idx="482">
                  <c:v>1.5760334412052717E-3</c:v>
                </c:pt>
                <c:pt idx="483">
                  <c:v>1.5735534683176784E-3</c:v>
                </c:pt>
                <c:pt idx="484">
                  <c:v>1.5710812879080819E-3</c:v>
                </c:pt>
                <c:pt idx="485">
                  <c:v>1.5686168633062441E-3</c:v>
                </c:pt>
                <c:pt idx="486">
                  <c:v>1.566160158071655E-3</c:v>
                </c:pt>
                <c:pt idx="487">
                  <c:v>1.5637111359917317E-3</c:v>
                </c:pt>
                <c:pt idx="488">
                  <c:v>1.5612697610800433E-3</c:v>
                </c:pt>
                <c:pt idx="489">
                  <c:v>1.5588359975745474E-3</c:v>
                </c:pt>
                <c:pt idx="490">
                  <c:v>1.556409809935841E-3</c:v>
                </c:pt>
                <c:pt idx="491">
                  <c:v>1.5539911628454353E-3</c:v>
                </c:pt>
                <c:pt idx="492">
                  <c:v>1.5515800212040365E-3</c:v>
                </c:pt>
                <c:pt idx="493">
                  <c:v>1.5491763501298528E-3</c:v>
                </c:pt>
                <c:pt idx="494">
                  <c:v>1.5467801149569109E-3</c:v>
                </c:pt>
                <c:pt idx="495">
                  <c:v>1.5443912812333862E-3</c:v>
                </c:pt>
                <c:pt idx="496">
                  <c:v>1.542009814719956E-3</c:v>
                </c:pt>
                <c:pt idx="497">
                  <c:v>1.5396356813881628E-3</c:v>
                </c:pt>
                <c:pt idx="498">
                  <c:v>1.5372688474187901E-3</c:v>
                </c:pt>
                <c:pt idx="499">
                  <c:v>1.5349092792002613E-3</c:v>
                </c:pt>
                <c:pt idx="500">
                  <c:v>1.5325569433270463E-3</c:v>
                </c:pt>
                <c:pt idx="501">
                  <c:v>1.5302118065980831E-3</c:v>
                </c:pt>
                <c:pt idx="502">
                  <c:v>1.5278738360152207E-3</c:v>
                </c:pt>
                <c:pt idx="503">
                  <c:v>1.5255429987816658E-3</c:v>
                </c:pt>
                <c:pt idx="504">
                  <c:v>1.5232192623004536E-3</c:v>
                </c:pt>
                <c:pt idx="505">
                  <c:v>1.5209025941729272E-3</c:v>
                </c:pt>
                <c:pt idx="506">
                  <c:v>1.5185929621972284E-3</c:v>
                </c:pt>
                <c:pt idx="507">
                  <c:v>1.5162903343668116E-3</c:v>
                </c:pt>
                <c:pt idx="508">
                  <c:v>1.5139946788689598E-3</c:v>
                </c:pt>
                <c:pt idx="509">
                  <c:v>1.5117059640833228E-3</c:v>
                </c:pt>
                <c:pt idx="510">
                  <c:v>1.5094241585804657E-3</c:v>
                </c:pt>
                <c:pt idx="511">
                  <c:v>1.5071492311204263E-3</c:v>
                </c:pt>
                <c:pt idx="512">
                  <c:v>1.5048811506512944E-3</c:v>
                </c:pt>
                <c:pt idx="513">
                  <c:v>1.5026198863077964E-3</c:v>
                </c:pt>
                <c:pt idx="514">
                  <c:v>1.5003654074098938E-3</c:v>
                </c:pt>
                <c:pt idx="515">
                  <c:v>1.498117683461399E-3</c:v>
                </c:pt>
                <c:pt idx="516">
                  <c:v>1.4958766841485988E-3</c:v>
                </c:pt>
                <c:pt idx="517">
                  <c:v>1.4936423793388892E-3</c:v>
                </c:pt>
                <c:pt idx="518">
                  <c:v>1.49141473907943E-3</c:v>
                </c:pt>
                <c:pt idx="519">
                  <c:v>1.4891937335958002E-3</c:v>
                </c:pt>
                <c:pt idx="520">
                  <c:v>1.486979333290677E-3</c:v>
                </c:pt>
                <c:pt idx="521">
                  <c:v>1.4847715087425183E-3</c:v>
                </c:pt>
                <c:pt idx="522">
                  <c:v>1.4825702307042588E-3</c:v>
                </c:pt>
                <c:pt idx="523">
                  <c:v>1.480375470102021E-3</c:v>
                </c:pt>
                <c:pt idx="524">
                  <c:v>1.4781871980338328E-3</c:v>
                </c:pt>
                <c:pt idx="525">
                  <c:v>1.4760053857683607E-3</c:v>
                </c:pt>
                <c:pt idx="526">
                  <c:v>1.4738300047436523E-3</c:v>
                </c:pt>
                <c:pt idx="527">
                  <c:v>1.4716610265658877E-3</c:v>
                </c:pt>
                <c:pt idx="528">
                  <c:v>1.4694984230081462E-3</c:v>
                </c:pt>
                <c:pt idx="529">
                  <c:v>1.4673421660091827E-3</c:v>
                </c:pt>
                <c:pt idx="530">
                  <c:v>1.4651922276722102E-3</c:v>
                </c:pt>
                <c:pt idx="531">
                  <c:v>1.4630485802637008E-3</c:v>
                </c:pt>
                <c:pt idx="532">
                  <c:v>1.4609111962121915E-3</c:v>
                </c:pt>
                <c:pt idx="533">
                  <c:v>1.4587800481071006E-3</c:v>
                </c:pt>
                <c:pt idx="534">
                  <c:v>1.4566551086975597E-3</c:v>
                </c:pt>
                <c:pt idx="535">
                  <c:v>1.4545363508912475E-3</c:v>
                </c:pt>
                <c:pt idx="536">
                  <c:v>1.4524237477532423E-3</c:v>
                </c:pt>
                <c:pt idx="537">
                  <c:v>1.45031727250488E-3</c:v>
                </c:pt>
                <c:pt idx="538">
                  <c:v>1.4482168985226192E-3</c:v>
                </c:pt>
                <c:pt idx="539">
                  <c:v>1.446122599336924E-3</c:v>
                </c:pt>
                <c:pt idx="540">
                  <c:v>1.0152978165504738E-3</c:v>
                </c:pt>
                <c:pt idx="541">
                  <c:v>1.0142680324317489E-3</c:v>
                </c:pt>
                <c:pt idx="542">
                  <c:v>1.0132403351506352E-3</c:v>
                </c:pt>
                <c:pt idx="543">
                  <c:v>1.0122147183701496E-3</c:v>
                </c:pt>
                <c:pt idx="544">
                  <c:v>1.0111911757789401E-3</c:v>
                </c:pt>
                <c:pt idx="545">
                  <c:v>1.0101697010911576E-3</c:v>
                </c:pt>
                <c:pt idx="546">
                  <c:v>1.0091502880463258E-3</c:v>
                </c:pt>
                <c:pt idx="547">
                  <c:v>1.0081329304092142E-3</c:v>
                </c:pt>
                <c:pt idx="548">
                  <c:v>1.0071176219697113E-3</c:v>
                </c:pt>
                <c:pt idx="549">
                  <c:v>1.0061043565426965E-3</c:v>
                </c:pt>
                <c:pt idx="550">
                  <c:v>1.005093127967917E-3</c:v>
                </c:pt>
                <c:pt idx="551">
                  <c:v>1.0040839301098607E-3</c:v>
                </c:pt>
                <c:pt idx="552">
                  <c:v>1.0030767568576329E-3</c:v>
                </c:pt>
                <c:pt idx="553">
                  <c:v>1.0020716021248346E-3</c:v>
                </c:pt>
                <c:pt idx="554">
                  <c:v>1.0010684598494367E-3</c:v>
                </c:pt>
                <c:pt idx="555">
                  <c:v>1.0000673239936606E-3</c:v>
                </c:pt>
                <c:pt idx="556">
                  <c:v>9.990681885438564E-4</c:v>
                </c:pt>
                <c:pt idx="557">
                  <c:v>9.9807104751038181E-4</c:v>
                </c:pt>
                <c:pt idx="558">
                  <c:v>9.9707589492748438E-4</c:v>
                </c:pt>
                <c:pt idx="559">
                  <c:v>9.9608272485317956E-4</c:v>
                </c:pt>
                <c:pt idx="560">
                  <c:v>9.9509153136913514E-4</c:v>
                </c:pt>
                <c:pt idx="561">
                  <c:v>9.9410230858055213E-4</c:v>
                </c:pt>
                <c:pt idx="562">
                  <c:v>9.9311505061604839E-4</c:v>
                </c:pt>
                <c:pt idx="563">
                  <c:v>9.9212975162754342E-4</c:v>
                </c:pt>
                <c:pt idx="564">
                  <c:v>9.9114640579014003E-4</c:v>
                </c:pt>
                <c:pt idx="565">
                  <c:v>9.9016500730201369E-4</c:v>
                </c:pt>
                <c:pt idx="566">
                  <c:v>9.8918555038429398E-4</c:v>
                </c:pt>
                <c:pt idx="567">
                  <c:v>9.8820802928095588E-4</c:v>
                </c:pt>
                <c:pt idx="568">
                  <c:v>9.8723243825870211E-4</c:v>
                </c:pt>
                <c:pt idx="569">
                  <c:v>9.8625877160685464E-4</c:v>
                </c:pt>
                <c:pt idx="570">
                  <c:v>9.8528702363724196E-4</c:v>
                </c:pt>
                <c:pt idx="571">
                  <c:v>9.843171886840885E-4</c:v>
                </c:pt>
                <c:pt idx="572">
                  <c:v>9.8334926110390402E-4</c:v>
                </c:pt>
                <c:pt idx="573">
                  <c:v>9.8238323527537522E-4</c:v>
                </c:pt>
                <c:pt idx="574">
                  <c:v>9.8141910559925577E-4</c:v>
                </c:pt>
                <c:pt idx="575">
                  <c:v>9.8045686649825812E-4</c:v>
                </c:pt>
                <c:pt idx="576">
                  <c:v>9.794965124169479E-4</c:v>
                </c:pt>
                <c:pt idx="577">
                  <c:v>9.7853803782163421E-4</c:v>
                </c:pt>
                <c:pt idx="578">
                  <c:v>9.7758143720026551E-4</c:v>
                </c:pt>
                <c:pt idx="579">
                  <c:v>9.7662670506232273E-4</c:v>
                </c:pt>
                <c:pt idx="580">
                  <c:v>9.7567383593871423E-4</c:v>
                </c:pt>
                <c:pt idx="581">
                  <c:v>9.7472282438167265E-4</c:v>
                </c:pt>
                <c:pt idx="582">
                  <c:v>9.7377366496464968E-4</c:v>
                </c:pt>
                <c:pt idx="583">
                  <c:v>9.7282635228221402E-4</c:v>
                </c:pt>
                <c:pt idx="584">
                  <c:v>9.718808809499464E-4</c:v>
                </c:pt>
                <c:pt idx="585">
                  <c:v>9.7093724560434139E-4</c:v>
                </c:pt>
                <c:pt idx="586">
                  <c:v>9.6999544090270277E-4</c:v>
                </c:pt>
                <c:pt idx="587">
                  <c:v>9.6905546152304333E-4</c:v>
                </c:pt>
                <c:pt idx="588">
                  <c:v>9.6811730216398654E-4</c:v>
                </c:pt>
                <c:pt idx="589">
                  <c:v>9.671809575446641E-4</c:v>
                </c:pt>
                <c:pt idx="590">
                  <c:v>9.6624642240461848E-4</c:v>
                </c:pt>
                <c:pt idx="591">
                  <c:v>9.6531369150370508E-4</c:v>
                </c:pt>
                <c:pt idx="592">
                  <c:v>9.6438275962199157E-4</c:v>
                </c:pt>
                <c:pt idx="593">
                  <c:v>9.6345362155966427E-4</c:v>
                </c:pt>
                <c:pt idx="594">
                  <c:v>9.6252627213692769E-4</c:v>
                </c:pt>
                <c:pt idx="595">
                  <c:v>9.6160070619391038E-4</c:v>
                </c:pt>
                <c:pt idx="596">
                  <c:v>9.6067691859056965E-4</c:v>
                </c:pt>
                <c:pt idx="597">
                  <c:v>9.5975490420659409E-4</c:v>
                </c:pt>
                <c:pt idx="598">
                  <c:v>9.5883465794131188E-4</c:v>
                </c:pt>
                <c:pt idx="599">
                  <c:v>9.5791617471359392E-4</c:v>
                </c:pt>
                <c:pt idx="600">
                  <c:v>9.5699944946176234E-4</c:v>
                </c:pt>
                <c:pt idx="601">
                  <c:v>9.560844771434973E-4</c:v>
                </c:pt>
                <c:pt idx="602">
                  <c:v>9.5517125273574292E-4</c:v>
                </c:pt>
                <c:pt idx="603">
                  <c:v>9.5425977123461756E-4</c:v>
                </c:pt>
                <c:pt idx="604">
                  <c:v>9.5335002765532058E-4</c:v>
                </c:pt>
                <c:pt idx="605">
                  <c:v>9.5244201703204273E-4</c:v>
                </c:pt>
                <c:pt idx="606">
                  <c:v>9.515357344178759E-4</c:v>
                </c:pt>
                <c:pt idx="607">
                  <c:v>9.5063117488472146E-4</c:v>
                </c:pt>
                <c:pt idx="608">
                  <c:v>9.4972833352320292E-4</c:v>
                </c:pt>
                <c:pt idx="609">
                  <c:v>9.4882720544257686E-4</c:v>
                </c:pt>
                <c:pt idx="610">
                  <c:v>9.4792778577064245E-4</c:v>
                </c:pt>
                <c:pt idx="611">
                  <c:v>9.4703006965365759E-4</c:v>
                </c:pt>
                <c:pt idx="612">
                  <c:v>9.4613405225624757E-4</c:v>
                </c:pt>
                <c:pt idx="613">
                  <c:v>9.4523972876132088E-4</c:v>
                </c:pt>
                <c:pt idx="614">
                  <c:v>9.443470943699821E-4</c:v>
                </c:pt>
                <c:pt idx="615">
                  <c:v>9.4345614430144564E-4</c:v>
                </c:pt>
                <c:pt idx="616">
                  <c:v>9.4256687379295058E-4</c:v>
                </c:pt>
                <c:pt idx="617">
                  <c:v>9.4167927809967692E-4</c:v>
                </c:pt>
                <c:pt idx="618">
                  <c:v>9.4079335249465856E-4</c:v>
                </c:pt>
                <c:pt idx="619">
                  <c:v>9.3990909226870304E-4</c:v>
                </c:pt>
                <c:pt idx="620">
                  <c:v>9.390264927303044E-4</c:v>
                </c:pt>
                <c:pt idx="621">
                  <c:v>9.3814554920556323E-4</c:v>
                </c:pt>
                <c:pt idx="622">
                  <c:v>9.3726625703810247E-4</c:v>
                </c:pt>
                <c:pt idx="623">
                  <c:v>9.3638861158898542E-4</c:v>
                </c:pt>
                <c:pt idx="624">
                  <c:v>9.3551260823663488E-4</c:v>
                </c:pt>
                <c:pt idx="625">
                  <c:v>9.3463824237675116E-4</c:v>
                </c:pt>
                <c:pt idx="626">
                  <c:v>9.3376550942223283E-4</c:v>
                </c:pt>
                <c:pt idx="627">
                  <c:v>9.3289440480309488E-4</c:v>
                </c:pt>
                <c:pt idx="628">
                  <c:v>9.3202492396638934E-4</c:v>
                </c:pt>
                <c:pt idx="629">
                  <c:v>9.3115706237612765E-4</c:v>
                </c:pt>
                <c:pt idx="630">
                  <c:v>9.302908155131987E-4</c:v>
                </c:pt>
                <c:pt idx="631">
                  <c:v>9.2942617887529361E-4</c:v>
                </c:pt>
                <c:pt idx="632">
                  <c:v>9.2856314797682489E-4</c:v>
                </c:pt>
                <c:pt idx="633">
                  <c:v>9.277017183488515E-4</c:v>
                </c:pt>
                <c:pt idx="634">
                  <c:v>9.2684188553899941E-4</c:v>
                </c:pt>
                <c:pt idx="635">
                  <c:v>9.2598364511138587E-4</c:v>
                </c:pt>
                <c:pt idx="636">
                  <c:v>9.2512699264654435E-4</c:v>
                </c:pt>
                <c:pt idx="637">
                  <c:v>9.2427192374134562E-4</c:v>
                </c:pt>
                <c:pt idx="638">
                  <c:v>9.2341843400892631E-4</c:v>
                </c:pt>
                <c:pt idx="639">
                  <c:v>9.2256651907860962E-4</c:v>
                </c:pt>
                <c:pt idx="640">
                  <c:v>9.2171617459583404E-4</c:v>
                </c:pt>
                <c:pt idx="641">
                  <c:v>9.2086739622207839E-4</c:v>
                </c:pt>
                <c:pt idx="642">
                  <c:v>9.2002017963478612E-4</c:v>
                </c:pt>
                <c:pt idx="643">
                  <c:v>9.1917452052729491E-4</c:v>
                </c:pt>
                <c:pt idx="644">
                  <c:v>9.1833041460876147E-4</c:v>
                </c:pt>
                <c:pt idx="645">
                  <c:v>9.1748785760408923E-4</c:v>
                </c:pt>
                <c:pt idx="646">
                  <c:v>9.1664684525385792E-4</c:v>
                </c:pt>
                <c:pt idx="647">
                  <c:v>9.1580737331424923E-4</c:v>
                </c:pt>
                <c:pt idx="648">
                  <c:v>9.1496943755697726E-4</c:v>
                </c:pt>
                <c:pt idx="649">
                  <c:v>9.1413303376921726E-4</c:v>
                </c:pt>
                <c:pt idx="650">
                  <c:v>9.1329815775353419E-4</c:v>
                </c:pt>
                <c:pt idx="651">
                  <c:v>9.1246480532781332E-4</c:v>
                </c:pt>
                <c:pt idx="652">
                  <c:v>9.1163297232518998E-4</c:v>
                </c:pt>
                <c:pt idx="653">
                  <c:v>9.1080265459398096E-4</c:v>
                </c:pt>
                <c:pt idx="654">
                  <c:v>9.0997384799761387E-4</c:v>
                </c:pt>
                <c:pt idx="655">
                  <c:v>9.0914654841455921E-4</c:v>
                </c:pt>
                <c:pt idx="656">
                  <c:v>9.0832075173826301E-4</c:v>
                </c:pt>
                <c:pt idx="657">
                  <c:v>9.0749645387707756E-4</c:v>
                </c:pt>
                <c:pt idx="658">
                  <c:v>9.0667365075419433E-4</c:v>
                </c:pt>
                <c:pt idx="659">
                  <c:v>9.0585233830757679E-4</c:v>
                </c:pt>
                <c:pt idx="660">
                  <c:v>9.0503251248989325E-4</c:v>
                </c:pt>
                <c:pt idx="661">
                  <c:v>9.0421416926845144E-4</c:v>
                </c:pt>
                <c:pt idx="662">
                  <c:v>9.0339730462513025E-4</c:v>
                </c:pt>
                <c:pt idx="663">
                  <c:v>9.0258191455631703E-4</c:v>
                </c:pt>
                <c:pt idx="664">
                  <c:v>9.0176799507283851E-4</c:v>
                </c:pt>
                <c:pt idx="665">
                  <c:v>9.0095554219989918E-4</c:v>
                </c:pt>
                <c:pt idx="666">
                  <c:v>9.0014455197701452E-4</c:v>
                </c:pt>
                <c:pt idx="667">
                  <c:v>8.993350204579471E-4</c:v>
                </c:pt>
                <c:pt idx="668">
                  <c:v>8.9852694371064291E-4</c:v>
                </c:pt>
                <c:pt idx="669">
                  <c:v>8.9772031781716784E-4</c:v>
                </c:pt>
                <c:pt idx="670">
                  <c:v>8.9691513887364314E-4</c:v>
                </c:pt>
                <c:pt idx="671">
                  <c:v>8.9611140299018397E-4</c:v>
                </c:pt>
                <c:pt idx="672">
                  <c:v>8.9530910629083578E-4</c:v>
                </c:pt>
                <c:pt idx="673">
                  <c:v>8.9450824491351256E-4</c:v>
                </c:pt>
                <c:pt idx="674">
                  <c:v>8.9370881500993422E-4</c:v>
                </c:pt>
                <c:pt idx="675">
                  <c:v>8.9291081274556585E-4</c:v>
                </c:pt>
                <c:pt idx="676">
                  <c:v>8.9211423429955551E-4</c:v>
                </c:pt>
                <c:pt idx="677">
                  <c:v>8.9131907586467393E-4</c:v>
                </c:pt>
                <c:pt idx="678">
                  <c:v>8.9052533364725325E-4</c:v>
                </c:pt>
                <c:pt idx="679">
                  <c:v>8.8973300386712784E-4</c:v>
                </c:pt>
                <c:pt idx="680">
                  <c:v>8.8894208275757183E-4</c:v>
                </c:pt>
                <c:pt idx="681">
                  <c:v>8.8815256656524287E-4</c:v>
                </c:pt>
                <c:pt idx="682">
                  <c:v>8.8736445155012007E-4</c:v>
                </c:pt>
                <c:pt idx="683">
                  <c:v>8.8657773398544539E-4</c:v>
                </c:pt>
                <c:pt idx="684">
                  <c:v>8.8579241015766623E-4</c:v>
                </c:pt>
                <c:pt idx="685">
                  <c:v>8.8500847636637566E-4</c:v>
                </c:pt>
                <c:pt idx="686">
                  <c:v>8.8422592892425499E-4</c:v>
                </c:pt>
                <c:pt idx="687">
                  <c:v>8.8344476415701506E-4</c:v>
                </c:pt>
                <c:pt idx="688">
                  <c:v>8.8266497840333959E-4</c:v>
                </c:pt>
                <c:pt idx="689">
                  <c:v>8.8188656801482877E-4</c:v>
                </c:pt>
                <c:pt idx="690">
                  <c:v>8.8110952935593976E-4</c:v>
                </c:pt>
                <c:pt idx="691">
                  <c:v>8.8033385880393309E-4</c:v>
                </c:pt>
                <c:pt idx="692">
                  <c:v>8.7955955274881365E-4</c:v>
                </c:pt>
                <c:pt idx="693">
                  <c:v>8.7878660759327734E-4</c:v>
                </c:pt>
                <c:pt idx="694">
                  <c:v>8.7801501975265286E-4</c:v>
                </c:pt>
                <c:pt idx="695">
                  <c:v>8.7724478565484826E-4</c:v>
                </c:pt>
                <c:pt idx="696">
                  <c:v>8.7647590174029467E-4</c:v>
                </c:pt>
                <c:pt idx="697">
                  <c:v>8.7570836446189122E-4</c:v>
                </c:pt>
                <c:pt idx="698">
                  <c:v>8.7494217028495224E-4</c:v>
                </c:pt>
                <c:pt idx="699">
                  <c:v>8.7417731568715097E-4</c:v>
                </c:pt>
                <c:pt idx="700">
                  <c:v>8.7341379715846692E-4</c:v>
                </c:pt>
                <c:pt idx="701">
                  <c:v>8.7265161120113149E-4</c:v>
                </c:pt>
                <c:pt idx="702">
                  <c:v>8.7189075432957445E-4</c:v>
                </c:pt>
                <c:pt idx="703">
                  <c:v>8.7113122307037134E-4</c:v>
                </c:pt>
                <c:pt idx="704">
                  <c:v>8.7037301396219124E-4</c:v>
                </c:pt>
                <c:pt idx="705">
                  <c:v>8.6961612355574173E-4</c:v>
                </c:pt>
                <c:pt idx="706">
                  <c:v>8.6886054841371976E-4</c:v>
                </c:pt>
                <c:pt idx="707">
                  <c:v>8.6810628511075694E-4</c:v>
                </c:pt>
                <c:pt idx="708">
                  <c:v>8.6735333023336958E-4</c:v>
                </c:pt>
                <c:pt idx="709">
                  <c:v>8.6660168037990643E-4</c:v>
                </c:pt>
                <c:pt idx="710">
                  <c:v>8.6585133216049675E-4</c:v>
                </c:pt>
                <c:pt idx="711">
                  <c:v>8.6510228219700152E-4</c:v>
                </c:pt>
                <c:pt idx="712">
                  <c:v>8.6435452712295999E-4</c:v>
                </c:pt>
                <c:pt idx="713">
                  <c:v>8.6360806358354184E-4</c:v>
                </c:pt>
                <c:pt idx="714">
                  <c:v>8.6286288823549475E-4</c:v>
                </c:pt>
                <c:pt idx="715">
                  <c:v>8.6211899774709581E-4</c:v>
                </c:pt>
                <c:pt idx="716">
                  <c:v>8.6137638879810229E-4</c:v>
                </c:pt>
                <c:pt idx="717">
                  <c:v>8.6063505807970045E-4</c:v>
                </c:pt>
                <c:pt idx="718">
                  <c:v>8.5989500229445852E-4</c:v>
                </c:pt>
                <c:pt idx="719">
                  <c:v>8.5915621815627573E-4</c:v>
                </c:pt>
                <c:pt idx="720">
                  <c:v>1.7966903073286098E-4</c:v>
                </c:pt>
                <c:pt idx="721">
                  <c:v>1.7963675557110335E-4</c:v>
                </c:pt>
                <c:pt idx="722">
                  <c:v>1.7960449200287394E-4</c:v>
                </c:pt>
                <c:pt idx="723">
                  <c:v>1.7957224002192702E-4</c:v>
                </c:pt>
                <c:pt idx="724">
                  <c:v>1.7953999962202135E-4</c:v>
                </c:pt>
                <c:pt idx="725">
                  <c:v>1.795077707969203E-4</c:v>
                </c:pt>
                <c:pt idx="726">
                  <c:v>1.7947555354039176E-4</c:v>
                </c:pt>
                <c:pt idx="727">
                  <c:v>1.7944334784620789E-4</c:v>
                </c:pt>
                <c:pt idx="728">
                  <c:v>1.7941115370814553E-4</c:v>
                </c:pt>
                <c:pt idx="729">
                  <c:v>1.7937897111998594E-4</c:v>
                </c:pt>
                <c:pt idx="730">
                  <c:v>1.7934680007551472E-4</c:v>
                </c:pt>
                <c:pt idx="731">
                  <c:v>1.7931464056852205E-4</c:v>
                </c:pt>
                <c:pt idx="732">
                  <c:v>1.7928249259280258E-4</c:v>
                </c:pt>
                <c:pt idx="733">
                  <c:v>1.7925035614215526E-4</c:v>
                </c:pt>
                <c:pt idx="734">
                  <c:v>1.7921823121038361E-4</c:v>
                </c:pt>
                <c:pt idx="735">
                  <c:v>1.7918611779129564E-4</c:v>
                </c:pt>
                <c:pt idx="736">
                  <c:v>1.791540158787036E-4</c:v>
                </c:pt>
                <c:pt idx="737">
                  <c:v>1.7912192546642433E-4</c:v>
                </c:pt>
                <c:pt idx="738">
                  <c:v>1.7908984654827915E-4</c:v>
                </c:pt>
                <c:pt idx="739">
                  <c:v>1.790577791180936E-4</c:v>
                </c:pt>
                <c:pt idx="740">
                  <c:v>1.7902572316969779E-4</c:v>
                </c:pt>
                <c:pt idx="741">
                  <c:v>1.7899367869692631E-4</c:v>
                </c:pt>
                <c:pt idx="742">
                  <c:v>1.7896164569361795E-4</c:v>
                </c:pt>
                <c:pt idx="743">
                  <c:v>1.7892962415361606E-4</c:v>
                </c:pt>
                <c:pt idx="744">
                  <c:v>1.7889761407076843E-4</c:v>
                </c:pt>
                <c:pt idx="745">
                  <c:v>1.7886561543892709E-4</c:v>
                </c:pt>
                <c:pt idx="746">
                  <c:v>1.7883362825194861E-4</c:v>
                </c:pt>
                <c:pt idx="747">
                  <c:v>1.7880165250369398E-4</c:v>
                </c:pt>
                <c:pt idx="748">
                  <c:v>1.7876968818802836E-4</c:v>
                </c:pt>
                <c:pt idx="749">
                  <c:v>1.7873773529882158E-4</c:v>
                </c:pt>
                <c:pt idx="750">
                  <c:v>1.7870579382994764E-4</c:v>
                </c:pt>
                <c:pt idx="751">
                  <c:v>1.7867386377528498E-4</c:v>
                </c:pt>
                <c:pt idx="752">
                  <c:v>1.7864194512871653E-4</c:v>
                </c:pt>
                <c:pt idx="753">
                  <c:v>1.786100378841294E-4</c:v>
                </c:pt>
                <c:pt idx="754">
                  <c:v>1.7857814203541518E-4</c:v>
                </c:pt>
                <c:pt idx="755">
                  <c:v>1.7854625757646978E-4</c:v>
                </c:pt>
                <c:pt idx="756">
                  <c:v>1.7851438450119353E-4</c:v>
                </c:pt>
                <c:pt idx="757">
                  <c:v>1.7848252280349105E-4</c:v>
                </c:pt>
                <c:pt idx="758">
                  <c:v>1.7845067247727132E-4</c:v>
                </c:pt>
                <c:pt idx="759">
                  <c:v>1.7841883351644769E-4</c:v>
                </c:pt>
                <c:pt idx="760">
                  <c:v>1.7838700591493788E-4</c:v>
                </c:pt>
                <c:pt idx="761">
                  <c:v>1.7835518966666385E-4</c:v>
                </c:pt>
                <c:pt idx="762">
                  <c:v>1.7832338476555197E-4</c:v>
                </c:pt>
                <c:pt idx="763">
                  <c:v>1.7829159120553298E-4</c:v>
                </c:pt>
                <c:pt idx="764">
                  <c:v>1.7825980898054185E-4</c:v>
                </c:pt>
                <c:pt idx="765">
                  <c:v>1.7822803808451794E-4</c:v>
                </c:pt>
                <c:pt idx="766">
                  <c:v>1.7819627851140487E-4</c:v>
                </c:pt>
                <c:pt idx="767">
                  <c:v>1.7816453025515066E-4</c:v>
                </c:pt>
                <c:pt idx="768">
                  <c:v>1.7813279330970762E-4</c:v>
                </c:pt>
                <c:pt idx="769">
                  <c:v>1.7810106766903228E-4</c:v>
                </c:pt>
                <c:pt idx="770">
                  <c:v>1.7806935332708563E-4</c:v>
                </c:pt>
                <c:pt idx="771">
                  <c:v>1.7803765027783275E-4</c:v>
                </c:pt>
                <c:pt idx="772">
                  <c:v>1.7800595851524324E-4</c:v>
                </c:pt>
                <c:pt idx="773">
                  <c:v>1.779742780332909E-4</c:v>
                </c:pt>
                <c:pt idx="774">
                  <c:v>1.7794260882595371E-4</c:v>
                </c:pt>
                <c:pt idx="775">
                  <c:v>1.7791095088721414E-4</c:v>
                </c:pt>
                <c:pt idx="776">
                  <c:v>1.7787930421105883E-4</c:v>
                </c:pt>
                <c:pt idx="777">
                  <c:v>1.778476687914786E-4</c:v>
                </c:pt>
                <c:pt idx="778">
                  <c:v>1.7781604462246877E-4</c:v>
                </c:pt>
                <c:pt idx="779">
                  <c:v>1.7778443169802881E-4</c:v>
                </c:pt>
                <c:pt idx="780">
                  <c:v>1.7775283001216237E-4</c:v>
                </c:pt>
                <c:pt idx="781">
                  <c:v>1.777212395588775E-4</c:v>
                </c:pt>
                <c:pt idx="782">
                  <c:v>1.776896603321865E-4</c:v>
                </c:pt>
                <c:pt idx="783">
                  <c:v>1.7765809232610577E-4</c:v>
                </c:pt>
                <c:pt idx="784">
                  <c:v>1.7762653553465618E-4</c:v>
                </c:pt>
                <c:pt idx="785">
                  <c:v>1.7759498995186277E-4</c:v>
                </c:pt>
                <c:pt idx="786">
                  <c:v>1.7756345557175466E-4</c:v>
                </c:pt>
                <c:pt idx="787">
                  <c:v>1.7753193238836544E-4</c:v>
                </c:pt>
                <c:pt idx="788">
                  <c:v>1.7750042039573288E-4</c:v>
                </c:pt>
                <c:pt idx="789">
                  <c:v>1.7746891958789882E-4</c:v>
                </c:pt>
                <c:pt idx="790">
                  <c:v>1.7743742995890953E-4</c:v>
                </c:pt>
                <c:pt idx="791">
                  <c:v>1.774059515028155E-4</c:v>
                </c:pt>
                <c:pt idx="792">
                  <c:v>1.7737448421367122E-4</c:v>
                </c:pt>
                <c:pt idx="793">
                  <c:v>1.7734302808553566E-4</c:v>
                </c:pt>
                <c:pt idx="794">
                  <c:v>1.7731158311247189E-4</c:v>
                </c:pt>
                <c:pt idx="795">
                  <c:v>1.7728014928854708E-4</c:v>
                </c:pt>
                <c:pt idx="796">
                  <c:v>1.7724872660783284E-4</c:v>
                </c:pt>
                <c:pt idx="797">
                  <c:v>1.7721731506440484E-4</c:v>
                </c:pt>
                <c:pt idx="798">
                  <c:v>1.7718591465234291E-4</c:v>
                </c:pt>
                <c:pt idx="799">
                  <c:v>1.7715452536573118E-4</c:v>
                </c:pt>
                <c:pt idx="800">
                  <c:v>1.7712314719865794E-4</c:v>
                </c:pt>
                <c:pt idx="801">
                  <c:v>1.7709178014521559E-4</c:v>
                </c:pt>
                <c:pt idx="802">
                  <c:v>1.7706042419950087E-4</c:v>
                </c:pt>
                <c:pt idx="803">
                  <c:v>1.7702907935561449E-4</c:v>
                </c:pt>
                <c:pt idx="804">
                  <c:v>1.7699774560766152E-4</c:v>
                </c:pt>
                <c:pt idx="805">
                  <c:v>1.7696642294975115E-4</c:v>
                </c:pt>
                <c:pt idx="806">
                  <c:v>1.7693511137599678E-4</c:v>
                </c:pt>
                <c:pt idx="807">
                  <c:v>1.7690381088051577E-4</c:v>
                </c:pt>
                <c:pt idx="808">
                  <c:v>1.768725214574299E-4</c:v>
                </c:pt>
                <c:pt idx="809">
                  <c:v>1.76841243100865E-4</c:v>
                </c:pt>
                <c:pt idx="810">
                  <c:v>1.76809975804951E-4</c:v>
                </c:pt>
                <c:pt idx="811">
                  <c:v>1.7677871956382207E-4</c:v>
                </c:pt>
                <c:pt idx="812">
                  <c:v>1.7674747437161655E-4</c:v>
                </c:pt>
                <c:pt idx="813">
                  <c:v>1.7671624022247675E-4</c:v>
                </c:pt>
                <c:pt idx="814">
                  <c:v>1.7668501711054933E-4</c:v>
                </c:pt>
                <c:pt idx="815">
                  <c:v>1.7665380502998501E-4</c:v>
                </c:pt>
                <c:pt idx="816">
                  <c:v>1.7662260397493851E-4</c:v>
                </c:pt>
                <c:pt idx="817">
                  <c:v>1.7659141393956888E-4</c:v>
                </c:pt>
                <c:pt idx="818">
                  <c:v>1.7656023491803924E-4</c:v>
                </c:pt>
                <c:pt idx="819">
                  <c:v>1.7652906690451668E-4</c:v>
                </c:pt>
                <c:pt idx="820">
                  <c:v>1.7649790989317262E-4</c:v>
                </c:pt>
                <c:pt idx="821">
                  <c:v>1.7646676387818251E-4</c:v>
                </c:pt>
                <c:pt idx="822">
                  <c:v>1.7643562885372586E-4</c:v>
                </c:pt>
                <c:pt idx="823">
                  <c:v>1.7640450481398639E-4</c:v>
                </c:pt>
                <c:pt idx="824">
                  <c:v>1.7637339175315182E-4</c:v>
                </c:pt>
                <c:pt idx="825">
                  <c:v>1.7634228966541401E-4</c:v>
                </c:pt>
                <c:pt idx="826">
                  <c:v>1.7631119854496894E-4</c:v>
                </c:pt>
                <c:pt idx="827">
                  <c:v>1.7628011838601666E-4</c:v>
                </c:pt>
                <c:pt idx="828">
                  <c:v>1.7624904918276128E-4</c:v>
                </c:pt>
                <c:pt idx="829">
                  <c:v>1.7621799092941106E-4</c:v>
                </c:pt>
                <c:pt idx="830">
                  <c:v>1.761869436201783E-4</c:v>
                </c:pt>
                <c:pt idx="831">
                  <c:v>1.7615590724927944E-4</c:v>
                </c:pt>
                <c:pt idx="832">
                  <c:v>1.7612488181093487E-4</c:v>
                </c:pt>
                <c:pt idx="833">
                  <c:v>1.7609386729936909E-4</c:v>
                </c:pt>
                <c:pt idx="834">
                  <c:v>1.7606286370881085E-4</c:v>
                </c:pt>
                <c:pt idx="835">
                  <c:v>1.7603187103349267E-4</c:v>
                </c:pt>
                <c:pt idx="836">
                  <c:v>1.7600088926765129E-4</c:v>
                </c:pt>
                <c:pt idx="837">
                  <c:v>1.7596991840552759E-4</c:v>
                </c:pt>
                <c:pt idx="838">
                  <c:v>1.7593895844136631E-4</c:v>
                </c:pt>
                <c:pt idx="839">
                  <c:v>1.7590800936941633E-4</c:v>
                </c:pt>
                <c:pt idx="840">
                  <c:v>1.7587707118393067E-4</c:v>
                </c:pt>
                <c:pt idx="841">
                  <c:v>1.7584614387916621E-4</c:v>
                </c:pt>
                <c:pt idx="842">
                  <c:v>1.7581522744938396E-4</c:v>
                </c:pt>
                <c:pt idx="843">
                  <c:v>1.7578432188884908E-4</c:v>
                </c:pt>
                <c:pt idx="844">
                  <c:v>1.7575342719183053E-4</c:v>
                </c:pt>
                <c:pt idx="845">
                  <c:v>1.7572254335260142E-4</c:v>
                </c:pt>
                <c:pt idx="846">
                  <c:v>1.7569167036543892E-4</c:v>
                </c:pt>
                <c:pt idx="847">
                  <c:v>1.7566080822462423E-4</c:v>
                </c:pt>
                <c:pt idx="848">
                  <c:v>1.7562995692444239E-4</c:v>
                </c:pt>
                <c:pt idx="849">
                  <c:v>1.7559911645918268E-4</c:v>
                </c:pt>
                <c:pt idx="850">
                  <c:v>1.7556828682313834E-4</c:v>
                </c:pt>
                <c:pt idx="851">
                  <c:v>1.7553746801060642E-4</c:v>
                </c:pt>
                <c:pt idx="852">
                  <c:v>1.7550666001588821E-4</c:v>
                </c:pt>
                <c:pt idx="853">
                  <c:v>1.7547586283328892E-4</c:v>
                </c:pt>
                <c:pt idx="854">
                  <c:v>1.7544507645711775E-4</c:v>
                </c:pt>
                <c:pt idx="855">
                  <c:v>1.754143008816879E-4</c:v>
                </c:pt>
                <c:pt idx="856">
                  <c:v>1.7538353610131654E-4</c:v>
                </c:pt>
                <c:pt idx="857">
                  <c:v>1.7535278211032481E-4</c:v>
                </c:pt>
                <c:pt idx="858">
                  <c:v>1.7532203890303794E-4</c:v>
                </c:pt>
                <c:pt idx="859">
                  <c:v>1.7529130647378496E-4</c:v>
                </c:pt>
                <c:pt idx="860">
                  <c:v>1.7526058481689904E-4</c:v>
                </c:pt>
                <c:pt idx="861">
                  <c:v>1.7522987392671721E-4</c:v>
                </c:pt>
                <c:pt idx="862">
                  <c:v>1.7519917379758059E-4</c:v>
                </c:pt>
                <c:pt idx="863">
                  <c:v>1.751684844238342E-4</c:v>
                </c:pt>
                <c:pt idx="864">
                  <c:v>1.7513780579982689E-4</c:v>
                </c:pt>
                <c:pt idx="865">
                  <c:v>1.7510713791991171E-4</c:v>
                </c:pt>
                <c:pt idx="866">
                  <c:v>1.7507648077844554E-4</c:v>
                </c:pt>
                <c:pt idx="867">
                  <c:v>1.7504583436978914E-4</c:v>
                </c:pt>
                <c:pt idx="868">
                  <c:v>1.7501519868830733E-4</c:v>
                </c:pt>
                <c:pt idx="869">
                  <c:v>1.7498457372836892E-4</c:v>
                </c:pt>
                <c:pt idx="870">
                  <c:v>1.7495395948434643E-4</c:v>
                </c:pt>
                <c:pt idx="871">
                  <c:v>1.7492335595061656E-4</c:v>
                </c:pt>
                <c:pt idx="872">
                  <c:v>1.748927631215599E-4</c:v>
                </c:pt>
                <c:pt idx="873">
                  <c:v>1.7486218099156079E-4</c:v>
                </c:pt>
                <c:pt idx="874">
                  <c:v>1.7483160955500773E-4</c:v>
                </c:pt>
                <c:pt idx="875">
                  <c:v>1.7480104880629305E-4</c:v>
                </c:pt>
                <c:pt idx="876">
                  <c:v>1.7477049873981291E-4</c:v>
                </c:pt>
                <c:pt idx="877">
                  <c:v>1.7473995934996753E-4</c:v>
                </c:pt>
                <c:pt idx="878">
                  <c:v>1.7470943063116099E-4</c:v>
                </c:pt>
                <c:pt idx="879">
                  <c:v>1.7467891257780127E-4</c:v>
                </c:pt>
                <c:pt idx="880">
                  <c:v>1.7464840518430021E-4</c:v>
                </c:pt>
                <c:pt idx="881">
                  <c:v>1.7461790844507365E-4</c:v>
                </c:pt>
                <c:pt idx="882">
                  <c:v>1.7458742235454132E-4</c:v>
                </c:pt>
                <c:pt idx="883">
                  <c:v>1.7455694690712671E-4</c:v>
                </c:pt>
                <c:pt idx="884">
                  <c:v>1.7452648209725737E-4</c:v>
                </c:pt>
                <c:pt idx="885">
                  <c:v>1.7449602791936463E-4</c:v>
                </c:pt>
                <c:pt idx="886">
                  <c:v>1.7446558436788379E-4</c:v>
                </c:pt>
                <c:pt idx="887">
                  <c:v>1.7443515143725401E-4</c:v>
                </c:pt>
                <c:pt idx="888">
                  <c:v>1.7440472912191824E-4</c:v>
                </c:pt>
                <c:pt idx="889">
                  <c:v>1.743743174163234E-4</c:v>
                </c:pt>
                <c:pt idx="890">
                  <c:v>1.7434391631492035E-4</c:v>
                </c:pt>
                <c:pt idx="891">
                  <c:v>1.7431352581216358E-4</c:v>
                </c:pt>
                <c:pt idx="892">
                  <c:v>1.7428314590251166E-4</c:v>
                </c:pt>
                <c:pt idx="893">
                  <c:v>1.7425277658042696E-4</c:v>
                </c:pt>
                <c:pt idx="894">
                  <c:v>1.7422241784037577E-4</c:v>
                </c:pt>
                <c:pt idx="895">
                  <c:v>1.7419206967682802E-4</c:v>
                </c:pt>
                <c:pt idx="896">
                  <c:v>1.7416173208425773E-4</c:v>
                </c:pt>
                <c:pt idx="897">
                  <c:v>1.7413140505714278E-4</c:v>
                </c:pt>
                <c:pt idx="898">
                  <c:v>1.7410108858996459E-4</c:v>
                </c:pt>
                <c:pt idx="899">
                  <c:v>1.7407078267720876E-4</c:v>
                </c:pt>
                <c:pt idx="900">
                  <c:v>1.7404048731336464E-4</c:v>
                </c:pt>
                <c:pt idx="901">
                  <c:v>1.7401020249292526E-4</c:v>
                </c:pt>
                <c:pt idx="902">
                  <c:v>1.7397992821038764E-4</c:v>
                </c:pt>
                <c:pt idx="903">
                  <c:v>1.7394966446025267E-4</c:v>
                </c:pt>
                <c:pt idx="904">
                  <c:v>1.7391941123702485E-4</c:v>
                </c:pt>
                <c:pt idx="905">
                  <c:v>1.7388916853521268E-4</c:v>
                </c:pt>
                <c:pt idx="906">
                  <c:v>1.7385893634932852E-4</c:v>
                </c:pt>
                <c:pt idx="907">
                  <c:v>1.7382871467388832E-4</c:v>
                </c:pt>
                <c:pt idx="908">
                  <c:v>1.7379850350341208E-4</c:v>
                </c:pt>
                <c:pt idx="909">
                  <c:v>1.7376830283242345E-4</c:v>
                </c:pt>
                <c:pt idx="910">
                  <c:v>1.7373811265545001E-4</c:v>
                </c:pt>
                <c:pt idx="911">
                  <c:v>1.7370793296702305E-4</c:v>
                </c:pt>
                <c:pt idx="912">
                  <c:v>1.7367776376167767E-4</c:v>
                </c:pt>
                <c:pt idx="913">
                  <c:v>1.7364760503395279E-4</c:v>
                </c:pt>
                <c:pt idx="914">
                  <c:v>1.7361745677839117E-4</c:v>
                </c:pt>
                <c:pt idx="915">
                  <c:v>1.7358731898953921E-4</c:v>
                </c:pt>
                <c:pt idx="916">
                  <c:v>1.7355719166194724E-4</c:v>
                </c:pt>
                <c:pt idx="917">
                  <c:v>1.7352707479016935E-4</c:v>
                </c:pt>
                <c:pt idx="918">
                  <c:v>1.7349696836876333E-4</c:v>
                </c:pt>
                <c:pt idx="919">
                  <c:v>1.7346687239229089E-4</c:v>
                </c:pt>
                <c:pt idx="920">
                  <c:v>1.7343678685531732E-4</c:v>
                </c:pt>
                <c:pt idx="921">
                  <c:v>1.7340671175241181E-4</c:v>
                </c:pt>
                <c:pt idx="922">
                  <c:v>1.7337664707814735E-4</c:v>
                </c:pt>
                <c:pt idx="923">
                  <c:v>1.7334659282710056E-4</c:v>
                </c:pt>
                <c:pt idx="924">
                  <c:v>1.7331654899385189E-4</c:v>
                </c:pt>
                <c:pt idx="925">
                  <c:v>1.7328651557298565E-4</c:v>
                </c:pt>
                <c:pt idx="926">
                  <c:v>1.732564925590897E-4</c:v>
                </c:pt>
                <c:pt idx="927">
                  <c:v>1.7322647994675572E-4</c:v>
                </c:pt>
                <c:pt idx="928">
                  <c:v>1.7319647773057933E-4</c:v>
                </c:pt>
                <c:pt idx="929">
                  <c:v>1.7316648590515955E-4</c:v>
                </c:pt>
                <c:pt idx="930">
                  <c:v>1.7313650446509942E-4</c:v>
                </c:pt>
                <c:pt idx="931">
                  <c:v>1.7310653340500562E-4</c:v>
                </c:pt>
                <c:pt idx="932">
                  <c:v>1.7307657271948854E-4</c:v>
                </c:pt>
                <c:pt idx="933">
                  <c:v>1.7304662240316229E-4</c:v>
                </c:pt>
                <c:pt idx="934">
                  <c:v>1.7301668245064478E-4</c:v>
                </c:pt>
                <c:pt idx="935">
                  <c:v>1.7298675285655767E-4</c:v>
                </c:pt>
                <c:pt idx="936">
                  <c:v>1.7295683361552615E-4</c:v>
                </c:pt>
                <c:pt idx="937">
                  <c:v>1.7292692472217931E-4</c:v>
                </c:pt>
                <c:pt idx="938">
                  <c:v>1.7289702617114997E-4</c:v>
                </c:pt>
                <c:pt idx="939">
                  <c:v>1.7286713795707444E-4</c:v>
                </c:pt>
                <c:pt idx="940">
                  <c:v>1.72837260074593E-4</c:v>
                </c:pt>
                <c:pt idx="941">
                  <c:v>1.7280739251834948E-4</c:v>
                </c:pt>
                <c:pt idx="942">
                  <c:v>1.7277753528299148E-4</c:v>
                </c:pt>
                <c:pt idx="943">
                  <c:v>1.7274768836317026E-4</c:v>
                </c:pt>
                <c:pt idx="944">
                  <c:v>1.7271785175354079E-4</c:v>
                </c:pt>
                <c:pt idx="945">
                  <c:v>1.7268802544876169E-4</c:v>
                </c:pt>
                <c:pt idx="946">
                  <c:v>1.7265820944349541E-4</c:v>
                </c:pt>
                <c:pt idx="947">
                  <c:v>1.7262840373240786E-4</c:v>
                </c:pt>
                <c:pt idx="948">
                  <c:v>1.7259860831016883E-4</c:v>
                </c:pt>
                <c:pt idx="949">
                  <c:v>1.7256882317145169E-4</c:v>
                </c:pt>
                <c:pt idx="950">
                  <c:v>1.7253904831093355E-4</c:v>
                </c:pt>
                <c:pt idx="951">
                  <c:v>1.7250928372329515E-4</c:v>
                </c:pt>
                <c:pt idx="952">
                  <c:v>1.7247952940322085E-4</c:v>
                </c:pt>
                <c:pt idx="953">
                  <c:v>1.7244978534539879E-4</c:v>
                </c:pt>
                <c:pt idx="954">
                  <c:v>1.7242005154452072E-4</c:v>
                </c:pt>
                <c:pt idx="955">
                  <c:v>1.7239032799528197E-4</c:v>
                </c:pt>
                <c:pt idx="956">
                  <c:v>1.7236061469238167E-4</c:v>
                </c:pt>
                <c:pt idx="957">
                  <c:v>1.7233091163052259E-4</c:v>
                </c:pt>
                <c:pt idx="958">
                  <c:v>1.7230121880441093E-4</c:v>
                </c:pt>
                <c:pt idx="959">
                  <c:v>1.7227153620875686E-4</c:v>
                </c:pt>
                <c:pt idx="960">
                  <c:v>1.72241863838274E-4</c:v>
                </c:pt>
                <c:pt idx="961">
                  <c:v>1.7221220168767959E-4</c:v>
                </c:pt>
                <c:pt idx="962">
                  <c:v>1.7218254975169466E-4</c:v>
                </c:pt>
                <c:pt idx="963">
                  <c:v>1.7215290802504376E-4</c:v>
                </c:pt>
                <c:pt idx="964">
                  <c:v>1.7212327650245504E-4</c:v>
                </c:pt>
                <c:pt idx="965">
                  <c:v>1.7209365517866041E-4</c:v>
                </c:pt>
                <c:pt idx="966">
                  <c:v>1.7206404404839529E-4</c:v>
                </c:pt>
                <c:pt idx="967">
                  <c:v>1.720344431063988E-4</c:v>
                </c:pt>
                <c:pt idx="968">
                  <c:v>1.7200485234741361E-4</c:v>
                </c:pt>
                <c:pt idx="969">
                  <c:v>1.7197527176618605E-4</c:v>
                </c:pt>
                <c:pt idx="970">
                  <c:v>1.7194570135746609E-4</c:v>
                </c:pt>
                <c:pt idx="971">
                  <c:v>1.7191614111600721E-4</c:v>
                </c:pt>
                <c:pt idx="972">
                  <c:v>1.7188659103656661E-4</c:v>
                </c:pt>
                <c:pt idx="973">
                  <c:v>1.7185705111390505E-4</c:v>
                </c:pt>
                <c:pt idx="974">
                  <c:v>1.7182752134278686E-4</c:v>
                </c:pt>
                <c:pt idx="975">
                  <c:v>1.7179800171798003E-4</c:v>
                </c:pt>
                <c:pt idx="976">
                  <c:v>1.7176849223425605E-4</c:v>
                </c:pt>
                <c:pt idx="977">
                  <c:v>1.7173899288639013E-4</c:v>
                </c:pt>
                <c:pt idx="978">
                  <c:v>1.7170950366916099E-4</c:v>
                </c:pt>
                <c:pt idx="979">
                  <c:v>1.7168002457735088E-4</c:v>
                </c:pt>
                <c:pt idx="980">
                  <c:v>1.7165055560574576E-4</c:v>
                </c:pt>
                <c:pt idx="981">
                  <c:v>1.7162109674913507E-4</c:v>
                </c:pt>
                <c:pt idx="982">
                  <c:v>1.7159164800231198E-4</c:v>
                </c:pt>
                <c:pt idx="983">
                  <c:v>1.7156220936007295E-4</c:v>
                </c:pt>
                <c:pt idx="984">
                  <c:v>1.7153278081721824E-4</c:v>
                </c:pt>
                <c:pt idx="985">
                  <c:v>1.7150336236855171E-4</c:v>
                </c:pt>
                <c:pt idx="986">
                  <c:v>1.7147395400888055E-4</c:v>
                </c:pt>
                <c:pt idx="987">
                  <c:v>1.7144455573301568E-4</c:v>
                </c:pt>
                <c:pt idx="988">
                  <c:v>1.7141516753577164E-4</c:v>
                </c:pt>
                <c:pt idx="989">
                  <c:v>1.7138578941196632E-4</c:v>
                </c:pt>
                <c:pt idx="990">
                  <c:v>1.7135642135642133E-4</c:v>
                </c:pt>
                <c:pt idx="991">
                  <c:v>1.7132706336396182E-4</c:v>
                </c:pt>
                <c:pt idx="992">
                  <c:v>1.7129771542941631E-4</c:v>
                </c:pt>
                <c:pt idx="993">
                  <c:v>1.7126837754761709E-4</c:v>
                </c:pt>
                <c:pt idx="994">
                  <c:v>1.7123904971339991E-4</c:v>
                </c:pt>
                <c:pt idx="995">
                  <c:v>1.7120973192160397E-4</c:v>
                </c:pt>
                <c:pt idx="996">
                  <c:v>1.7118042416707207E-4</c:v>
                </c:pt>
                <c:pt idx="997">
                  <c:v>1.711511264446506E-4</c:v>
                </c:pt>
                <c:pt idx="998">
                  <c:v>1.7112183874918937E-4</c:v>
                </c:pt>
                <c:pt idx="999">
                  <c:v>1.7109256107554184E-4</c:v>
                </c:pt>
                <c:pt idx="1000">
                  <c:v>1.7106329341856483E-4</c:v>
                </c:pt>
                <c:pt idx="1001">
                  <c:v>1.7103403577311879E-4</c:v>
                </c:pt>
                <c:pt idx="1002">
                  <c:v>1.7100478813406771E-4</c:v>
                </c:pt>
                <c:pt idx="1003">
                  <c:v>1.7097555049627898E-4</c:v>
                </c:pt>
                <c:pt idx="1004">
                  <c:v>1.709463228546236E-4</c:v>
                </c:pt>
                <c:pt idx="1005">
                  <c:v>1.7091710520397601E-4</c:v>
                </c:pt>
                <c:pt idx="1006">
                  <c:v>1.7088789753921419E-4</c:v>
                </c:pt>
                <c:pt idx="1007">
                  <c:v>1.708586998552197E-4</c:v>
                </c:pt>
                <c:pt idx="1008">
                  <c:v>1.7082951214687737E-4</c:v>
                </c:pt>
                <c:pt idx="1009">
                  <c:v>1.7080033440907571E-4</c:v>
                </c:pt>
                <c:pt idx="1010">
                  <c:v>1.7077116663670677E-4</c:v>
                </c:pt>
                <c:pt idx="1011">
                  <c:v>1.7074200882466586E-4</c:v>
                </c:pt>
                <c:pt idx="1012">
                  <c:v>1.70712860967852E-4</c:v>
                </c:pt>
                <c:pt idx="1013">
                  <c:v>1.7068372306116756E-4</c:v>
                </c:pt>
                <c:pt idx="1014">
                  <c:v>1.7065459509951853E-4</c:v>
                </c:pt>
                <c:pt idx="1015">
                  <c:v>1.7062547707781412E-4</c:v>
                </c:pt>
                <c:pt idx="1016">
                  <c:v>1.7059636899096728E-4</c:v>
                </c:pt>
                <c:pt idx="1017">
                  <c:v>1.7056727083389434E-4</c:v>
                </c:pt>
                <c:pt idx="1018">
                  <c:v>1.7053818260151502E-4</c:v>
                </c:pt>
                <c:pt idx="1019">
                  <c:v>1.7050910428875258E-4</c:v>
                </c:pt>
                <c:pt idx="1020">
                  <c:v>1.7048003589053383E-4</c:v>
                </c:pt>
                <c:pt idx="1021">
                  <c:v>1.7045097740178876E-4</c:v>
                </c:pt>
                <c:pt idx="1022">
                  <c:v>1.7042192881745112E-4</c:v>
                </c:pt>
                <c:pt idx="1023">
                  <c:v>1.7039289013245801E-4</c:v>
                </c:pt>
                <c:pt idx="1024">
                  <c:v>1.7036386134174983E-4</c:v>
                </c:pt>
                <c:pt idx="1025">
                  <c:v>1.7033484244027066E-4</c:v>
                </c:pt>
                <c:pt idx="1026">
                  <c:v>1.7030583342296792E-4</c:v>
                </c:pt>
                <c:pt idx="1027">
                  <c:v>1.7027683428479239E-4</c:v>
                </c:pt>
                <c:pt idx="1028">
                  <c:v>1.7024784502069846E-4</c:v>
                </c:pt>
                <c:pt idx="1029">
                  <c:v>1.7021886562564381E-4</c:v>
                </c:pt>
                <c:pt idx="1030">
                  <c:v>1.7018989609458965E-4</c:v>
                </c:pt>
                <c:pt idx="1031">
                  <c:v>1.7016093642250056E-4</c:v>
                </c:pt>
                <c:pt idx="1032">
                  <c:v>1.7013198660434454E-4</c:v>
                </c:pt>
                <c:pt idx="1033">
                  <c:v>1.7010304663509304E-4</c:v>
                </c:pt>
                <c:pt idx="1034">
                  <c:v>1.7007411650972099E-4</c:v>
                </c:pt>
                <c:pt idx="1035">
                  <c:v>1.7004519622320659E-4</c:v>
                </c:pt>
                <c:pt idx="1036">
                  <c:v>1.7001628577053161E-4</c:v>
                </c:pt>
                <c:pt idx="1037">
                  <c:v>1.6998738514668112E-4</c:v>
                </c:pt>
                <c:pt idx="1038">
                  <c:v>1.6995849434664362E-4</c:v>
                </c:pt>
                <c:pt idx="1039">
                  <c:v>1.6992961336541117E-4</c:v>
                </c:pt>
                <c:pt idx="1040">
                  <c:v>1.6990074219797898E-4</c:v>
                </c:pt>
                <c:pt idx="1041">
                  <c:v>1.6987188083934576E-4</c:v>
                </c:pt>
                <c:pt idx="1042">
                  <c:v>1.6984302928451379E-4</c:v>
                </c:pt>
                <c:pt idx="1043">
                  <c:v>1.6981418752848846E-4</c:v>
                </c:pt>
                <c:pt idx="1044">
                  <c:v>1.6978535556627869E-4</c:v>
                </c:pt>
                <c:pt idx="1045">
                  <c:v>1.6975653339289693E-4</c:v>
                </c:pt>
                <c:pt idx="1046">
                  <c:v>1.6972772100335871E-4</c:v>
                </c:pt>
                <c:pt idx="1047">
                  <c:v>1.6969891839268316E-4</c:v>
                </c:pt>
                <c:pt idx="1048">
                  <c:v>1.696701255558928E-4</c:v>
                </c:pt>
                <c:pt idx="1049">
                  <c:v>1.696413424880134E-4</c:v>
                </c:pt>
                <c:pt idx="1050">
                  <c:v>1.6961256918407414E-4</c:v>
                </c:pt>
                <c:pt idx="1051">
                  <c:v>1.6958380563910771E-4</c:v>
                </c:pt>
                <c:pt idx="1052">
                  <c:v>1.6955505184814996E-4</c:v>
                </c:pt>
                <c:pt idx="1053">
                  <c:v>1.6952630780624022E-4</c:v>
                </c:pt>
                <c:pt idx="1054">
                  <c:v>1.6949757350842121E-4</c:v>
                </c:pt>
                <c:pt idx="1055">
                  <c:v>1.69468848949739E-4</c:v>
                </c:pt>
                <c:pt idx="1056">
                  <c:v>1.6944013412524287E-4</c:v>
                </c:pt>
                <c:pt idx="1057">
                  <c:v>1.6941142902998567E-4</c:v>
                </c:pt>
                <c:pt idx="1058">
                  <c:v>1.6938273365902352E-4</c:v>
                </c:pt>
                <c:pt idx="1059">
                  <c:v>1.6935404800741578E-4</c:v>
                </c:pt>
                <c:pt idx="1060">
                  <c:v>1.6932537207022533E-4</c:v>
                </c:pt>
                <c:pt idx="1061">
                  <c:v>1.6929670584251826E-4</c:v>
                </c:pt>
                <c:pt idx="1062">
                  <c:v>1.6926804931936411E-4</c:v>
                </c:pt>
                <c:pt idx="1063">
                  <c:v>1.6923940249583566E-4</c:v>
                </c:pt>
                <c:pt idx="1064">
                  <c:v>1.692107653670091E-4</c:v>
                </c:pt>
                <c:pt idx="1065">
                  <c:v>1.6918213792796387E-4</c:v>
                </c:pt>
                <c:pt idx="1066">
                  <c:v>1.6915352017378283E-4</c:v>
                </c:pt>
                <c:pt idx="1067">
                  <c:v>1.691249120995521E-4</c:v>
                </c:pt>
                <c:pt idx="1068">
                  <c:v>1.6909631370036116E-4</c:v>
                </c:pt>
                <c:pt idx="1069">
                  <c:v>1.6906772497130278E-4</c:v>
                </c:pt>
                <c:pt idx="1070">
                  <c:v>1.6903914590747315E-4</c:v>
                </c:pt>
                <c:pt idx="1071">
                  <c:v>1.6901057650397158E-4</c:v>
                </c:pt>
                <c:pt idx="1072">
                  <c:v>1.6898201675590084E-4</c:v>
                </c:pt>
                <c:pt idx="1073">
                  <c:v>1.6895346665836704E-4</c:v>
                </c:pt>
                <c:pt idx="1074">
                  <c:v>1.6892492620647944E-4</c:v>
                </c:pt>
                <c:pt idx="1075">
                  <c:v>1.6889639539535071E-4</c:v>
                </c:pt>
                <c:pt idx="1076">
                  <c:v>1.688678742200969E-4</c:v>
                </c:pt>
                <c:pt idx="1077">
                  <c:v>1.6883936267583714E-4</c:v>
                </c:pt>
                <c:pt idx="1078">
                  <c:v>1.6881086075769402E-4</c:v>
                </c:pt>
                <c:pt idx="1079">
                  <c:v>1.6878236846079348E-4</c:v>
                </c:pt>
                <c:pt idx="1080">
                  <c:v>1.6875388578026451E-4</c:v>
                </c:pt>
                <c:pt idx="1081">
                  <c:v>1.6872541271123958E-4</c:v>
                </c:pt>
                <c:pt idx="1082">
                  <c:v>1.6869694924885449E-4</c:v>
                </c:pt>
                <c:pt idx="1083">
                  <c:v>1.6866849538824807E-4</c:v>
                </c:pt>
                <c:pt idx="1084">
                  <c:v>1.6864005112456268E-4</c:v>
                </c:pt>
                <c:pt idx="1085">
                  <c:v>1.6861161645294386E-4</c:v>
                </c:pt>
                <c:pt idx="1086">
                  <c:v>1.6858319136854041E-4</c:v>
                </c:pt>
                <c:pt idx="1087">
                  <c:v>1.6855477586650444E-4</c:v>
                </c:pt>
                <c:pt idx="1088">
                  <c:v>1.6852636994199124E-4</c:v>
                </c:pt>
                <c:pt idx="1089">
                  <c:v>1.6849797359015951E-4</c:v>
                </c:pt>
                <c:pt idx="1090">
                  <c:v>1.6846958680617112E-4</c:v>
                </c:pt>
                <c:pt idx="1091">
                  <c:v>1.6844120958519116E-4</c:v>
                </c:pt>
                <c:pt idx="1092">
                  <c:v>1.6841284192238806E-4</c:v>
                </c:pt>
                <c:pt idx="1093">
                  <c:v>1.683844838129335E-4</c:v>
                </c:pt>
                <c:pt idx="1094">
                  <c:v>1.6835613525200232E-4</c:v>
                </c:pt>
                <c:pt idx="1095">
                  <c:v>1.6832779623477277E-4</c:v>
                </c:pt>
                <c:pt idx="1096">
                  <c:v>1.6829946675642616E-4</c:v>
                </c:pt>
                <c:pt idx="1097">
                  <c:v>1.6827114681214716E-4</c:v>
                </c:pt>
                <c:pt idx="1098">
                  <c:v>1.6824283639712374E-4</c:v>
                </c:pt>
                <c:pt idx="1099">
                  <c:v>1.6821453550654687E-4</c:v>
                </c:pt>
                <c:pt idx="1100">
                  <c:v>1.68186244135611E-4</c:v>
                </c:pt>
                <c:pt idx="1101">
                  <c:v>1.6815796227951369E-4</c:v>
                </c:pt>
                <c:pt idx="1102">
                  <c:v>1.6812968993345584E-4</c:v>
                </c:pt>
                <c:pt idx="1103">
                  <c:v>1.6810142709264135E-4</c:v>
                </c:pt>
                <c:pt idx="1104">
                  <c:v>1.680731737522776E-4</c:v>
                </c:pt>
                <c:pt idx="1105">
                  <c:v>1.6804492990757507E-4</c:v>
                </c:pt>
                <c:pt idx="1106">
                  <c:v>1.6801669555374741E-4</c:v>
                </c:pt>
                <c:pt idx="1107">
                  <c:v>1.6798847068601162E-4</c:v>
                </c:pt>
                <c:pt idx="1108">
                  <c:v>1.6796025529958785E-4</c:v>
                </c:pt>
                <c:pt idx="1109">
                  <c:v>1.6793204938969934E-4</c:v>
                </c:pt>
                <c:pt idx="1110">
                  <c:v>1.6790385295157274E-4</c:v>
                </c:pt>
                <c:pt idx="1111">
                  <c:v>1.6787566598043784E-4</c:v>
                </c:pt>
                <c:pt idx="1112">
                  <c:v>1.6784748847152752E-4</c:v>
                </c:pt>
                <c:pt idx="1113">
                  <c:v>1.6781932042007802E-4</c:v>
                </c:pt>
                <c:pt idx="1114">
                  <c:v>1.677911618213287E-4</c:v>
                </c:pt>
                <c:pt idx="1115">
                  <c:v>1.6776301267052205E-4</c:v>
                </c:pt>
                <c:pt idx="1116">
                  <c:v>1.6773487296290387E-4</c:v>
                </c:pt>
                <c:pt idx="1117">
                  <c:v>1.6770674269372311E-4</c:v>
                </c:pt>
                <c:pt idx="1118">
                  <c:v>1.6767862185823189E-4</c:v>
                </c:pt>
                <c:pt idx="1119">
                  <c:v>1.6765051045168551E-4</c:v>
                </c:pt>
                <c:pt idx="1120">
                  <c:v>1.676224084693425E-4</c:v>
                </c:pt>
                <c:pt idx="1121">
                  <c:v>1.6759431590646448E-4</c:v>
                </c:pt>
                <c:pt idx="1122">
                  <c:v>1.6756623275831632E-4</c:v>
                </c:pt>
                <c:pt idx="1123">
                  <c:v>1.6753815902016605E-4</c:v>
                </c:pt>
                <c:pt idx="1124">
                  <c:v>1.6751009468728484E-4</c:v>
                </c:pt>
                <c:pt idx="1125">
                  <c:v>1.6748203975494708E-4</c:v>
                </c:pt>
                <c:pt idx="1126">
                  <c:v>1.6745399421843021E-4</c:v>
                </c:pt>
                <c:pt idx="1127">
                  <c:v>1.6742595807301509E-4</c:v>
                </c:pt>
                <c:pt idx="1128">
                  <c:v>1.6739793131398539E-4</c:v>
                </c:pt>
                <c:pt idx="1129">
                  <c:v>1.6736991393662818E-4</c:v>
                </c:pt>
                <c:pt idx="1130">
                  <c:v>1.6734190593623366E-4</c:v>
                </c:pt>
                <c:pt idx="1131">
                  <c:v>1.673139073080951E-4</c:v>
                </c:pt>
                <c:pt idx="1132">
                  <c:v>1.672859180475089E-4</c:v>
                </c:pt>
                <c:pt idx="1133">
                  <c:v>1.6725793814977483E-4</c:v>
                </c:pt>
                <c:pt idx="1134">
                  <c:v>1.6722996761019549E-4</c:v>
                </c:pt>
                <c:pt idx="1135">
                  <c:v>1.672020064240768E-4</c:v>
                </c:pt>
                <c:pt idx="1136">
                  <c:v>1.6717405458672787E-4</c:v>
                </c:pt>
                <c:pt idx="1137">
                  <c:v>1.671461120934608E-4</c:v>
                </c:pt>
                <c:pt idx="1138">
                  <c:v>1.6711817893959088E-4</c:v>
                </c:pt>
                <c:pt idx="1139">
                  <c:v>1.6709025512043663E-4</c:v>
                </c:pt>
                <c:pt idx="1140">
                  <c:v>1.6706234063131953E-4</c:v>
                </c:pt>
                <c:pt idx="1141">
                  <c:v>1.6703443546756426E-4</c:v>
                </c:pt>
                <c:pt idx="1142">
                  <c:v>1.6700653962449868E-4</c:v>
                </c:pt>
                <c:pt idx="1143">
                  <c:v>1.6697865309745375E-4</c:v>
                </c:pt>
                <c:pt idx="1144">
                  <c:v>1.6695077588176342E-4</c:v>
                </c:pt>
                <c:pt idx="1145">
                  <c:v>1.6692290797276491E-4</c:v>
                </c:pt>
                <c:pt idx="1146">
                  <c:v>1.6689504936579855E-4</c:v>
                </c:pt>
                <c:pt idx="1147">
                  <c:v>1.6686720005620762E-4</c:v>
                </c:pt>
                <c:pt idx="1148">
                  <c:v>1.6683936003933868E-4</c:v>
                </c:pt>
                <c:pt idx="1149">
                  <c:v>1.6681152931054131E-4</c:v>
                </c:pt>
                <c:pt idx="1150">
                  <c:v>1.6678370786516822E-4</c:v>
                </c:pt>
                <c:pt idx="1151">
                  <c:v>1.6675589569857524E-4</c:v>
                </c:pt>
                <c:pt idx="1152">
                  <c:v>1.6672809280612126E-4</c:v>
                </c:pt>
                <c:pt idx="1153">
                  <c:v>1.6670029918316822E-4</c:v>
                </c:pt>
                <c:pt idx="1154">
                  <c:v>1.6667251482508128E-4</c:v>
                </c:pt>
                <c:pt idx="1155">
                  <c:v>1.6664473972722858E-4</c:v>
                </c:pt>
                <c:pt idx="1156">
                  <c:v>1.6661697388498136E-4</c:v>
                </c:pt>
                <c:pt idx="1157">
                  <c:v>1.66589217293714E-4</c:v>
                </c:pt>
                <c:pt idx="1158">
                  <c:v>1.6656146994880393E-4</c:v>
                </c:pt>
                <c:pt idx="1159">
                  <c:v>1.6653373184563169E-4</c:v>
                </c:pt>
                <c:pt idx="1160">
                  <c:v>1.6650600297958077E-4</c:v>
                </c:pt>
                <c:pt idx="1161">
                  <c:v>1.6647828334603792E-4</c:v>
                </c:pt>
                <c:pt idx="1162">
                  <c:v>1.6645057294039286E-4</c:v>
                </c:pt>
                <c:pt idx="1163">
                  <c:v>1.6642287175803832E-4</c:v>
                </c:pt>
                <c:pt idx="1164">
                  <c:v>1.6639517979437024E-4</c:v>
                </c:pt>
                <c:pt idx="1165">
                  <c:v>1.6636749704478757E-4</c:v>
                </c:pt>
                <c:pt idx="1166">
                  <c:v>1.6633982350469219E-4</c:v>
                </c:pt>
                <c:pt idx="1167">
                  <c:v>1.6631215916948925E-4</c:v>
                </c:pt>
                <c:pt idx="1168">
                  <c:v>1.6628450403458688E-4</c:v>
                </c:pt>
                <c:pt idx="1169">
                  <c:v>1.6625685809539611E-4</c:v>
                </c:pt>
                <c:pt idx="1170">
                  <c:v>1.6622922134733125E-4</c:v>
                </c:pt>
                <c:pt idx="1171">
                  <c:v>1.6620159378580957E-4</c:v>
                </c:pt>
                <c:pt idx="1172">
                  <c:v>1.661739754062513E-4</c:v>
                </c:pt>
                <c:pt idx="1173">
                  <c:v>1.6614636620407986E-4</c:v>
                </c:pt>
                <c:pt idx="1174">
                  <c:v>1.6611876617472163E-4</c:v>
                </c:pt>
                <c:pt idx="1175">
                  <c:v>1.6609117531360602E-4</c:v>
                </c:pt>
                <c:pt idx="1176">
                  <c:v>1.6606359361616551E-4</c:v>
                </c:pt>
                <c:pt idx="1177">
                  <c:v>1.660360210778356E-4</c:v>
                </c:pt>
                <c:pt idx="1178">
                  <c:v>1.6600845769405482E-4</c:v>
                </c:pt>
                <c:pt idx="1179">
                  <c:v>1.659809034602647E-4</c:v>
                </c:pt>
                <c:pt idx="1180">
                  <c:v>1.6595335837190985E-4</c:v>
                </c:pt>
                <c:pt idx="1181">
                  <c:v>1.6592582242443789E-4</c:v>
                </c:pt>
                <c:pt idx="1182">
                  <c:v>1.6589829561329945E-4</c:v>
                </c:pt>
                <c:pt idx="1183">
                  <c:v>1.6587077793394817E-4</c:v>
                </c:pt>
                <c:pt idx="1184">
                  <c:v>1.6584326938184069E-4</c:v>
                </c:pt>
                <c:pt idx="1185">
                  <c:v>1.658157699524367E-4</c:v>
                </c:pt>
                <c:pt idx="1186">
                  <c:v>1.6578827964119892E-4</c:v>
                </c:pt>
                <c:pt idx="1187">
                  <c:v>1.6576079844359299E-4</c:v>
                </c:pt>
                <c:pt idx="1188">
                  <c:v>1.6573332635508764E-4</c:v>
                </c:pt>
                <c:pt idx="1189">
                  <c:v>1.6570586337115458E-4</c:v>
                </c:pt>
                <c:pt idx="1190">
                  <c:v>1.6567840948726858E-4</c:v>
                </c:pt>
                <c:pt idx="1191">
                  <c:v>1.6565096469890723E-4</c:v>
                </c:pt>
                <c:pt idx="1192">
                  <c:v>1.6562352900155125E-4</c:v>
                </c:pt>
                <c:pt idx="1193">
                  <c:v>1.6559610239068442E-4</c:v>
                </c:pt>
                <c:pt idx="1194">
                  <c:v>1.6556868486179336E-4</c:v>
                </c:pt>
                <c:pt idx="1195">
                  <c:v>1.6554127641036772E-4</c:v>
                </c:pt>
                <c:pt idx="1196">
                  <c:v>1.6551387703190026E-4</c:v>
                </c:pt>
                <c:pt idx="1197">
                  <c:v>1.6548648672188654E-4</c:v>
                </c:pt>
                <c:pt idx="1198">
                  <c:v>1.6545910547582517E-4</c:v>
                </c:pt>
                <c:pt idx="1199">
                  <c:v>1.6543173328921785E-4</c:v>
                </c:pt>
                <c:pt idx="1200">
                  <c:v>1.6540437015756906E-4</c:v>
                </c:pt>
                <c:pt idx="1201">
                  <c:v>1.653770160763864E-4</c:v>
                </c:pt>
                <c:pt idx="1202">
                  <c:v>1.653496710411804E-4</c:v>
                </c:pt>
                <c:pt idx="1203">
                  <c:v>1.6532233504746455E-4</c:v>
                </c:pt>
                <c:pt idx="1204">
                  <c:v>1.6529500809075526E-4</c:v>
                </c:pt>
                <c:pt idx="1205">
                  <c:v>1.6526769016657203E-4</c:v>
                </c:pt>
                <c:pt idx="1206">
                  <c:v>1.6524038127043722E-4</c:v>
                </c:pt>
                <c:pt idx="1207">
                  <c:v>1.652130813978762E-4</c:v>
                </c:pt>
                <c:pt idx="1208">
                  <c:v>1.6518579054441719E-4</c:v>
                </c:pt>
                <c:pt idx="1209">
                  <c:v>1.6515850870559151E-4</c:v>
                </c:pt>
                <c:pt idx="1210">
                  <c:v>1.6513123587693338E-4</c:v>
                </c:pt>
                <c:pt idx="1211">
                  <c:v>1.6510397205397992E-4</c:v>
                </c:pt>
                <c:pt idx="1212">
                  <c:v>1.6507671723227122E-4</c:v>
                </c:pt>
                <c:pt idx="1213">
                  <c:v>1.6504947140735037E-4</c:v>
                </c:pt>
                <c:pt idx="1214">
                  <c:v>1.6502223457476333E-4</c:v>
                </c:pt>
                <c:pt idx="1215">
                  <c:v>1.6499500673005908E-4</c:v>
                </c:pt>
                <c:pt idx="1216">
                  <c:v>1.6496778786878944E-4</c:v>
                </c:pt>
                <c:pt idx="1217">
                  <c:v>1.6494057798650916E-4</c:v>
                </c:pt>
                <c:pt idx="1218">
                  <c:v>1.6491337707877612E-4</c:v>
                </c:pt>
                <c:pt idx="1219">
                  <c:v>1.6488618514115086E-4</c:v>
                </c:pt>
                <c:pt idx="1220">
                  <c:v>1.6485900216919695E-4</c:v>
                </c:pt>
                <c:pt idx="1221">
                  <c:v>1.6483182815848102E-4</c:v>
                </c:pt>
                <c:pt idx="1222">
                  <c:v>1.648046631045725E-4</c:v>
                </c:pt>
                <c:pt idx="1223">
                  <c:v>1.6477750700304362E-4</c:v>
                </c:pt>
                <c:pt idx="1224">
                  <c:v>1.6475035984946977E-4</c:v>
                </c:pt>
                <c:pt idx="1225">
                  <c:v>1.6472322163942914E-4</c:v>
                </c:pt>
                <c:pt idx="1226">
                  <c:v>1.6469609236850275E-4</c:v>
                </c:pt>
                <c:pt idx="1227">
                  <c:v>1.6466897203227469E-4</c:v>
                </c:pt>
                <c:pt idx="1228">
                  <c:v>1.646418606263319E-4</c:v>
                </c:pt>
                <c:pt idx="1229">
                  <c:v>1.646147581462641E-4</c:v>
                </c:pt>
                <c:pt idx="1230">
                  <c:v>1.6458766458766415E-4</c:v>
                </c:pt>
                <c:pt idx="1231">
                  <c:v>1.6456057994612767E-4</c:v>
                </c:pt>
                <c:pt idx="1232">
                  <c:v>1.6453350421725307E-4</c:v>
                </c:pt>
                <c:pt idx="1233">
                  <c:v>1.6450643739664191E-4</c:v>
                </c:pt>
                <c:pt idx="1234">
                  <c:v>1.644793794798985E-4</c:v>
                </c:pt>
                <c:pt idx="1235">
                  <c:v>1.6445233046262993E-4</c:v>
                </c:pt>
                <c:pt idx="1236">
                  <c:v>1.6442529034044645E-4</c:v>
                </c:pt>
                <c:pt idx="1237">
                  <c:v>1.6439825910896099E-4</c:v>
                </c:pt>
                <c:pt idx="1238">
                  <c:v>1.6437123676378944E-4</c:v>
                </c:pt>
                <c:pt idx="1239">
                  <c:v>1.6434422330055055E-4</c:v>
                </c:pt>
                <c:pt idx="1240">
                  <c:v>1.6431721871486594E-4</c:v>
                </c:pt>
                <c:pt idx="1241">
                  <c:v>1.6429022300236014E-4</c:v>
                </c:pt>
                <c:pt idx="1242">
                  <c:v>1.6426323615866055E-4</c:v>
                </c:pt>
                <c:pt idx="1243">
                  <c:v>1.6423625817939741E-4</c:v>
                </c:pt>
                <c:pt idx="1244">
                  <c:v>1.6420928906020387E-4</c:v>
                </c:pt>
                <c:pt idx="1245">
                  <c:v>1.641823287967159E-4</c:v>
                </c:pt>
                <c:pt idx="1246">
                  <c:v>1.6415537738457238E-4</c:v>
                </c:pt>
                <c:pt idx="1247">
                  <c:v>1.6412843481941508E-4</c:v>
                </c:pt>
                <c:pt idx="1248">
                  <c:v>1.6410150109688853E-4</c:v>
                </c:pt>
                <c:pt idx="1249">
                  <c:v>1.6407457621264016E-4</c:v>
                </c:pt>
                <c:pt idx="1250">
                  <c:v>1.6404766016232038E-4</c:v>
                </c:pt>
                <c:pt idx="1251">
                  <c:v>1.6402075294158226E-4</c:v>
                </c:pt>
                <c:pt idx="1252">
                  <c:v>1.6399385454608179E-4</c:v>
                </c:pt>
                <c:pt idx="1253">
                  <c:v>1.6396696497147792E-4</c:v>
                </c:pt>
                <c:pt idx="1254">
                  <c:v>1.6394008421343227E-4</c:v>
                </c:pt>
                <c:pt idx="1255">
                  <c:v>1.639132122676094E-4</c:v>
                </c:pt>
                <c:pt idx="1256">
                  <c:v>1.6388634912967677E-4</c:v>
                </c:pt>
                <c:pt idx="1257">
                  <c:v>1.6385949479530453E-4</c:v>
                </c:pt>
                <c:pt idx="1258">
                  <c:v>1.6383264926016577E-4</c:v>
                </c:pt>
                <c:pt idx="1259">
                  <c:v>1.6380581251993645E-4</c:v>
                </c:pt>
                <c:pt idx="1260">
                  <c:v>1.6377898457029522E-4</c:v>
                </c:pt>
                <c:pt idx="1261">
                  <c:v>1.6375216540692365E-4</c:v>
                </c:pt>
                <c:pt idx="1262">
                  <c:v>1.6372535502550621E-4</c:v>
                </c:pt>
                <c:pt idx="1263">
                  <c:v>1.6369855342173009E-4</c:v>
                </c:pt>
                <c:pt idx="1264">
                  <c:v>1.6367176059128529E-4</c:v>
                </c:pt>
                <c:pt idx="1265">
                  <c:v>1.6364497652986471E-4</c:v>
                </c:pt>
                <c:pt idx="1266">
                  <c:v>1.6361820123316409E-4</c:v>
                </c:pt>
                <c:pt idx="1267">
                  <c:v>1.635914346968818E-4</c:v>
                </c:pt>
                <c:pt idx="1268">
                  <c:v>1.6356467691671926E-4</c:v>
                </c:pt>
                <c:pt idx="1269">
                  <c:v>1.6353792788838055E-4</c:v>
                </c:pt>
                <c:pt idx="1270">
                  <c:v>1.6351118760757265E-4</c:v>
                </c:pt>
                <c:pt idx="1271">
                  <c:v>1.6348445607000528E-4</c:v>
                </c:pt>
                <c:pt idx="1272">
                  <c:v>1.6345773327139097E-4</c:v>
                </c:pt>
                <c:pt idx="1273">
                  <c:v>1.6343101920744508E-4</c:v>
                </c:pt>
                <c:pt idx="1274">
                  <c:v>1.6340431387388578E-4</c:v>
                </c:pt>
                <c:pt idx="1275">
                  <c:v>1.6337761726643402E-4</c:v>
                </c:pt>
                <c:pt idx="1276">
                  <c:v>1.6335092938081351E-4</c:v>
                </c:pt>
                <c:pt idx="1277">
                  <c:v>1.6332425021275081E-4</c:v>
                </c:pt>
                <c:pt idx="1278">
                  <c:v>1.6329757975797532E-4</c:v>
                </c:pt>
                <c:pt idx="1279">
                  <c:v>1.6327091801221903E-4</c:v>
                </c:pt>
                <c:pt idx="1280">
                  <c:v>1.6324426497121692E-4</c:v>
                </c:pt>
                <c:pt idx="1281">
                  <c:v>1.6321762063070675E-4</c:v>
                </c:pt>
                <c:pt idx="1282">
                  <c:v>1.6319098498642889E-4</c:v>
                </c:pt>
                <c:pt idx="1283">
                  <c:v>1.6316435803412658E-4</c:v>
                </c:pt>
                <c:pt idx="1284">
                  <c:v>1.6313773976954599E-4</c:v>
                </c:pt>
                <c:pt idx="1285">
                  <c:v>1.6311113018843579E-4</c:v>
                </c:pt>
                <c:pt idx="1286">
                  <c:v>1.6308452928654759E-4</c:v>
                </c:pt>
                <c:pt idx="1287">
                  <c:v>1.6305793705963581E-4</c:v>
                </c:pt>
                <c:pt idx="1288">
                  <c:v>1.630313535034575E-4</c:v>
                </c:pt>
                <c:pt idx="1289">
                  <c:v>1.6300477861377251E-4</c:v>
                </c:pt>
                <c:pt idx="1290">
                  <c:v>1.6297821238634366E-4</c:v>
                </c:pt>
                <c:pt idx="1291">
                  <c:v>1.6295165481693618E-4</c:v>
                </c:pt>
                <c:pt idx="1292">
                  <c:v>1.629251059013183E-4</c:v>
                </c:pt>
                <c:pt idx="1293">
                  <c:v>1.6289856563526101E-4</c:v>
                </c:pt>
                <c:pt idx="1294">
                  <c:v>1.6287203401453793E-4</c:v>
                </c:pt>
                <c:pt idx="1295">
                  <c:v>1.6284551103492556E-4</c:v>
                </c:pt>
                <c:pt idx="1296">
                  <c:v>1.6281899669220301E-4</c:v>
                </c:pt>
                <c:pt idx="1297">
                  <c:v>1.6279249098215227E-4</c:v>
                </c:pt>
                <c:pt idx="1298">
                  <c:v>1.6276599390055801E-4</c:v>
                </c:pt>
                <c:pt idx="1299">
                  <c:v>1.6273950544320768E-4</c:v>
                </c:pt>
                <c:pt idx="1300">
                  <c:v>1.6271302560589139E-4</c:v>
                </c:pt>
                <c:pt idx="1301">
                  <c:v>1.6268655438440209E-4</c:v>
                </c:pt>
                <c:pt idx="1302">
                  <c:v>1.6266009177453542E-4</c:v>
                </c:pt>
                <c:pt idx="1303">
                  <c:v>1.6263363777208983E-4</c:v>
                </c:pt>
                <c:pt idx="1304">
                  <c:v>1.626071923728663E-4</c:v>
                </c:pt>
                <c:pt idx="1305">
                  <c:v>1.6258075557266875E-4</c:v>
                </c:pt>
                <c:pt idx="1306">
                  <c:v>1.6255432736730381E-4</c:v>
                </c:pt>
                <c:pt idx="1307">
                  <c:v>1.6252790775258066E-4</c:v>
                </c:pt>
                <c:pt idx="1308">
                  <c:v>1.6250149672431138E-4</c:v>
                </c:pt>
                <c:pt idx="1309">
                  <c:v>1.6247509427831072E-4</c:v>
                </c:pt>
                <c:pt idx="1310">
                  <c:v>1.6244870041039617E-4</c:v>
                </c:pt>
                <c:pt idx="1311">
                  <c:v>1.6242231511638786E-4</c:v>
                </c:pt>
                <c:pt idx="1312">
                  <c:v>1.6239593839210869E-4</c:v>
                </c:pt>
                <c:pt idx="1313">
                  <c:v>1.6236957023338435E-4</c:v>
                </c:pt>
                <c:pt idx="1314">
                  <c:v>1.6234321063604305E-4</c:v>
                </c:pt>
                <c:pt idx="1315">
                  <c:v>1.6231685959591587E-4</c:v>
                </c:pt>
                <c:pt idx="1316">
                  <c:v>1.6229051710883662E-4</c:v>
                </c:pt>
                <c:pt idx="1317">
                  <c:v>1.6226418317064157E-4</c:v>
                </c:pt>
                <c:pt idx="1318">
                  <c:v>1.6223785777717001E-4</c:v>
                </c:pt>
                <c:pt idx="1319">
                  <c:v>1.6221154092426374E-4</c:v>
                </c:pt>
                <c:pt idx="1320">
                  <c:v>1.6218523260776724E-4</c:v>
                </c:pt>
                <c:pt idx="1321">
                  <c:v>1.6215893282352784E-4</c:v>
                </c:pt>
                <c:pt idx="1322">
                  <c:v>1.6213264156739545E-4</c:v>
                </c:pt>
                <c:pt idx="1323">
                  <c:v>1.621063588352226E-4</c:v>
                </c:pt>
                <c:pt idx="1324">
                  <c:v>1.6208008462286467E-4</c:v>
                </c:pt>
                <c:pt idx="1325">
                  <c:v>1.6205381892617964E-4</c:v>
                </c:pt>
                <c:pt idx="1326">
                  <c:v>1.620275617410282E-4</c:v>
                </c:pt>
                <c:pt idx="1327">
                  <c:v>1.6200131306327373E-4</c:v>
                </c:pt>
                <c:pt idx="1328">
                  <c:v>1.6197507288878222E-4</c:v>
                </c:pt>
                <c:pt idx="1329">
                  <c:v>1.6194884121342241E-4</c:v>
                </c:pt>
                <c:pt idx="1330">
                  <c:v>1.6192261803306572E-4</c:v>
                </c:pt>
                <c:pt idx="1331">
                  <c:v>1.618964033435862E-4</c:v>
                </c:pt>
                <c:pt idx="1332">
                  <c:v>1.6187019714086057E-4</c:v>
                </c:pt>
                <c:pt idx="1333">
                  <c:v>1.6184399942076826E-4</c:v>
                </c:pt>
                <c:pt idx="1334">
                  <c:v>1.6181781017919131E-4</c:v>
                </c:pt>
                <c:pt idx="1335">
                  <c:v>1.6179162941201458E-4</c:v>
                </c:pt>
                <c:pt idx="1336">
                  <c:v>1.6176545711512534E-4</c:v>
                </c:pt>
                <c:pt idx="1337">
                  <c:v>1.6173929328441367E-4</c:v>
                </c:pt>
                <c:pt idx="1338">
                  <c:v>1.617131379157724E-4</c:v>
                </c:pt>
                <c:pt idx="1339">
                  <c:v>1.616869910050968E-4</c:v>
                </c:pt>
                <c:pt idx="1340">
                  <c:v>1.6166085254828492E-4</c:v>
                </c:pt>
                <c:pt idx="1341">
                  <c:v>1.6163472254123755E-4</c:v>
                </c:pt>
                <c:pt idx="1342">
                  <c:v>1.6160860097985788E-4</c:v>
                </c:pt>
                <c:pt idx="1343">
                  <c:v>1.6158248786005196E-4</c:v>
                </c:pt>
                <c:pt idx="1344">
                  <c:v>1.6155638317772843E-4</c:v>
                </c:pt>
                <c:pt idx="1345">
                  <c:v>1.6153028692879857E-4</c:v>
                </c:pt>
                <c:pt idx="1346">
                  <c:v>1.6150419910917623E-4</c:v>
                </c:pt>
                <c:pt idx="1347">
                  <c:v>1.6147811971477808E-4</c:v>
                </c:pt>
                <c:pt idx="1348">
                  <c:v>1.6145204874152319E-4</c:v>
                </c:pt>
                <c:pt idx="1349">
                  <c:v>1.6142598618533341E-4</c:v>
                </c:pt>
                <c:pt idx="1350">
                  <c:v>1.6139993204213326E-4</c:v>
                </c:pt>
                <c:pt idx="1351">
                  <c:v>1.6137388630784984E-4</c:v>
                </c:pt>
                <c:pt idx="1352">
                  <c:v>1.6134784897841274E-4</c:v>
                </c:pt>
                <c:pt idx="1353">
                  <c:v>1.6132182004975442E-4</c:v>
                </c:pt>
                <c:pt idx="1354">
                  <c:v>1.6129579951780986E-4</c:v>
                </c:pt>
                <c:pt idx="1355">
                  <c:v>1.6126978737851654E-4</c:v>
                </c:pt>
                <c:pt idx="1356">
                  <c:v>1.6124378362781478E-4</c:v>
                </c:pt>
                <c:pt idx="1357">
                  <c:v>1.6121778826164737E-4</c:v>
                </c:pt>
                <c:pt idx="1358">
                  <c:v>1.6119180127595974E-4</c:v>
                </c:pt>
                <c:pt idx="1359">
                  <c:v>1.6116582266669999E-4</c:v>
                </c:pt>
                <c:pt idx="1360">
                  <c:v>1.6113985242981874E-4</c:v>
                </c:pt>
                <c:pt idx="1361">
                  <c:v>1.6111389056126929E-4</c:v>
                </c:pt>
                <c:pt idx="1362">
                  <c:v>1.6108793705700756E-4</c:v>
                </c:pt>
                <c:pt idx="1363">
                  <c:v>1.6106199191299201E-4</c:v>
                </c:pt>
                <c:pt idx="1364">
                  <c:v>1.6103605512518372E-4</c:v>
                </c:pt>
                <c:pt idx="1365">
                  <c:v>1.6101012668954639E-4</c:v>
                </c:pt>
                <c:pt idx="1366">
                  <c:v>1.6098420660204637E-4</c:v>
                </c:pt>
                <c:pt idx="1367">
                  <c:v>1.6095829485865258E-4</c:v>
                </c:pt>
                <c:pt idx="1368">
                  <c:v>1.6093239145533638E-4</c:v>
                </c:pt>
                <c:pt idx="1369">
                  <c:v>1.6090649638807194E-4</c:v>
                </c:pt>
                <c:pt idx="1370">
                  <c:v>1.6088060965283596E-4</c:v>
                </c:pt>
                <c:pt idx="1371">
                  <c:v>1.6085473124560759E-4</c:v>
                </c:pt>
                <c:pt idx="1372">
                  <c:v>1.6082886116236878E-4</c:v>
                </c:pt>
                <c:pt idx="1373">
                  <c:v>1.6080299939910396E-4</c:v>
                </c:pt>
                <c:pt idx="1374">
                  <c:v>1.6077714595180004E-4</c:v>
                </c:pt>
                <c:pt idx="1375">
                  <c:v>1.6075130081644675E-4</c:v>
                </c:pt>
                <c:pt idx="1376">
                  <c:v>1.607254639890362E-4</c:v>
                </c:pt>
                <c:pt idx="1377">
                  <c:v>1.6069963546556311E-4</c:v>
                </c:pt>
                <c:pt idx="1378">
                  <c:v>1.6067381524202486E-4</c:v>
                </c:pt>
                <c:pt idx="1379">
                  <c:v>1.6064800331442133E-4</c:v>
                </c:pt>
                <c:pt idx="1380">
                  <c:v>1.6062219967875494E-4</c:v>
                </c:pt>
                <c:pt idx="1381">
                  <c:v>1.6059640433103081E-4</c:v>
                </c:pt>
                <c:pt idx="1382">
                  <c:v>1.6057061726725645E-4</c:v>
                </c:pt>
                <c:pt idx="1383">
                  <c:v>1.6054483848344212E-4</c:v>
                </c:pt>
                <c:pt idx="1384">
                  <c:v>1.6051906797560044E-4</c:v>
                </c:pt>
                <c:pt idx="1385">
                  <c:v>1.6049330573974678E-4</c:v>
                </c:pt>
                <c:pt idx="1386">
                  <c:v>1.6046755177189894E-4</c:v>
                </c:pt>
                <c:pt idx="1387">
                  <c:v>1.6044180606807735E-4</c:v>
                </c:pt>
                <c:pt idx="1388">
                  <c:v>1.6041606862430492E-4</c:v>
                </c:pt>
                <c:pt idx="1389">
                  <c:v>1.6039033943660716E-4</c:v>
                </c:pt>
                <c:pt idx="1390">
                  <c:v>1.6036461850101215E-4</c:v>
                </c:pt>
                <c:pt idx="1391">
                  <c:v>1.6033890581355052E-4</c:v>
                </c:pt>
                <c:pt idx="1392">
                  <c:v>1.6031320137025533E-4</c:v>
                </c:pt>
                <c:pt idx="1393">
                  <c:v>1.6028750516716231E-4</c:v>
                </c:pt>
                <c:pt idx="1394">
                  <c:v>1.6026181720030973E-4</c:v>
                </c:pt>
                <c:pt idx="1395">
                  <c:v>1.6023613746573833E-4</c:v>
                </c:pt>
                <c:pt idx="1396">
                  <c:v>1.6021046595949138E-4</c:v>
                </c:pt>
                <c:pt idx="1397">
                  <c:v>1.6018480267761473E-4</c:v>
                </c:pt>
                <c:pt idx="1398">
                  <c:v>1.6015914761615687E-4</c:v>
                </c:pt>
                <c:pt idx="1399">
                  <c:v>1.6013350077116856E-4</c:v>
                </c:pt>
                <c:pt idx="1400">
                  <c:v>1.6010786213870327E-4</c:v>
                </c:pt>
                <c:pt idx="1401">
                  <c:v>1.6008223171481704E-4</c:v>
                </c:pt>
                <c:pt idx="1402">
                  <c:v>1.600566094955683E-4</c:v>
                </c:pt>
                <c:pt idx="1403">
                  <c:v>1.6003099547701801E-4</c:v>
                </c:pt>
                <c:pt idx="1404">
                  <c:v>1.6000538965522983E-4</c:v>
                </c:pt>
                <c:pt idx="1405">
                  <c:v>1.5997979202626969E-4</c:v>
                </c:pt>
                <c:pt idx="1406">
                  <c:v>1.5995420258620621E-4</c:v>
                </c:pt>
                <c:pt idx="1407">
                  <c:v>1.5992862133111049E-4</c:v>
                </c:pt>
                <c:pt idx="1408">
                  <c:v>1.599030482570561E-4</c:v>
                </c:pt>
                <c:pt idx="1409">
                  <c:v>1.5987748336011913E-4</c:v>
                </c:pt>
                <c:pt idx="1410">
                  <c:v>1.5985192663637828E-4</c:v>
                </c:pt>
                <c:pt idx="1411">
                  <c:v>1.5982637808191456E-4</c:v>
                </c:pt>
                <c:pt idx="1412">
                  <c:v>1.5980083769281164E-4</c:v>
                </c:pt>
                <c:pt idx="1413">
                  <c:v>1.5977530546515566E-4</c:v>
                </c:pt>
                <c:pt idx="1414">
                  <c:v>1.5974978139503528E-4</c:v>
                </c:pt>
                <c:pt idx="1415">
                  <c:v>1.5972426547854161E-4</c:v>
                </c:pt>
                <c:pt idx="1416">
                  <c:v>1.5969875771176825E-4</c:v>
                </c:pt>
                <c:pt idx="1417">
                  <c:v>1.5967325809081135E-4</c:v>
                </c:pt>
                <c:pt idx="1418">
                  <c:v>1.5964776661176955E-4</c:v>
                </c:pt>
                <c:pt idx="1419">
                  <c:v>1.5962228327074391E-4</c:v>
                </c:pt>
                <c:pt idx="1420">
                  <c:v>1.5959680806383801E-4</c:v>
                </c:pt>
                <c:pt idx="1421">
                  <c:v>1.59571340987158E-4</c:v>
                </c:pt>
                <c:pt idx="1422">
                  <c:v>1.5954588203681238E-4</c:v>
                </c:pt>
                <c:pt idx="1423">
                  <c:v>1.5952043120891229E-4</c:v>
                </c:pt>
                <c:pt idx="1424">
                  <c:v>1.5949498849957117E-4</c:v>
                </c:pt>
                <c:pt idx="1425">
                  <c:v>1.5946955390490504E-4</c:v>
                </c:pt>
                <c:pt idx="1426">
                  <c:v>1.5944412742103251E-4</c:v>
                </c:pt>
                <c:pt idx="1427">
                  <c:v>1.5941870904407436E-4</c:v>
                </c:pt>
                <c:pt idx="1428">
                  <c:v>1.5939329877015412E-4</c:v>
                </c:pt>
                <c:pt idx="1429">
                  <c:v>1.5936789659539772E-4</c:v>
                </c:pt>
                <c:pt idx="1430">
                  <c:v>1.5934250251593355E-4</c:v>
                </c:pt>
                <c:pt idx="1431">
                  <c:v>1.5931711652789234E-4</c:v>
                </c:pt>
                <c:pt idx="1432">
                  <c:v>1.5929173862740749E-4</c:v>
                </c:pt>
                <c:pt idx="1433">
                  <c:v>1.5926636881061481E-4</c:v>
                </c:pt>
                <c:pt idx="1434">
                  <c:v>1.5924100707365242E-4</c:v>
                </c:pt>
                <c:pt idx="1435">
                  <c:v>1.5921565341266109E-4</c:v>
                </c:pt>
                <c:pt idx="1436">
                  <c:v>1.5919030782378399E-4</c:v>
                </c:pt>
                <c:pt idx="1437">
                  <c:v>1.5916497030316664E-4</c:v>
                </c:pt>
                <c:pt idx="1438">
                  <c:v>1.5913964084695719E-4</c:v>
                </c:pt>
                <c:pt idx="1439">
                  <c:v>1.5911431945130611E-4</c:v>
                </c:pt>
                <c:pt idx="1440">
                  <c:v>1.5908900611236634E-4</c:v>
                </c:pt>
                <c:pt idx="1441">
                  <c:v>1.5906370082629332E-4</c:v>
                </c:pt>
                <c:pt idx="1442">
                  <c:v>1.5903840358924494E-4</c:v>
                </c:pt>
                <c:pt idx="1443">
                  <c:v>1.5901311439738141E-4</c:v>
                </c:pt>
                <c:pt idx="1444">
                  <c:v>1.5898783324686552E-4</c:v>
                </c:pt>
                <c:pt idx="1445">
                  <c:v>1.5896256013386246E-4</c:v>
                </c:pt>
                <c:pt idx="1446">
                  <c:v>1.5893729505453983E-4</c:v>
                </c:pt>
                <c:pt idx="1447">
                  <c:v>1.5891203800506772E-4</c:v>
                </c:pt>
                <c:pt idx="1448">
                  <c:v>1.5888678898161857E-4</c:v>
                </c:pt>
                <c:pt idx="1449">
                  <c:v>1.588615479803673E-4</c:v>
                </c:pt>
                <c:pt idx="1450">
                  <c:v>1.5883631499749132E-4</c:v>
                </c:pt>
                <c:pt idx="1451">
                  <c:v>1.5881109002917034E-4</c:v>
                </c:pt>
                <c:pt idx="1452">
                  <c:v>1.5878587307158662E-4</c:v>
                </c:pt>
                <c:pt idx="1453">
                  <c:v>1.5876066412092474E-4</c:v>
                </c:pt>
                <c:pt idx="1454">
                  <c:v>1.5873546317337177E-4</c:v>
                </c:pt>
                <c:pt idx="1455">
                  <c:v>1.5871027022511724E-4</c:v>
                </c:pt>
                <c:pt idx="1456">
                  <c:v>1.5868508527235297E-4</c:v>
                </c:pt>
                <c:pt idx="1457">
                  <c:v>1.5865990831127327E-4</c:v>
                </c:pt>
                <c:pt idx="1458">
                  <c:v>1.5863473933807492E-4</c:v>
                </c:pt>
                <c:pt idx="1459">
                  <c:v>1.5860957834895701E-4</c:v>
                </c:pt>
                <c:pt idx="1460">
                  <c:v>1.5858442534012109E-4</c:v>
                </c:pt>
                <c:pt idx="1461">
                  <c:v>1.5855928030777117E-4</c:v>
                </c:pt>
                <c:pt idx="1462">
                  <c:v>1.5853414324811354E-4</c:v>
                </c:pt>
                <c:pt idx="1463">
                  <c:v>1.5850901415735696E-4</c:v>
                </c:pt>
                <c:pt idx="1464">
                  <c:v>1.5848389303171271E-4</c:v>
                </c:pt>
                <c:pt idx="1465">
                  <c:v>1.5845877986739426E-4</c:v>
                </c:pt>
                <c:pt idx="1466">
                  <c:v>1.5843367466061761E-4</c:v>
                </c:pt>
                <c:pt idx="1467">
                  <c:v>1.5840857740760119E-4</c:v>
                </c:pt>
                <c:pt idx="1468">
                  <c:v>1.583834881045657E-4</c:v>
                </c:pt>
                <c:pt idx="1469">
                  <c:v>1.5835840674773428E-4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55-438C-B0F8-093E2D36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74127"/>
        <c:axId val="503274607"/>
      </c:barChart>
      <c:lineChart>
        <c:grouping val="standard"/>
        <c:varyColors val="0"/>
        <c:ser>
          <c:idx val="1"/>
          <c:order val="1"/>
          <c:tx>
            <c:strRef>
              <c:f>'Token Model'!$AA$22</c:f>
              <c:strCache>
                <c:ptCount val="1"/>
                <c:pt idx="0">
                  <c:v> Remaining supply  </c:v>
                </c:pt>
              </c:strCache>
            </c:strRef>
          </c:tx>
          <c:marker>
            <c:symbol val="none"/>
          </c:marker>
          <c:cat>
            <c:numRef>
              <c:f>'Token Model'!$A$23:$A$1492</c:f>
              <c:numCache>
                <c:formatCode>yyyy\-mm\-dd</c:formatCode>
                <c:ptCount val="1470"/>
                <c:pt idx="0">
                  <c:v>45659</c:v>
                </c:pt>
                <c:pt idx="1">
                  <c:v>45660</c:v>
                </c:pt>
                <c:pt idx="2">
                  <c:v>45661</c:v>
                </c:pt>
                <c:pt idx="3">
                  <c:v>45662</c:v>
                </c:pt>
                <c:pt idx="4">
                  <c:v>45663</c:v>
                </c:pt>
                <c:pt idx="5">
                  <c:v>45664</c:v>
                </c:pt>
                <c:pt idx="6">
                  <c:v>45665</c:v>
                </c:pt>
                <c:pt idx="7">
                  <c:v>45666</c:v>
                </c:pt>
                <c:pt idx="8">
                  <c:v>45667</c:v>
                </c:pt>
                <c:pt idx="9">
                  <c:v>45668</c:v>
                </c:pt>
                <c:pt idx="10">
                  <c:v>45669</c:v>
                </c:pt>
                <c:pt idx="11">
                  <c:v>45670</c:v>
                </c:pt>
                <c:pt idx="12">
                  <c:v>45671</c:v>
                </c:pt>
                <c:pt idx="13">
                  <c:v>45672</c:v>
                </c:pt>
                <c:pt idx="14">
                  <c:v>45673</c:v>
                </c:pt>
                <c:pt idx="15">
                  <c:v>45674</c:v>
                </c:pt>
                <c:pt idx="16">
                  <c:v>45675</c:v>
                </c:pt>
                <c:pt idx="17">
                  <c:v>45676</c:v>
                </c:pt>
                <c:pt idx="18">
                  <c:v>45677</c:v>
                </c:pt>
                <c:pt idx="19">
                  <c:v>45678</c:v>
                </c:pt>
                <c:pt idx="20">
                  <c:v>45679</c:v>
                </c:pt>
                <c:pt idx="21">
                  <c:v>45680</c:v>
                </c:pt>
                <c:pt idx="22">
                  <c:v>45681</c:v>
                </c:pt>
                <c:pt idx="23">
                  <c:v>45682</c:v>
                </c:pt>
                <c:pt idx="24">
                  <c:v>45683</c:v>
                </c:pt>
                <c:pt idx="25">
                  <c:v>45684</c:v>
                </c:pt>
                <c:pt idx="26">
                  <c:v>45685</c:v>
                </c:pt>
                <c:pt idx="27">
                  <c:v>45686</c:v>
                </c:pt>
                <c:pt idx="28">
                  <c:v>45687</c:v>
                </c:pt>
                <c:pt idx="29">
                  <c:v>45688</c:v>
                </c:pt>
                <c:pt idx="30">
                  <c:v>45689</c:v>
                </c:pt>
                <c:pt idx="31">
                  <c:v>45690</c:v>
                </c:pt>
                <c:pt idx="32">
                  <c:v>45691</c:v>
                </c:pt>
                <c:pt idx="33">
                  <c:v>45692</c:v>
                </c:pt>
                <c:pt idx="34">
                  <c:v>45693</c:v>
                </c:pt>
                <c:pt idx="35">
                  <c:v>45694</c:v>
                </c:pt>
                <c:pt idx="36">
                  <c:v>45695</c:v>
                </c:pt>
                <c:pt idx="37">
                  <c:v>45696</c:v>
                </c:pt>
                <c:pt idx="38">
                  <c:v>45697</c:v>
                </c:pt>
                <c:pt idx="39">
                  <c:v>45698</c:v>
                </c:pt>
                <c:pt idx="40">
                  <c:v>45699</c:v>
                </c:pt>
                <c:pt idx="41">
                  <c:v>45700</c:v>
                </c:pt>
                <c:pt idx="42">
                  <c:v>45701</c:v>
                </c:pt>
                <c:pt idx="43">
                  <c:v>45702</c:v>
                </c:pt>
                <c:pt idx="44">
                  <c:v>45703</c:v>
                </c:pt>
                <c:pt idx="45">
                  <c:v>45704</c:v>
                </c:pt>
                <c:pt idx="46">
                  <c:v>45705</c:v>
                </c:pt>
                <c:pt idx="47">
                  <c:v>45706</c:v>
                </c:pt>
                <c:pt idx="48">
                  <c:v>45707</c:v>
                </c:pt>
                <c:pt idx="49">
                  <c:v>45708</c:v>
                </c:pt>
                <c:pt idx="50">
                  <c:v>45709</c:v>
                </c:pt>
                <c:pt idx="51">
                  <c:v>45710</c:v>
                </c:pt>
                <c:pt idx="52">
                  <c:v>45711</c:v>
                </c:pt>
                <c:pt idx="53">
                  <c:v>45712</c:v>
                </c:pt>
                <c:pt idx="54">
                  <c:v>45713</c:v>
                </c:pt>
                <c:pt idx="55">
                  <c:v>45714</c:v>
                </c:pt>
                <c:pt idx="56">
                  <c:v>45715</c:v>
                </c:pt>
                <c:pt idx="57">
                  <c:v>45716</c:v>
                </c:pt>
                <c:pt idx="58">
                  <c:v>45717</c:v>
                </c:pt>
                <c:pt idx="59">
                  <c:v>45718</c:v>
                </c:pt>
                <c:pt idx="60">
                  <c:v>45719</c:v>
                </c:pt>
                <c:pt idx="61">
                  <c:v>45720</c:v>
                </c:pt>
                <c:pt idx="62">
                  <c:v>45721</c:v>
                </c:pt>
                <c:pt idx="63">
                  <c:v>45722</c:v>
                </c:pt>
                <c:pt idx="64">
                  <c:v>45723</c:v>
                </c:pt>
                <c:pt idx="65">
                  <c:v>45724</c:v>
                </c:pt>
                <c:pt idx="66">
                  <c:v>45725</c:v>
                </c:pt>
                <c:pt idx="67">
                  <c:v>45726</c:v>
                </c:pt>
                <c:pt idx="68">
                  <c:v>45727</c:v>
                </c:pt>
                <c:pt idx="69">
                  <c:v>45728</c:v>
                </c:pt>
                <c:pt idx="70">
                  <c:v>45729</c:v>
                </c:pt>
                <c:pt idx="71">
                  <c:v>45730</c:v>
                </c:pt>
                <c:pt idx="72">
                  <c:v>45731</c:v>
                </c:pt>
                <c:pt idx="73">
                  <c:v>45732</c:v>
                </c:pt>
                <c:pt idx="74">
                  <c:v>45733</c:v>
                </c:pt>
                <c:pt idx="75">
                  <c:v>45734</c:v>
                </c:pt>
                <c:pt idx="76">
                  <c:v>45735</c:v>
                </c:pt>
                <c:pt idx="77">
                  <c:v>45736</c:v>
                </c:pt>
                <c:pt idx="78">
                  <c:v>45737</c:v>
                </c:pt>
                <c:pt idx="79">
                  <c:v>45738</c:v>
                </c:pt>
                <c:pt idx="80">
                  <c:v>45739</c:v>
                </c:pt>
                <c:pt idx="81">
                  <c:v>45740</c:v>
                </c:pt>
                <c:pt idx="82">
                  <c:v>45741</c:v>
                </c:pt>
                <c:pt idx="83">
                  <c:v>45742</c:v>
                </c:pt>
                <c:pt idx="84">
                  <c:v>45743</c:v>
                </c:pt>
                <c:pt idx="85">
                  <c:v>45744</c:v>
                </c:pt>
                <c:pt idx="86">
                  <c:v>45745</c:v>
                </c:pt>
                <c:pt idx="87">
                  <c:v>45746</c:v>
                </c:pt>
                <c:pt idx="88">
                  <c:v>45747</c:v>
                </c:pt>
                <c:pt idx="89">
                  <c:v>45748</c:v>
                </c:pt>
                <c:pt idx="90">
                  <c:v>45749</c:v>
                </c:pt>
                <c:pt idx="91">
                  <c:v>45750</c:v>
                </c:pt>
                <c:pt idx="92">
                  <c:v>45751</c:v>
                </c:pt>
                <c:pt idx="93">
                  <c:v>45752</c:v>
                </c:pt>
                <c:pt idx="94">
                  <c:v>45753</c:v>
                </c:pt>
                <c:pt idx="95">
                  <c:v>45754</c:v>
                </c:pt>
                <c:pt idx="96">
                  <c:v>45755</c:v>
                </c:pt>
                <c:pt idx="97">
                  <c:v>45756</c:v>
                </c:pt>
                <c:pt idx="98">
                  <c:v>45757</c:v>
                </c:pt>
                <c:pt idx="99">
                  <c:v>45758</c:v>
                </c:pt>
                <c:pt idx="100">
                  <c:v>45759</c:v>
                </c:pt>
                <c:pt idx="101">
                  <c:v>45760</c:v>
                </c:pt>
                <c:pt idx="102">
                  <c:v>45761</c:v>
                </c:pt>
                <c:pt idx="103">
                  <c:v>45762</c:v>
                </c:pt>
                <c:pt idx="104">
                  <c:v>45763</c:v>
                </c:pt>
                <c:pt idx="105">
                  <c:v>45764</c:v>
                </c:pt>
                <c:pt idx="106">
                  <c:v>45765</c:v>
                </c:pt>
                <c:pt idx="107">
                  <c:v>45766</c:v>
                </c:pt>
                <c:pt idx="108">
                  <c:v>45767</c:v>
                </c:pt>
                <c:pt idx="109">
                  <c:v>45768</c:v>
                </c:pt>
                <c:pt idx="110">
                  <c:v>45769</c:v>
                </c:pt>
                <c:pt idx="111">
                  <c:v>45770</c:v>
                </c:pt>
                <c:pt idx="112">
                  <c:v>45771</c:v>
                </c:pt>
                <c:pt idx="113">
                  <c:v>45772</c:v>
                </c:pt>
                <c:pt idx="114">
                  <c:v>45773</c:v>
                </c:pt>
                <c:pt idx="115">
                  <c:v>45774</c:v>
                </c:pt>
                <c:pt idx="116">
                  <c:v>45775</c:v>
                </c:pt>
                <c:pt idx="117">
                  <c:v>45776</c:v>
                </c:pt>
                <c:pt idx="118">
                  <c:v>45777</c:v>
                </c:pt>
                <c:pt idx="119">
                  <c:v>45778</c:v>
                </c:pt>
                <c:pt idx="120">
                  <c:v>45779</c:v>
                </c:pt>
                <c:pt idx="121">
                  <c:v>45780</c:v>
                </c:pt>
                <c:pt idx="122">
                  <c:v>45781</c:v>
                </c:pt>
                <c:pt idx="123">
                  <c:v>45782</c:v>
                </c:pt>
                <c:pt idx="124">
                  <c:v>45783</c:v>
                </c:pt>
                <c:pt idx="125">
                  <c:v>45784</c:v>
                </c:pt>
                <c:pt idx="126">
                  <c:v>45785</c:v>
                </c:pt>
                <c:pt idx="127">
                  <c:v>45786</c:v>
                </c:pt>
                <c:pt idx="128">
                  <c:v>45787</c:v>
                </c:pt>
                <c:pt idx="129">
                  <c:v>45788</c:v>
                </c:pt>
                <c:pt idx="130">
                  <c:v>45789</c:v>
                </c:pt>
                <c:pt idx="131">
                  <c:v>45790</c:v>
                </c:pt>
                <c:pt idx="132">
                  <c:v>45791</c:v>
                </c:pt>
                <c:pt idx="133">
                  <c:v>45792</c:v>
                </c:pt>
                <c:pt idx="134">
                  <c:v>45793</c:v>
                </c:pt>
                <c:pt idx="135">
                  <c:v>45794</c:v>
                </c:pt>
                <c:pt idx="136">
                  <c:v>45795</c:v>
                </c:pt>
                <c:pt idx="137">
                  <c:v>45796</c:v>
                </c:pt>
                <c:pt idx="138">
                  <c:v>45797</c:v>
                </c:pt>
                <c:pt idx="139">
                  <c:v>45798</c:v>
                </c:pt>
                <c:pt idx="140">
                  <c:v>45799</c:v>
                </c:pt>
                <c:pt idx="141">
                  <c:v>45800</c:v>
                </c:pt>
                <c:pt idx="142">
                  <c:v>45801</c:v>
                </c:pt>
                <c:pt idx="143">
                  <c:v>45802</c:v>
                </c:pt>
                <c:pt idx="144">
                  <c:v>45803</c:v>
                </c:pt>
                <c:pt idx="145">
                  <c:v>45804</c:v>
                </c:pt>
                <c:pt idx="146">
                  <c:v>45805</c:v>
                </c:pt>
                <c:pt idx="147">
                  <c:v>45806</c:v>
                </c:pt>
                <c:pt idx="148">
                  <c:v>45807</c:v>
                </c:pt>
                <c:pt idx="149">
                  <c:v>45808</c:v>
                </c:pt>
                <c:pt idx="150">
                  <c:v>45809</c:v>
                </c:pt>
                <c:pt idx="151">
                  <c:v>45810</c:v>
                </c:pt>
                <c:pt idx="152">
                  <c:v>45811</c:v>
                </c:pt>
                <c:pt idx="153">
                  <c:v>45812</c:v>
                </c:pt>
                <c:pt idx="154">
                  <c:v>45813</c:v>
                </c:pt>
                <c:pt idx="155">
                  <c:v>45814</c:v>
                </c:pt>
                <c:pt idx="156">
                  <c:v>45815</c:v>
                </c:pt>
                <c:pt idx="157">
                  <c:v>45816</c:v>
                </c:pt>
                <c:pt idx="158">
                  <c:v>45817</c:v>
                </c:pt>
                <c:pt idx="159">
                  <c:v>45818</c:v>
                </c:pt>
                <c:pt idx="160">
                  <c:v>45819</c:v>
                </c:pt>
                <c:pt idx="161">
                  <c:v>45820</c:v>
                </c:pt>
                <c:pt idx="162">
                  <c:v>45821</c:v>
                </c:pt>
                <c:pt idx="163">
                  <c:v>45822</c:v>
                </c:pt>
                <c:pt idx="164">
                  <c:v>45823</c:v>
                </c:pt>
                <c:pt idx="165">
                  <c:v>45824</c:v>
                </c:pt>
                <c:pt idx="166">
                  <c:v>45825</c:v>
                </c:pt>
                <c:pt idx="167">
                  <c:v>45826</c:v>
                </c:pt>
                <c:pt idx="168">
                  <c:v>45827</c:v>
                </c:pt>
                <c:pt idx="169">
                  <c:v>45828</c:v>
                </c:pt>
                <c:pt idx="170">
                  <c:v>45829</c:v>
                </c:pt>
                <c:pt idx="171">
                  <c:v>45830</c:v>
                </c:pt>
                <c:pt idx="172">
                  <c:v>45831</c:v>
                </c:pt>
                <c:pt idx="173">
                  <c:v>45832</c:v>
                </c:pt>
                <c:pt idx="174">
                  <c:v>45833</c:v>
                </c:pt>
                <c:pt idx="175">
                  <c:v>45834</c:v>
                </c:pt>
                <c:pt idx="176">
                  <c:v>45835</c:v>
                </c:pt>
                <c:pt idx="177">
                  <c:v>45836</c:v>
                </c:pt>
                <c:pt idx="178">
                  <c:v>45837</c:v>
                </c:pt>
                <c:pt idx="179">
                  <c:v>45838</c:v>
                </c:pt>
                <c:pt idx="180">
                  <c:v>45839</c:v>
                </c:pt>
                <c:pt idx="181">
                  <c:v>45840</c:v>
                </c:pt>
                <c:pt idx="182">
                  <c:v>45841</c:v>
                </c:pt>
                <c:pt idx="183">
                  <c:v>45842</c:v>
                </c:pt>
                <c:pt idx="184">
                  <c:v>45843</c:v>
                </c:pt>
                <c:pt idx="185">
                  <c:v>45844</c:v>
                </c:pt>
                <c:pt idx="186">
                  <c:v>45845</c:v>
                </c:pt>
                <c:pt idx="187">
                  <c:v>45846</c:v>
                </c:pt>
                <c:pt idx="188">
                  <c:v>45847</c:v>
                </c:pt>
                <c:pt idx="189">
                  <c:v>45848</c:v>
                </c:pt>
                <c:pt idx="190">
                  <c:v>45849</c:v>
                </c:pt>
                <c:pt idx="191">
                  <c:v>45850</c:v>
                </c:pt>
                <c:pt idx="192">
                  <c:v>45851</c:v>
                </c:pt>
                <c:pt idx="193">
                  <c:v>45852</c:v>
                </c:pt>
                <c:pt idx="194">
                  <c:v>45853</c:v>
                </c:pt>
                <c:pt idx="195">
                  <c:v>45854</c:v>
                </c:pt>
                <c:pt idx="196">
                  <c:v>45855</c:v>
                </c:pt>
                <c:pt idx="197">
                  <c:v>45856</c:v>
                </c:pt>
                <c:pt idx="198">
                  <c:v>45857</c:v>
                </c:pt>
                <c:pt idx="199">
                  <c:v>45858</c:v>
                </c:pt>
                <c:pt idx="200">
                  <c:v>45859</c:v>
                </c:pt>
                <c:pt idx="201">
                  <c:v>45860</c:v>
                </c:pt>
                <c:pt idx="202">
                  <c:v>45861</c:v>
                </c:pt>
                <c:pt idx="203">
                  <c:v>45862</c:v>
                </c:pt>
                <c:pt idx="204">
                  <c:v>45863</c:v>
                </c:pt>
                <c:pt idx="205">
                  <c:v>45864</c:v>
                </c:pt>
                <c:pt idx="206">
                  <c:v>45865</c:v>
                </c:pt>
                <c:pt idx="207">
                  <c:v>45866</c:v>
                </c:pt>
                <c:pt idx="208">
                  <c:v>45867</c:v>
                </c:pt>
                <c:pt idx="209">
                  <c:v>45868</c:v>
                </c:pt>
                <c:pt idx="210">
                  <c:v>45869</c:v>
                </c:pt>
                <c:pt idx="211">
                  <c:v>45870</c:v>
                </c:pt>
                <c:pt idx="212">
                  <c:v>45871</c:v>
                </c:pt>
                <c:pt idx="213">
                  <c:v>45872</c:v>
                </c:pt>
                <c:pt idx="214">
                  <c:v>45873</c:v>
                </c:pt>
                <c:pt idx="215">
                  <c:v>45874</c:v>
                </c:pt>
                <c:pt idx="216">
                  <c:v>45875</c:v>
                </c:pt>
                <c:pt idx="217">
                  <c:v>45876</c:v>
                </c:pt>
                <c:pt idx="218">
                  <c:v>45877</c:v>
                </c:pt>
                <c:pt idx="219">
                  <c:v>45878</c:v>
                </c:pt>
                <c:pt idx="220">
                  <c:v>45879</c:v>
                </c:pt>
                <c:pt idx="221">
                  <c:v>45880</c:v>
                </c:pt>
                <c:pt idx="222">
                  <c:v>45881</c:v>
                </c:pt>
                <c:pt idx="223">
                  <c:v>45882</c:v>
                </c:pt>
                <c:pt idx="224">
                  <c:v>45883</c:v>
                </c:pt>
                <c:pt idx="225">
                  <c:v>45884</c:v>
                </c:pt>
                <c:pt idx="226">
                  <c:v>45885</c:v>
                </c:pt>
                <c:pt idx="227">
                  <c:v>45886</c:v>
                </c:pt>
                <c:pt idx="228">
                  <c:v>45887</c:v>
                </c:pt>
                <c:pt idx="229">
                  <c:v>45888</c:v>
                </c:pt>
                <c:pt idx="230">
                  <c:v>45889</c:v>
                </c:pt>
                <c:pt idx="231">
                  <c:v>45890</c:v>
                </c:pt>
                <c:pt idx="232">
                  <c:v>45891</c:v>
                </c:pt>
                <c:pt idx="233">
                  <c:v>45892</c:v>
                </c:pt>
                <c:pt idx="234">
                  <c:v>45893</c:v>
                </c:pt>
                <c:pt idx="235">
                  <c:v>45894</c:v>
                </c:pt>
                <c:pt idx="236">
                  <c:v>45895</c:v>
                </c:pt>
                <c:pt idx="237">
                  <c:v>45896</c:v>
                </c:pt>
                <c:pt idx="238">
                  <c:v>45897</c:v>
                </c:pt>
                <c:pt idx="239">
                  <c:v>45898</c:v>
                </c:pt>
                <c:pt idx="240">
                  <c:v>45899</c:v>
                </c:pt>
                <c:pt idx="241">
                  <c:v>45900</c:v>
                </c:pt>
                <c:pt idx="242">
                  <c:v>45901</c:v>
                </c:pt>
                <c:pt idx="243">
                  <c:v>45902</c:v>
                </c:pt>
                <c:pt idx="244">
                  <c:v>45903</c:v>
                </c:pt>
                <c:pt idx="245">
                  <c:v>45904</c:v>
                </c:pt>
                <c:pt idx="246">
                  <c:v>45905</c:v>
                </c:pt>
                <c:pt idx="247">
                  <c:v>45906</c:v>
                </c:pt>
                <c:pt idx="248">
                  <c:v>45907</c:v>
                </c:pt>
                <c:pt idx="249">
                  <c:v>45908</c:v>
                </c:pt>
                <c:pt idx="250">
                  <c:v>45909</c:v>
                </c:pt>
                <c:pt idx="251">
                  <c:v>45910</c:v>
                </c:pt>
                <c:pt idx="252">
                  <c:v>45911</c:v>
                </c:pt>
                <c:pt idx="253">
                  <c:v>45912</c:v>
                </c:pt>
                <c:pt idx="254">
                  <c:v>45913</c:v>
                </c:pt>
                <c:pt idx="255">
                  <c:v>45914</c:v>
                </c:pt>
                <c:pt idx="256">
                  <c:v>45915</c:v>
                </c:pt>
                <c:pt idx="257">
                  <c:v>45916</c:v>
                </c:pt>
                <c:pt idx="258">
                  <c:v>45917</c:v>
                </c:pt>
                <c:pt idx="259">
                  <c:v>45918</c:v>
                </c:pt>
                <c:pt idx="260">
                  <c:v>45919</c:v>
                </c:pt>
                <c:pt idx="261">
                  <c:v>45920</c:v>
                </c:pt>
                <c:pt idx="262">
                  <c:v>45921</c:v>
                </c:pt>
                <c:pt idx="263">
                  <c:v>45922</c:v>
                </c:pt>
                <c:pt idx="264">
                  <c:v>45923</c:v>
                </c:pt>
                <c:pt idx="265">
                  <c:v>45924</c:v>
                </c:pt>
                <c:pt idx="266">
                  <c:v>45925</c:v>
                </c:pt>
                <c:pt idx="267">
                  <c:v>45926</c:v>
                </c:pt>
                <c:pt idx="268">
                  <c:v>45927</c:v>
                </c:pt>
                <c:pt idx="269">
                  <c:v>45928</c:v>
                </c:pt>
                <c:pt idx="270">
                  <c:v>45929</c:v>
                </c:pt>
                <c:pt idx="271">
                  <c:v>45930</c:v>
                </c:pt>
                <c:pt idx="272">
                  <c:v>45931</c:v>
                </c:pt>
                <c:pt idx="273">
                  <c:v>45932</c:v>
                </c:pt>
                <c:pt idx="274">
                  <c:v>45933</c:v>
                </c:pt>
                <c:pt idx="275">
                  <c:v>45934</c:v>
                </c:pt>
                <c:pt idx="276">
                  <c:v>45935</c:v>
                </c:pt>
                <c:pt idx="277">
                  <c:v>45936</c:v>
                </c:pt>
                <c:pt idx="278">
                  <c:v>45937</c:v>
                </c:pt>
                <c:pt idx="279">
                  <c:v>45938</c:v>
                </c:pt>
                <c:pt idx="280">
                  <c:v>45939</c:v>
                </c:pt>
                <c:pt idx="281">
                  <c:v>45940</c:v>
                </c:pt>
                <c:pt idx="282">
                  <c:v>45941</c:v>
                </c:pt>
                <c:pt idx="283">
                  <c:v>45942</c:v>
                </c:pt>
                <c:pt idx="284">
                  <c:v>45943</c:v>
                </c:pt>
                <c:pt idx="285">
                  <c:v>45944</c:v>
                </c:pt>
                <c:pt idx="286">
                  <c:v>45945</c:v>
                </c:pt>
                <c:pt idx="287">
                  <c:v>45946</c:v>
                </c:pt>
                <c:pt idx="288">
                  <c:v>45947</c:v>
                </c:pt>
                <c:pt idx="289">
                  <c:v>45948</c:v>
                </c:pt>
                <c:pt idx="290">
                  <c:v>45949</c:v>
                </c:pt>
                <c:pt idx="291">
                  <c:v>45950</c:v>
                </c:pt>
                <c:pt idx="292">
                  <c:v>45951</c:v>
                </c:pt>
                <c:pt idx="293">
                  <c:v>45952</c:v>
                </c:pt>
                <c:pt idx="294">
                  <c:v>45953</c:v>
                </c:pt>
                <c:pt idx="295">
                  <c:v>45954</c:v>
                </c:pt>
                <c:pt idx="296">
                  <c:v>45955</c:v>
                </c:pt>
                <c:pt idx="297">
                  <c:v>45956</c:v>
                </c:pt>
                <c:pt idx="298">
                  <c:v>45957</c:v>
                </c:pt>
                <c:pt idx="299">
                  <c:v>45958</c:v>
                </c:pt>
                <c:pt idx="300">
                  <c:v>45959</c:v>
                </c:pt>
                <c:pt idx="301">
                  <c:v>45960</c:v>
                </c:pt>
                <c:pt idx="302">
                  <c:v>45961</c:v>
                </c:pt>
                <c:pt idx="303">
                  <c:v>45962</c:v>
                </c:pt>
                <c:pt idx="304">
                  <c:v>45963</c:v>
                </c:pt>
                <c:pt idx="305">
                  <c:v>45964</c:v>
                </c:pt>
                <c:pt idx="306">
                  <c:v>45965</c:v>
                </c:pt>
                <c:pt idx="307">
                  <c:v>45966</c:v>
                </c:pt>
                <c:pt idx="308">
                  <c:v>45967</c:v>
                </c:pt>
                <c:pt idx="309">
                  <c:v>45968</c:v>
                </c:pt>
                <c:pt idx="310">
                  <c:v>45969</c:v>
                </c:pt>
                <c:pt idx="311">
                  <c:v>45970</c:v>
                </c:pt>
                <c:pt idx="312">
                  <c:v>45971</c:v>
                </c:pt>
                <c:pt idx="313">
                  <c:v>45972</c:v>
                </c:pt>
                <c:pt idx="314">
                  <c:v>45973</c:v>
                </c:pt>
                <c:pt idx="315">
                  <c:v>45974</c:v>
                </c:pt>
                <c:pt idx="316">
                  <c:v>45975</c:v>
                </c:pt>
                <c:pt idx="317">
                  <c:v>45976</c:v>
                </c:pt>
                <c:pt idx="318">
                  <c:v>45977</c:v>
                </c:pt>
                <c:pt idx="319">
                  <c:v>45978</c:v>
                </c:pt>
                <c:pt idx="320">
                  <c:v>45979</c:v>
                </c:pt>
                <c:pt idx="321">
                  <c:v>45980</c:v>
                </c:pt>
                <c:pt idx="322">
                  <c:v>45981</c:v>
                </c:pt>
                <c:pt idx="323">
                  <c:v>45982</c:v>
                </c:pt>
                <c:pt idx="324">
                  <c:v>45983</c:v>
                </c:pt>
                <c:pt idx="325">
                  <c:v>45984</c:v>
                </c:pt>
                <c:pt idx="326">
                  <c:v>45985</c:v>
                </c:pt>
                <c:pt idx="327">
                  <c:v>45986</c:v>
                </c:pt>
                <c:pt idx="328">
                  <c:v>45987</c:v>
                </c:pt>
                <c:pt idx="329">
                  <c:v>45988</c:v>
                </c:pt>
                <c:pt idx="330">
                  <c:v>45989</c:v>
                </c:pt>
                <c:pt idx="331">
                  <c:v>45990</c:v>
                </c:pt>
                <c:pt idx="332">
                  <c:v>45991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45997</c:v>
                </c:pt>
                <c:pt idx="339">
                  <c:v>45998</c:v>
                </c:pt>
                <c:pt idx="340">
                  <c:v>45999</c:v>
                </c:pt>
                <c:pt idx="341">
                  <c:v>46000</c:v>
                </c:pt>
                <c:pt idx="342">
                  <c:v>46001</c:v>
                </c:pt>
                <c:pt idx="343">
                  <c:v>46002</c:v>
                </c:pt>
                <c:pt idx="344">
                  <c:v>46003</c:v>
                </c:pt>
                <c:pt idx="345">
                  <c:v>46004</c:v>
                </c:pt>
                <c:pt idx="346">
                  <c:v>46005</c:v>
                </c:pt>
                <c:pt idx="347">
                  <c:v>46006</c:v>
                </c:pt>
                <c:pt idx="348">
                  <c:v>46007</c:v>
                </c:pt>
                <c:pt idx="349">
                  <c:v>46008</c:v>
                </c:pt>
                <c:pt idx="350">
                  <c:v>46009</c:v>
                </c:pt>
                <c:pt idx="351">
                  <c:v>46010</c:v>
                </c:pt>
                <c:pt idx="352">
                  <c:v>46011</c:v>
                </c:pt>
                <c:pt idx="353">
                  <c:v>46012</c:v>
                </c:pt>
                <c:pt idx="354">
                  <c:v>46013</c:v>
                </c:pt>
                <c:pt idx="355">
                  <c:v>46014</c:v>
                </c:pt>
                <c:pt idx="356">
                  <c:v>46015</c:v>
                </c:pt>
                <c:pt idx="357">
                  <c:v>46016</c:v>
                </c:pt>
                <c:pt idx="358">
                  <c:v>46017</c:v>
                </c:pt>
                <c:pt idx="359">
                  <c:v>46018</c:v>
                </c:pt>
                <c:pt idx="360">
                  <c:v>46019</c:v>
                </c:pt>
                <c:pt idx="361">
                  <c:v>46020</c:v>
                </c:pt>
                <c:pt idx="362">
                  <c:v>46021</c:v>
                </c:pt>
                <c:pt idx="363">
                  <c:v>46022</c:v>
                </c:pt>
                <c:pt idx="364">
                  <c:v>46023</c:v>
                </c:pt>
                <c:pt idx="365">
                  <c:v>46024</c:v>
                </c:pt>
                <c:pt idx="366">
                  <c:v>46025</c:v>
                </c:pt>
                <c:pt idx="367">
                  <c:v>46026</c:v>
                </c:pt>
                <c:pt idx="368">
                  <c:v>46027</c:v>
                </c:pt>
                <c:pt idx="369">
                  <c:v>46028</c:v>
                </c:pt>
                <c:pt idx="370">
                  <c:v>46029</c:v>
                </c:pt>
                <c:pt idx="371">
                  <c:v>46030</c:v>
                </c:pt>
                <c:pt idx="372">
                  <c:v>46031</c:v>
                </c:pt>
                <c:pt idx="373">
                  <c:v>46032</c:v>
                </c:pt>
                <c:pt idx="374">
                  <c:v>46033</c:v>
                </c:pt>
                <c:pt idx="375">
                  <c:v>46034</c:v>
                </c:pt>
                <c:pt idx="376">
                  <c:v>46035</c:v>
                </c:pt>
                <c:pt idx="377">
                  <c:v>46036</c:v>
                </c:pt>
                <c:pt idx="378">
                  <c:v>46037</c:v>
                </c:pt>
                <c:pt idx="379">
                  <c:v>46038</c:v>
                </c:pt>
                <c:pt idx="380">
                  <c:v>46039</c:v>
                </c:pt>
                <c:pt idx="381">
                  <c:v>46040</c:v>
                </c:pt>
                <c:pt idx="382">
                  <c:v>46041</c:v>
                </c:pt>
                <c:pt idx="383">
                  <c:v>46042</c:v>
                </c:pt>
                <c:pt idx="384">
                  <c:v>46043</c:v>
                </c:pt>
                <c:pt idx="385">
                  <c:v>46044</c:v>
                </c:pt>
                <c:pt idx="386">
                  <c:v>46045</c:v>
                </c:pt>
                <c:pt idx="387">
                  <c:v>46046</c:v>
                </c:pt>
                <c:pt idx="388">
                  <c:v>46047</c:v>
                </c:pt>
                <c:pt idx="389">
                  <c:v>46048</c:v>
                </c:pt>
                <c:pt idx="390">
                  <c:v>46049</c:v>
                </c:pt>
                <c:pt idx="391">
                  <c:v>46050</c:v>
                </c:pt>
                <c:pt idx="392">
                  <c:v>46051</c:v>
                </c:pt>
                <c:pt idx="393">
                  <c:v>46052</c:v>
                </c:pt>
                <c:pt idx="394">
                  <c:v>46053</c:v>
                </c:pt>
                <c:pt idx="395">
                  <c:v>46054</c:v>
                </c:pt>
                <c:pt idx="396">
                  <c:v>46055</c:v>
                </c:pt>
                <c:pt idx="397">
                  <c:v>46056</c:v>
                </c:pt>
                <c:pt idx="398">
                  <c:v>46057</c:v>
                </c:pt>
                <c:pt idx="399">
                  <c:v>46058</c:v>
                </c:pt>
                <c:pt idx="400">
                  <c:v>46059</c:v>
                </c:pt>
                <c:pt idx="401">
                  <c:v>46060</c:v>
                </c:pt>
                <c:pt idx="402">
                  <c:v>46061</c:v>
                </c:pt>
                <c:pt idx="403">
                  <c:v>46062</c:v>
                </c:pt>
                <c:pt idx="404">
                  <c:v>46063</c:v>
                </c:pt>
                <c:pt idx="405">
                  <c:v>46064</c:v>
                </c:pt>
                <c:pt idx="406">
                  <c:v>46065</c:v>
                </c:pt>
                <c:pt idx="407">
                  <c:v>46066</c:v>
                </c:pt>
                <c:pt idx="408">
                  <c:v>46067</c:v>
                </c:pt>
                <c:pt idx="409">
                  <c:v>46068</c:v>
                </c:pt>
                <c:pt idx="410">
                  <c:v>46069</c:v>
                </c:pt>
                <c:pt idx="411">
                  <c:v>46070</c:v>
                </c:pt>
                <c:pt idx="412">
                  <c:v>46071</c:v>
                </c:pt>
                <c:pt idx="413">
                  <c:v>46072</c:v>
                </c:pt>
                <c:pt idx="414">
                  <c:v>46073</c:v>
                </c:pt>
                <c:pt idx="415">
                  <c:v>46074</c:v>
                </c:pt>
                <c:pt idx="416">
                  <c:v>46075</c:v>
                </c:pt>
                <c:pt idx="417">
                  <c:v>46076</c:v>
                </c:pt>
                <c:pt idx="418">
                  <c:v>46077</c:v>
                </c:pt>
                <c:pt idx="419">
                  <c:v>46078</c:v>
                </c:pt>
                <c:pt idx="420">
                  <c:v>46079</c:v>
                </c:pt>
                <c:pt idx="421">
                  <c:v>46080</c:v>
                </c:pt>
                <c:pt idx="422">
                  <c:v>46081</c:v>
                </c:pt>
                <c:pt idx="423">
                  <c:v>46082</c:v>
                </c:pt>
                <c:pt idx="424">
                  <c:v>46083</c:v>
                </c:pt>
                <c:pt idx="425">
                  <c:v>46084</c:v>
                </c:pt>
                <c:pt idx="426">
                  <c:v>46085</c:v>
                </c:pt>
                <c:pt idx="427">
                  <c:v>46086</c:v>
                </c:pt>
                <c:pt idx="428">
                  <c:v>46087</c:v>
                </c:pt>
                <c:pt idx="429">
                  <c:v>46088</c:v>
                </c:pt>
                <c:pt idx="430">
                  <c:v>46089</c:v>
                </c:pt>
                <c:pt idx="431">
                  <c:v>46090</c:v>
                </c:pt>
                <c:pt idx="432">
                  <c:v>46091</c:v>
                </c:pt>
                <c:pt idx="433">
                  <c:v>46092</c:v>
                </c:pt>
                <c:pt idx="434">
                  <c:v>46093</c:v>
                </c:pt>
                <c:pt idx="435">
                  <c:v>46094</c:v>
                </c:pt>
                <c:pt idx="436">
                  <c:v>46095</c:v>
                </c:pt>
                <c:pt idx="437">
                  <c:v>46096</c:v>
                </c:pt>
                <c:pt idx="438">
                  <c:v>46097</c:v>
                </c:pt>
                <c:pt idx="439">
                  <c:v>46098</c:v>
                </c:pt>
                <c:pt idx="440">
                  <c:v>46099</c:v>
                </c:pt>
                <c:pt idx="441">
                  <c:v>46100</c:v>
                </c:pt>
                <c:pt idx="442">
                  <c:v>46101</c:v>
                </c:pt>
                <c:pt idx="443">
                  <c:v>46102</c:v>
                </c:pt>
                <c:pt idx="444">
                  <c:v>46103</c:v>
                </c:pt>
                <c:pt idx="445">
                  <c:v>46104</c:v>
                </c:pt>
                <c:pt idx="446">
                  <c:v>46105</c:v>
                </c:pt>
                <c:pt idx="447">
                  <c:v>46106</c:v>
                </c:pt>
                <c:pt idx="448">
                  <c:v>46107</c:v>
                </c:pt>
                <c:pt idx="449">
                  <c:v>46108</c:v>
                </c:pt>
                <c:pt idx="450">
                  <c:v>46109</c:v>
                </c:pt>
                <c:pt idx="451">
                  <c:v>46110</c:v>
                </c:pt>
                <c:pt idx="452">
                  <c:v>46111</c:v>
                </c:pt>
                <c:pt idx="453">
                  <c:v>46112</c:v>
                </c:pt>
                <c:pt idx="454">
                  <c:v>46113</c:v>
                </c:pt>
                <c:pt idx="455">
                  <c:v>46114</c:v>
                </c:pt>
                <c:pt idx="456">
                  <c:v>46115</c:v>
                </c:pt>
                <c:pt idx="457">
                  <c:v>46116</c:v>
                </c:pt>
                <c:pt idx="458">
                  <c:v>46117</c:v>
                </c:pt>
                <c:pt idx="459">
                  <c:v>46118</c:v>
                </c:pt>
                <c:pt idx="460">
                  <c:v>46119</c:v>
                </c:pt>
                <c:pt idx="461">
                  <c:v>46120</c:v>
                </c:pt>
                <c:pt idx="462">
                  <c:v>46121</c:v>
                </c:pt>
                <c:pt idx="463">
                  <c:v>46122</c:v>
                </c:pt>
                <c:pt idx="464">
                  <c:v>46123</c:v>
                </c:pt>
                <c:pt idx="465">
                  <c:v>46124</c:v>
                </c:pt>
                <c:pt idx="466">
                  <c:v>46125</c:v>
                </c:pt>
                <c:pt idx="467">
                  <c:v>46126</c:v>
                </c:pt>
                <c:pt idx="468">
                  <c:v>46127</c:v>
                </c:pt>
                <c:pt idx="469">
                  <c:v>46128</c:v>
                </c:pt>
                <c:pt idx="470">
                  <c:v>46129</c:v>
                </c:pt>
                <c:pt idx="471">
                  <c:v>46130</c:v>
                </c:pt>
                <c:pt idx="472">
                  <c:v>46131</c:v>
                </c:pt>
                <c:pt idx="473">
                  <c:v>46132</c:v>
                </c:pt>
                <c:pt idx="474">
                  <c:v>46133</c:v>
                </c:pt>
                <c:pt idx="475">
                  <c:v>46134</c:v>
                </c:pt>
                <c:pt idx="476">
                  <c:v>46135</c:v>
                </c:pt>
                <c:pt idx="477">
                  <c:v>46136</c:v>
                </c:pt>
                <c:pt idx="478">
                  <c:v>46137</c:v>
                </c:pt>
                <c:pt idx="479">
                  <c:v>46138</c:v>
                </c:pt>
                <c:pt idx="480">
                  <c:v>46139</c:v>
                </c:pt>
                <c:pt idx="481">
                  <c:v>46140</c:v>
                </c:pt>
                <c:pt idx="482">
                  <c:v>46141</c:v>
                </c:pt>
                <c:pt idx="483">
                  <c:v>46142</c:v>
                </c:pt>
                <c:pt idx="484">
                  <c:v>46143</c:v>
                </c:pt>
                <c:pt idx="485">
                  <c:v>46144</c:v>
                </c:pt>
                <c:pt idx="486">
                  <c:v>46145</c:v>
                </c:pt>
                <c:pt idx="487">
                  <c:v>46146</c:v>
                </c:pt>
                <c:pt idx="488">
                  <c:v>46147</c:v>
                </c:pt>
                <c:pt idx="489">
                  <c:v>46148</c:v>
                </c:pt>
                <c:pt idx="490">
                  <c:v>46149</c:v>
                </c:pt>
                <c:pt idx="491">
                  <c:v>46150</c:v>
                </c:pt>
                <c:pt idx="492">
                  <c:v>46151</c:v>
                </c:pt>
                <c:pt idx="493">
                  <c:v>46152</c:v>
                </c:pt>
                <c:pt idx="494">
                  <c:v>46153</c:v>
                </c:pt>
                <c:pt idx="495">
                  <c:v>46154</c:v>
                </c:pt>
                <c:pt idx="496">
                  <c:v>46155</c:v>
                </c:pt>
                <c:pt idx="497">
                  <c:v>46156</c:v>
                </c:pt>
                <c:pt idx="498">
                  <c:v>46157</c:v>
                </c:pt>
                <c:pt idx="499">
                  <c:v>46158</c:v>
                </c:pt>
                <c:pt idx="500">
                  <c:v>46159</c:v>
                </c:pt>
                <c:pt idx="501">
                  <c:v>46160</c:v>
                </c:pt>
                <c:pt idx="502">
                  <c:v>46161</c:v>
                </c:pt>
                <c:pt idx="503">
                  <c:v>46162</c:v>
                </c:pt>
                <c:pt idx="504">
                  <c:v>46163</c:v>
                </c:pt>
                <c:pt idx="505">
                  <c:v>46164</c:v>
                </c:pt>
                <c:pt idx="506">
                  <c:v>46165</c:v>
                </c:pt>
                <c:pt idx="507">
                  <c:v>46166</c:v>
                </c:pt>
                <c:pt idx="508">
                  <c:v>46167</c:v>
                </c:pt>
                <c:pt idx="509">
                  <c:v>46168</c:v>
                </c:pt>
                <c:pt idx="510">
                  <c:v>46169</c:v>
                </c:pt>
                <c:pt idx="511">
                  <c:v>46170</c:v>
                </c:pt>
                <c:pt idx="512">
                  <c:v>46171</c:v>
                </c:pt>
                <c:pt idx="513">
                  <c:v>46172</c:v>
                </c:pt>
                <c:pt idx="514">
                  <c:v>46173</c:v>
                </c:pt>
                <c:pt idx="515">
                  <c:v>46174</c:v>
                </c:pt>
                <c:pt idx="516">
                  <c:v>46175</c:v>
                </c:pt>
                <c:pt idx="517">
                  <c:v>46176</c:v>
                </c:pt>
                <c:pt idx="518">
                  <c:v>46177</c:v>
                </c:pt>
                <c:pt idx="519">
                  <c:v>46178</c:v>
                </c:pt>
                <c:pt idx="520">
                  <c:v>46179</c:v>
                </c:pt>
                <c:pt idx="521">
                  <c:v>46180</c:v>
                </c:pt>
                <c:pt idx="522">
                  <c:v>46181</c:v>
                </c:pt>
                <c:pt idx="523">
                  <c:v>46182</c:v>
                </c:pt>
                <c:pt idx="524">
                  <c:v>46183</c:v>
                </c:pt>
                <c:pt idx="525">
                  <c:v>46184</c:v>
                </c:pt>
                <c:pt idx="526">
                  <c:v>46185</c:v>
                </c:pt>
                <c:pt idx="527">
                  <c:v>46186</c:v>
                </c:pt>
                <c:pt idx="528">
                  <c:v>46187</c:v>
                </c:pt>
                <c:pt idx="529">
                  <c:v>46188</c:v>
                </c:pt>
                <c:pt idx="530">
                  <c:v>46189</c:v>
                </c:pt>
                <c:pt idx="531">
                  <c:v>46190</c:v>
                </c:pt>
                <c:pt idx="532">
                  <c:v>46191</c:v>
                </c:pt>
                <c:pt idx="533">
                  <c:v>46192</c:v>
                </c:pt>
                <c:pt idx="534">
                  <c:v>46193</c:v>
                </c:pt>
                <c:pt idx="535">
                  <c:v>46194</c:v>
                </c:pt>
                <c:pt idx="536">
                  <c:v>46195</c:v>
                </c:pt>
                <c:pt idx="537">
                  <c:v>46196</c:v>
                </c:pt>
                <c:pt idx="538">
                  <c:v>46197</c:v>
                </c:pt>
                <c:pt idx="539">
                  <c:v>46198</c:v>
                </c:pt>
                <c:pt idx="540">
                  <c:v>46199</c:v>
                </c:pt>
                <c:pt idx="541">
                  <c:v>46200</c:v>
                </c:pt>
                <c:pt idx="542">
                  <c:v>46201</c:v>
                </c:pt>
                <c:pt idx="543">
                  <c:v>46202</c:v>
                </c:pt>
                <c:pt idx="544">
                  <c:v>46203</c:v>
                </c:pt>
                <c:pt idx="545">
                  <c:v>46204</c:v>
                </c:pt>
                <c:pt idx="546">
                  <c:v>46205</c:v>
                </c:pt>
                <c:pt idx="547">
                  <c:v>46206</c:v>
                </c:pt>
                <c:pt idx="548">
                  <c:v>46207</c:v>
                </c:pt>
                <c:pt idx="549">
                  <c:v>46208</c:v>
                </c:pt>
                <c:pt idx="550">
                  <c:v>46209</c:v>
                </c:pt>
                <c:pt idx="551">
                  <c:v>46210</c:v>
                </c:pt>
                <c:pt idx="552">
                  <c:v>46211</c:v>
                </c:pt>
                <c:pt idx="553">
                  <c:v>46212</c:v>
                </c:pt>
                <c:pt idx="554">
                  <c:v>46213</c:v>
                </c:pt>
                <c:pt idx="555">
                  <c:v>46214</c:v>
                </c:pt>
                <c:pt idx="556">
                  <c:v>46215</c:v>
                </c:pt>
                <c:pt idx="557">
                  <c:v>46216</c:v>
                </c:pt>
                <c:pt idx="558">
                  <c:v>46217</c:v>
                </c:pt>
                <c:pt idx="559">
                  <c:v>46218</c:v>
                </c:pt>
                <c:pt idx="560">
                  <c:v>46219</c:v>
                </c:pt>
                <c:pt idx="561">
                  <c:v>46220</c:v>
                </c:pt>
                <c:pt idx="562">
                  <c:v>46221</c:v>
                </c:pt>
                <c:pt idx="563">
                  <c:v>46222</c:v>
                </c:pt>
                <c:pt idx="564">
                  <c:v>46223</c:v>
                </c:pt>
                <c:pt idx="565">
                  <c:v>46224</c:v>
                </c:pt>
                <c:pt idx="566">
                  <c:v>46225</c:v>
                </c:pt>
                <c:pt idx="567">
                  <c:v>46226</c:v>
                </c:pt>
                <c:pt idx="568">
                  <c:v>46227</c:v>
                </c:pt>
                <c:pt idx="569">
                  <c:v>46228</c:v>
                </c:pt>
                <c:pt idx="570">
                  <c:v>46229</c:v>
                </c:pt>
                <c:pt idx="571">
                  <c:v>46230</c:v>
                </c:pt>
                <c:pt idx="572">
                  <c:v>46231</c:v>
                </c:pt>
                <c:pt idx="573">
                  <c:v>46232</c:v>
                </c:pt>
                <c:pt idx="574">
                  <c:v>46233</c:v>
                </c:pt>
                <c:pt idx="575">
                  <c:v>46234</c:v>
                </c:pt>
                <c:pt idx="576">
                  <c:v>46235</c:v>
                </c:pt>
                <c:pt idx="577">
                  <c:v>46236</c:v>
                </c:pt>
                <c:pt idx="578">
                  <c:v>46237</c:v>
                </c:pt>
                <c:pt idx="579">
                  <c:v>46238</c:v>
                </c:pt>
                <c:pt idx="580">
                  <c:v>46239</c:v>
                </c:pt>
                <c:pt idx="581">
                  <c:v>46240</c:v>
                </c:pt>
                <c:pt idx="582">
                  <c:v>46241</c:v>
                </c:pt>
                <c:pt idx="583">
                  <c:v>46242</c:v>
                </c:pt>
                <c:pt idx="584">
                  <c:v>46243</c:v>
                </c:pt>
                <c:pt idx="585">
                  <c:v>46244</c:v>
                </c:pt>
                <c:pt idx="586">
                  <c:v>46245</c:v>
                </c:pt>
                <c:pt idx="587">
                  <c:v>46246</c:v>
                </c:pt>
                <c:pt idx="588">
                  <c:v>46247</c:v>
                </c:pt>
                <c:pt idx="589">
                  <c:v>46248</c:v>
                </c:pt>
                <c:pt idx="590">
                  <c:v>46249</c:v>
                </c:pt>
                <c:pt idx="591">
                  <c:v>46250</c:v>
                </c:pt>
                <c:pt idx="592">
                  <c:v>46251</c:v>
                </c:pt>
                <c:pt idx="593">
                  <c:v>46252</c:v>
                </c:pt>
                <c:pt idx="594">
                  <c:v>46253</c:v>
                </c:pt>
                <c:pt idx="595">
                  <c:v>46254</c:v>
                </c:pt>
                <c:pt idx="596">
                  <c:v>46255</c:v>
                </c:pt>
                <c:pt idx="597">
                  <c:v>46256</c:v>
                </c:pt>
                <c:pt idx="598">
                  <c:v>46257</c:v>
                </c:pt>
                <c:pt idx="599">
                  <c:v>46258</c:v>
                </c:pt>
                <c:pt idx="600">
                  <c:v>46259</c:v>
                </c:pt>
                <c:pt idx="601">
                  <c:v>46260</c:v>
                </c:pt>
                <c:pt idx="602">
                  <c:v>46261</c:v>
                </c:pt>
                <c:pt idx="603">
                  <c:v>46262</c:v>
                </c:pt>
                <c:pt idx="604">
                  <c:v>46263</c:v>
                </c:pt>
                <c:pt idx="605">
                  <c:v>46264</c:v>
                </c:pt>
                <c:pt idx="606">
                  <c:v>46265</c:v>
                </c:pt>
                <c:pt idx="607">
                  <c:v>46266</c:v>
                </c:pt>
                <c:pt idx="608">
                  <c:v>46267</c:v>
                </c:pt>
                <c:pt idx="609">
                  <c:v>46268</c:v>
                </c:pt>
                <c:pt idx="610">
                  <c:v>46269</c:v>
                </c:pt>
                <c:pt idx="611">
                  <c:v>46270</c:v>
                </c:pt>
                <c:pt idx="612">
                  <c:v>46271</c:v>
                </c:pt>
                <c:pt idx="613">
                  <c:v>46272</c:v>
                </c:pt>
                <c:pt idx="614">
                  <c:v>46273</c:v>
                </c:pt>
                <c:pt idx="615">
                  <c:v>46274</c:v>
                </c:pt>
                <c:pt idx="616">
                  <c:v>46275</c:v>
                </c:pt>
                <c:pt idx="617">
                  <c:v>46276</c:v>
                </c:pt>
                <c:pt idx="618">
                  <c:v>46277</c:v>
                </c:pt>
                <c:pt idx="619">
                  <c:v>46278</c:v>
                </c:pt>
                <c:pt idx="620">
                  <c:v>46279</c:v>
                </c:pt>
                <c:pt idx="621">
                  <c:v>46280</c:v>
                </c:pt>
                <c:pt idx="622">
                  <c:v>46281</c:v>
                </c:pt>
                <c:pt idx="623">
                  <c:v>46282</c:v>
                </c:pt>
                <c:pt idx="624">
                  <c:v>46283</c:v>
                </c:pt>
                <c:pt idx="625">
                  <c:v>46284</c:v>
                </c:pt>
                <c:pt idx="626">
                  <c:v>46285</c:v>
                </c:pt>
                <c:pt idx="627">
                  <c:v>46286</c:v>
                </c:pt>
                <c:pt idx="628">
                  <c:v>46287</c:v>
                </c:pt>
                <c:pt idx="629">
                  <c:v>46288</c:v>
                </c:pt>
                <c:pt idx="630">
                  <c:v>46289</c:v>
                </c:pt>
                <c:pt idx="631">
                  <c:v>46290</c:v>
                </c:pt>
                <c:pt idx="632">
                  <c:v>46291</c:v>
                </c:pt>
                <c:pt idx="633">
                  <c:v>46292</c:v>
                </c:pt>
                <c:pt idx="634">
                  <c:v>46293</c:v>
                </c:pt>
                <c:pt idx="635">
                  <c:v>46294</c:v>
                </c:pt>
                <c:pt idx="636">
                  <c:v>46295</c:v>
                </c:pt>
                <c:pt idx="637">
                  <c:v>46296</c:v>
                </c:pt>
                <c:pt idx="638">
                  <c:v>46297</c:v>
                </c:pt>
                <c:pt idx="639">
                  <c:v>46298</c:v>
                </c:pt>
                <c:pt idx="640">
                  <c:v>46299</c:v>
                </c:pt>
                <c:pt idx="641">
                  <c:v>46300</c:v>
                </c:pt>
                <c:pt idx="642">
                  <c:v>46301</c:v>
                </c:pt>
                <c:pt idx="643">
                  <c:v>46302</c:v>
                </c:pt>
                <c:pt idx="644">
                  <c:v>46303</c:v>
                </c:pt>
                <c:pt idx="645">
                  <c:v>46304</c:v>
                </c:pt>
                <c:pt idx="646">
                  <c:v>46305</c:v>
                </c:pt>
                <c:pt idx="647">
                  <c:v>46306</c:v>
                </c:pt>
                <c:pt idx="648">
                  <c:v>46307</c:v>
                </c:pt>
                <c:pt idx="649">
                  <c:v>46308</c:v>
                </c:pt>
                <c:pt idx="650">
                  <c:v>46309</c:v>
                </c:pt>
                <c:pt idx="651">
                  <c:v>46310</c:v>
                </c:pt>
                <c:pt idx="652">
                  <c:v>46311</c:v>
                </c:pt>
                <c:pt idx="653">
                  <c:v>46312</c:v>
                </c:pt>
                <c:pt idx="654">
                  <c:v>46313</c:v>
                </c:pt>
                <c:pt idx="655">
                  <c:v>46314</c:v>
                </c:pt>
                <c:pt idx="656">
                  <c:v>46315</c:v>
                </c:pt>
                <c:pt idx="657">
                  <c:v>46316</c:v>
                </c:pt>
                <c:pt idx="658">
                  <c:v>46317</c:v>
                </c:pt>
                <c:pt idx="659">
                  <c:v>46318</c:v>
                </c:pt>
                <c:pt idx="660">
                  <c:v>46319</c:v>
                </c:pt>
                <c:pt idx="661">
                  <c:v>46320</c:v>
                </c:pt>
                <c:pt idx="662">
                  <c:v>46321</c:v>
                </c:pt>
                <c:pt idx="663">
                  <c:v>46322</c:v>
                </c:pt>
                <c:pt idx="664">
                  <c:v>46323</c:v>
                </c:pt>
                <c:pt idx="665">
                  <c:v>46324</c:v>
                </c:pt>
                <c:pt idx="666">
                  <c:v>46325</c:v>
                </c:pt>
                <c:pt idx="667">
                  <c:v>46326</c:v>
                </c:pt>
                <c:pt idx="668">
                  <c:v>46327</c:v>
                </c:pt>
                <c:pt idx="669">
                  <c:v>46328</c:v>
                </c:pt>
                <c:pt idx="670">
                  <c:v>46329</c:v>
                </c:pt>
                <c:pt idx="671">
                  <c:v>46330</c:v>
                </c:pt>
                <c:pt idx="672">
                  <c:v>46331</c:v>
                </c:pt>
                <c:pt idx="673">
                  <c:v>46332</c:v>
                </c:pt>
                <c:pt idx="674">
                  <c:v>46333</c:v>
                </c:pt>
                <c:pt idx="675">
                  <c:v>46334</c:v>
                </c:pt>
                <c:pt idx="676">
                  <c:v>46335</c:v>
                </c:pt>
                <c:pt idx="677">
                  <c:v>46336</c:v>
                </c:pt>
                <c:pt idx="678">
                  <c:v>46337</c:v>
                </c:pt>
                <c:pt idx="679">
                  <c:v>46338</c:v>
                </c:pt>
                <c:pt idx="680">
                  <c:v>46339</c:v>
                </c:pt>
                <c:pt idx="681">
                  <c:v>46340</c:v>
                </c:pt>
                <c:pt idx="682">
                  <c:v>46341</c:v>
                </c:pt>
                <c:pt idx="683">
                  <c:v>46342</c:v>
                </c:pt>
                <c:pt idx="684">
                  <c:v>46343</c:v>
                </c:pt>
                <c:pt idx="685">
                  <c:v>46344</c:v>
                </c:pt>
                <c:pt idx="686">
                  <c:v>46345</c:v>
                </c:pt>
                <c:pt idx="687">
                  <c:v>46346</c:v>
                </c:pt>
                <c:pt idx="688">
                  <c:v>46347</c:v>
                </c:pt>
                <c:pt idx="689">
                  <c:v>46348</c:v>
                </c:pt>
                <c:pt idx="690">
                  <c:v>46349</c:v>
                </c:pt>
                <c:pt idx="691">
                  <c:v>46350</c:v>
                </c:pt>
                <c:pt idx="692">
                  <c:v>46351</c:v>
                </c:pt>
                <c:pt idx="693">
                  <c:v>46352</c:v>
                </c:pt>
                <c:pt idx="694">
                  <c:v>46353</c:v>
                </c:pt>
                <c:pt idx="695">
                  <c:v>46354</c:v>
                </c:pt>
                <c:pt idx="696">
                  <c:v>46355</c:v>
                </c:pt>
                <c:pt idx="697">
                  <c:v>46356</c:v>
                </c:pt>
                <c:pt idx="698">
                  <c:v>46357</c:v>
                </c:pt>
                <c:pt idx="699">
                  <c:v>46358</c:v>
                </c:pt>
                <c:pt idx="700">
                  <c:v>46359</c:v>
                </c:pt>
                <c:pt idx="701">
                  <c:v>46360</c:v>
                </c:pt>
                <c:pt idx="702">
                  <c:v>46361</c:v>
                </c:pt>
                <c:pt idx="703">
                  <c:v>46362</c:v>
                </c:pt>
                <c:pt idx="704">
                  <c:v>46363</c:v>
                </c:pt>
                <c:pt idx="705">
                  <c:v>46364</c:v>
                </c:pt>
                <c:pt idx="706">
                  <c:v>46365</c:v>
                </c:pt>
                <c:pt idx="707">
                  <c:v>46366</c:v>
                </c:pt>
                <c:pt idx="708">
                  <c:v>46367</c:v>
                </c:pt>
                <c:pt idx="709">
                  <c:v>46368</c:v>
                </c:pt>
                <c:pt idx="710">
                  <c:v>46369</c:v>
                </c:pt>
                <c:pt idx="711">
                  <c:v>46370</c:v>
                </c:pt>
                <c:pt idx="712">
                  <c:v>46371</c:v>
                </c:pt>
                <c:pt idx="713">
                  <c:v>46372</c:v>
                </c:pt>
                <c:pt idx="714">
                  <c:v>46373</c:v>
                </c:pt>
                <c:pt idx="715">
                  <c:v>46374</c:v>
                </c:pt>
                <c:pt idx="716">
                  <c:v>46375</c:v>
                </c:pt>
                <c:pt idx="717">
                  <c:v>46376</c:v>
                </c:pt>
                <c:pt idx="718">
                  <c:v>46377</c:v>
                </c:pt>
                <c:pt idx="719">
                  <c:v>46378</c:v>
                </c:pt>
                <c:pt idx="720">
                  <c:v>46379</c:v>
                </c:pt>
                <c:pt idx="721">
                  <c:v>46380</c:v>
                </c:pt>
                <c:pt idx="722">
                  <c:v>46381</c:v>
                </c:pt>
                <c:pt idx="723">
                  <c:v>46382</c:v>
                </c:pt>
                <c:pt idx="724">
                  <c:v>46383</c:v>
                </c:pt>
                <c:pt idx="725">
                  <c:v>46384</c:v>
                </c:pt>
                <c:pt idx="726">
                  <c:v>46385</c:v>
                </c:pt>
                <c:pt idx="727">
                  <c:v>46386</c:v>
                </c:pt>
                <c:pt idx="728">
                  <c:v>46387</c:v>
                </c:pt>
                <c:pt idx="729">
                  <c:v>46388</c:v>
                </c:pt>
                <c:pt idx="730">
                  <c:v>46389</c:v>
                </c:pt>
                <c:pt idx="731">
                  <c:v>46390</c:v>
                </c:pt>
                <c:pt idx="732">
                  <c:v>46391</c:v>
                </c:pt>
                <c:pt idx="733">
                  <c:v>46392</c:v>
                </c:pt>
                <c:pt idx="734">
                  <c:v>46393</c:v>
                </c:pt>
                <c:pt idx="735">
                  <c:v>46394</c:v>
                </c:pt>
                <c:pt idx="736">
                  <c:v>46395</c:v>
                </c:pt>
                <c:pt idx="737">
                  <c:v>46396</c:v>
                </c:pt>
                <c:pt idx="738">
                  <c:v>46397</c:v>
                </c:pt>
                <c:pt idx="739">
                  <c:v>46398</c:v>
                </c:pt>
                <c:pt idx="740">
                  <c:v>46399</c:v>
                </c:pt>
                <c:pt idx="741">
                  <c:v>46400</c:v>
                </c:pt>
                <c:pt idx="742">
                  <c:v>46401</c:v>
                </c:pt>
                <c:pt idx="743">
                  <c:v>46402</c:v>
                </c:pt>
                <c:pt idx="744">
                  <c:v>46403</c:v>
                </c:pt>
                <c:pt idx="745">
                  <c:v>46404</c:v>
                </c:pt>
                <c:pt idx="746">
                  <c:v>46405</c:v>
                </c:pt>
                <c:pt idx="747">
                  <c:v>46406</c:v>
                </c:pt>
                <c:pt idx="748">
                  <c:v>46407</c:v>
                </c:pt>
                <c:pt idx="749">
                  <c:v>46408</c:v>
                </c:pt>
                <c:pt idx="750">
                  <c:v>46409</c:v>
                </c:pt>
                <c:pt idx="751">
                  <c:v>46410</c:v>
                </c:pt>
                <c:pt idx="752">
                  <c:v>46411</c:v>
                </c:pt>
                <c:pt idx="753">
                  <c:v>46412</c:v>
                </c:pt>
                <c:pt idx="754">
                  <c:v>46413</c:v>
                </c:pt>
                <c:pt idx="755">
                  <c:v>46414</c:v>
                </c:pt>
                <c:pt idx="756">
                  <c:v>46415</c:v>
                </c:pt>
                <c:pt idx="757">
                  <c:v>46416</c:v>
                </c:pt>
                <c:pt idx="758">
                  <c:v>46417</c:v>
                </c:pt>
                <c:pt idx="759">
                  <c:v>46418</c:v>
                </c:pt>
                <c:pt idx="760">
                  <c:v>46419</c:v>
                </c:pt>
                <c:pt idx="761">
                  <c:v>46420</c:v>
                </c:pt>
                <c:pt idx="762">
                  <c:v>46421</c:v>
                </c:pt>
                <c:pt idx="763">
                  <c:v>46422</c:v>
                </c:pt>
                <c:pt idx="764">
                  <c:v>46423</c:v>
                </c:pt>
                <c:pt idx="765">
                  <c:v>46424</c:v>
                </c:pt>
                <c:pt idx="766">
                  <c:v>46425</c:v>
                </c:pt>
                <c:pt idx="767">
                  <c:v>46426</c:v>
                </c:pt>
                <c:pt idx="768">
                  <c:v>46427</c:v>
                </c:pt>
                <c:pt idx="769">
                  <c:v>46428</c:v>
                </c:pt>
                <c:pt idx="770">
                  <c:v>46429</c:v>
                </c:pt>
                <c:pt idx="771">
                  <c:v>46430</c:v>
                </c:pt>
                <c:pt idx="772">
                  <c:v>46431</c:v>
                </c:pt>
                <c:pt idx="773">
                  <c:v>46432</c:v>
                </c:pt>
                <c:pt idx="774">
                  <c:v>46433</c:v>
                </c:pt>
                <c:pt idx="775">
                  <c:v>46434</c:v>
                </c:pt>
                <c:pt idx="776">
                  <c:v>46435</c:v>
                </c:pt>
                <c:pt idx="777">
                  <c:v>46436</c:v>
                </c:pt>
                <c:pt idx="778">
                  <c:v>46437</c:v>
                </c:pt>
                <c:pt idx="779">
                  <c:v>46438</c:v>
                </c:pt>
                <c:pt idx="780">
                  <c:v>46439</c:v>
                </c:pt>
                <c:pt idx="781">
                  <c:v>46440</c:v>
                </c:pt>
                <c:pt idx="782">
                  <c:v>46441</c:v>
                </c:pt>
                <c:pt idx="783">
                  <c:v>46442</c:v>
                </c:pt>
                <c:pt idx="784">
                  <c:v>46443</c:v>
                </c:pt>
                <c:pt idx="785">
                  <c:v>46444</c:v>
                </c:pt>
                <c:pt idx="786">
                  <c:v>46445</c:v>
                </c:pt>
                <c:pt idx="787">
                  <c:v>46446</c:v>
                </c:pt>
                <c:pt idx="788">
                  <c:v>46447</c:v>
                </c:pt>
                <c:pt idx="789">
                  <c:v>46448</c:v>
                </c:pt>
                <c:pt idx="790">
                  <c:v>46449</c:v>
                </c:pt>
                <c:pt idx="791">
                  <c:v>46450</c:v>
                </c:pt>
                <c:pt idx="792">
                  <c:v>46451</c:v>
                </c:pt>
                <c:pt idx="793">
                  <c:v>46452</c:v>
                </c:pt>
                <c:pt idx="794">
                  <c:v>46453</c:v>
                </c:pt>
                <c:pt idx="795">
                  <c:v>46454</c:v>
                </c:pt>
                <c:pt idx="796">
                  <c:v>46455</c:v>
                </c:pt>
                <c:pt idx="797">
                  <c:v>46456</c:v>
                </c:pt>
                <c:pt idx="798">
                  <c:v>46457</c:v>
                </c:pt>
                <c:pt idx="799">
                  <c:v>46458</c:v>
                </c:pt>
                <c:pt idx="800">
                  <c:v>46459</c:v>
                </c:pt>
                <c:pt idx="801">
                  <c:v>46460</c:v>
                </c:pt>
                <c:pt idx="802">
                  <c:v>46461</c:v>
                </c:pt>
                <c:pt idx="803">
                  <c:v>46462</c:v>
                </c:pt>
                <c:pt idx="804">
                  <c:v>46463</c:v>
                </c:pt>
                <c:pt idx="805">
                  <c:v>46464</c:v>
                </c:pt>
                <c:pt idx="806">
                  <c:v>46465</c:v>
                </c:pt>
                <c:pt idx="807">
                  <c:v>46466</c:v>
                </c:pt>
                <c:pt idx="808">
                  <c:v>46467</c:v>
                </c:pt>
                <c:pt idx="809">
                  <c:v>46468</c:v>
                </c:pt>
                <c:pt idx="810">
                  <c:v>46469</c:v>
                </c:pt>
                <c:pt idx="811">
                  <c:v>46470</c:v>
                </c:pt>
                <c:pt idx="812">
                  <c:v>46471</c:v>
                </c:pt>
                <c:pt idx="813">
                  <c:v>46472</c:v>
                </c:pt>
                <c:pt idx="814">
                  <c:v>46473</c:v>
                </c:pt>
                <c:pt idx="815">
                  <c:v>46474</c:v>
                </c:pt>
                <c:pt idx="816">
                  <c:v>46475</c:v>
                </c:pt>
                <c:pt idx="817">
                  <c:v>46476</c:v>
                </c:pt>
                <c:pt idx="818">
                  <c:v>46477</c:v>
                </c:pt>
                <c:pt idx="819">
                  <c:v>46478</c:v>
                </c:pt>
                <c:pt idx="820">
                  <c:v>46479</c:v>
                </c:pt>
                <c:pt idx="821">
                  <c:v>46480</c:v>
                </c:pt>
                <c:pt idx="822">
                  <c:v>46481</c:v>
                </c:pt>
                <c:pt idx="823">
                  <c:v>46482</c:v>
                </c:pt>
                <c:pt idx="824">
                  <c:v>46483</c:v>
                </c:pt>
                <c:pt idx="825">
                  <c:v>46484</c:v>
                </c:pt>
                <c:pt idx="826">
                  <c:v>46485</c:v>
                </c:pt>
                <c:pt idx="827">
                  <c:v>46486</c:v>
                </c:pt>
                <c:pt idx="828">
                  <c:v>46487</c:v>
                </c:pt>
                <c:pt idx="829">
                  <c:v>46488</c:v>
                </c:pt>
                <c:pt idx="830">
                  <c:v>46489</c:v>
                </c:pt>
                <c:pt idx="831">
                  <c:v>46490</c:v>
                </c:pt>
                <c:pt idx="832">
                  <c:v>46491</c:v>
                </c:pt>
                <c:pt idx="833">
                  <c:v>46492</c:v>
                </c:pt>
                <c:pt idx="834">
                  <c:v>46493</c:v>
                </c:pt>
                <c:pt idx="835">
                  <c:v>46494</c:v>
                </c:pt>
                <c:pt idx="836">
                  <c:v>46495</c:v>
                </c:pt>
                <c:pt idx="837">
                  <c:v>46496</c:v>
                </c:pt>
                <c:pt idx="838">
                  <c:v>46497</c:v>
                </c:pt>
                <c:pt idx="839">
                  <c:v>46498</c:v>
                </c:pt>
                <c:pt idx="840">
                  <c:v>46499</c:v>
                </c:pt>
                <c:pt idx="841">
                  <c:v>46500</c:v>
                </c:pt>
                <c:pt idx="842">
                  <c:v>46501</c:v>
                </c:pt>
                <c:pt idx="843">
                  <c:v>46502</c:v>
                </c:pt>
                <c:pt idx="844">
                  <c:v>46503</c:v>
                </c:pt>
                <c:pt idx="845">
                  <c:v>46504</c:v>
                </c:pt>
                <c:pt idx="846">
                  <c:v>46505</c:v>
                </c:pt>
                <c:pt idx="847">
                  <c:v>46506</c:v>
                </c:pt>
                <c:pt idx="848">
                  <c:v>46507</c:v>
                </c:pt>
                <c:pt idx="849">
                  <c:v>46508</c:v>
                </c:pt>
                <c:pt idx="850">
                  <c:v>46509</c:v>
                </c:pt>
                <c:pt idx="851">
                  <c:v>46510</c:v>
                </c:pt>
                <c:pt idx="852">
                  <c:v>46511</c:v>
                </c:pt>
                <c:pt idx="853">
                  <c:v>46512</c:v>
                </c:pt>
                <c:pt idx="854">
                  <c:v>46513</c:v>
                </c:pt>
                <c:pt idx="855">
                  <c:v>46514</c:v>
                </c:pt>
                <c:pt idx="856">
                  <c:v>46515</c:v>
                </c:pt>
                <c:pt idx="857">
                  <c:v>46516</c:v>
                </c:pt>
                <c:pt idx="858">
                  <c:v>46517</c:v>
                </c:pt>
                <c:pt idx="859">
                  <c:v>46518</c:v>
                </c:pt>
                <c:pt idx="860">
                  <c:v>46519</c:v>
                </c:pt>
                <c:pt idx="861">
                  <c:v>46520</c:v>
                </c:pt>
                <c:pt idx="862">
                  <c:v>46521</c:v>
                </c:pt>
                <c:pt idx="863">
                  <c:v>46522</c:v>
                </c:pt>
                <c:pt idx="864">
                  <c:v>46523</c:v>
                </c:pt>
                <c:pt idx="865">
                  <c:v>46524</c:v>
                </c:pt>
                <c:pt idx="866">
                  <c:v>46525</c:v>
                </c:pt>
                <c:pt idx="867">
                  <c:v>46526</c:v>
                </c:pt>
                <c:pt idx="868">
                  <c:v>46527</c:v>
                </c:pt>
                <c:pt idx="869">
                  <c:v>46528</c:v>
                </c:pt>
                <c:pt idx="870">
                  <c:v>46529</c:v>
                </c:pt>
                <c:pt idx="871">
                  <c:v>46530</c:v>
                </c:pt>
                <c:pt idx="872">
                  <c:v>46531</c:v>
                </c:pt>
                <c:pt idx="873">
                  <c:v>46532</c:v>
                </c:pt>
                <c:pt idx="874">
                  <c:v>46533</c:v>
                </c:pt>
                <c:pt idx="875">
                  <c:v>46534</c:v>
                </c:pt>
                <c:pt idx="876">
                  <c:v>46535</c:v>
                </c:pt>
                <c:pt idx="877">
                  <c:v>46536</c:v>
                </c:pt>
                <c:pt idx="878">
                  <c:v>46537</c:v>
                </c:pt>
                <c:pt idx="879">
                  <c:v>46538</c:v>
                </c:pt>
                <c:pt idx="880">
                  <c:v>46539</c:v>
                </c:pt>
                <c:pt idx="881">
                  <c:v>46540</c:v>
                </c:pt>
                <c:pt idx="882">
                  <c:v>46541</c:v>
                </c:pt>
                <c:pt idx="883">
                  <c:v>46542</c:v>
                </c:pt>
                <c:pt idx="884">
                  <c:v>46543</c:v>
                </c:pt>
                <c:pt idx="885">
                  <c:v>46544</c:v>
                </c:pt>
                <c:pt idx="886">
                  <c:v>46545</c:v>
                </c:pt>
                <c:pt idx="887">
                  <c:v>46546</c:v>
                </c:pt>
                <c:pt idx="888">
                  <c:v>46547</c:v>
                </c:pt>
                <c:pt idx="889">
                  <c:v>46548</c:v>
                </c:pt>
                <c:pt idx="890">
                  <c:v>46549</c:v>
                </c:pt>
                <c:pt idx="891">
                  <c:v>46550</c:v>
                </c:pt>
                <c:pt idx="892">
                  <c:v>46551</c:v>
                </c:pt>
                <c:pt idx="893">
                  <c:v>46552</c:v>
                </c:pt>
                <c:pt idx="894">
                  <c:v>46553</c:v>
                </c:pt>
                <c:pt idx="895">
                  <c:v>46554</c:v>
                </c:pt>
                <c:pt idx="896">
                  <c:v>46555</c:v>
                </c:pt>
                <c:pt idx="897">
                  <c:v>46556</c:v>
                </c:pt>
                <c:pt idx="898">
                  <c:v>46557</c:v>
                </c:pt>
                <c:pt idx="899">
                  <c:v>46558</c:v>
                </c:pt>
                <c:pt idx="900">
                  <c:v>46559</c:v>
                </c:pt>
                <c:pt idx="901">
                  <c:v>46560</c:v>
                </c:pt>
                <c:pt idx="902">
                  <c:v>46561</c:v>
                </c:pt>
                <c:pt idx="903">
                  <c:v>46562</c:v>
                </c:pt>
                <c:pt idx="904">
                  <c:v>46563</c:v>
                </c:pt>
                <c:pt idx="905">
                  <c:v>46564</c:v>
                </c:pt>
                <c:pt idx="906">
                  <c:v>46565</c:v>
                </c:pt>
                <c:pt idx="907">
                  <c:v>46566</c:v>
                </c:pt>
                <c:pt idx="908">
                  <c:v>46567</c:v>
                </c:pt>
                <c:pt idx="909">
                  <c:v>46568</c:v>
                </c:pt>
                <c:pt idx="910">
                  <c:v>46569</c:v>
                </c:pt>
                <c:pt idx="911">
                  <c:v>46570</c:v>
                </c:pt>
                <c:pt idx="912">
                  <c:v>46571</c:v>
                </c:pt>
                <c:pt idx="913">
                  <c:v>46572</c:v>
                </c:pt>
                <c:pt idx="914">
                  <c:v>46573</c:v>
                </c:pt>
                <c:pt idx="915">
                  <c:v>46574</c:v>
                </c:pt>
                <c:pt idx="916">
                  <c:v>46575</c:v>
                </c:pt>
                <c:pt idx="917">
                  <c:v>46576</c:v>
                </c:pt>
                <c:pt idx="918">
                  <c:v>46577</c:v>
                </c:pt>
                <c:pt idx="919">
                  <c:v>46578</c:v>
                </c:pt>
                <c:pt idx="920">
                  <c:v>46579</c:v>
                </c:pt>
                <c:pt idx="921">
                  <c:v>46580</c:v>
                </c:pt>
                <c:pt idx="922">
                  <c:v>46581</c:v>
                </c:pt>
                <c:pt idx="923">
                  <c:v>46582</c:v>
                </c:pt>
                <c:pt idx="924">
                  <c:v>46583</c:v>
                </c:pt>
                <c:pt idx="925">
                  <c:v>46584</c:v>
                </c:pt>
                <c:pt idx="926">
                  <c:v>46585</c:v>
                </c:pt>
                <c:pt idx="927">
                  <c:v>46586</c:v>
                </c:pt>
                <c:pt idx="928">
                  <c:v>46587</c:v>
                </c:pt>
                <c:pt idx="929">
                  <c:v>46588</c:v>
                </c:pt>
                <c:pt idx="930">
                  <c:v>46589</c:v>
                </c:pt>
                <c:pt idx="931">
                  <c:v>46590</c:v>
                </c:pt>
                <c:pt idx="932">
                  <c:v>46591</c:v>
                </c:pt>
                <c:pt idx="933">
                  <c:v>46592</c:v>
                </c:pt>
                <c:pt idx="934">
                  <c:v>46593</c:v>
                </c:pt>
                <c:pt idx="935">
                  <c:v>46594</c:v>
                </c:pt>
                <c:pt idx="936">
                  <c:v>46595</c:v>
                </c:pt>
                <c:pt idx="937">
                  <c:v>46596</c:v>
                </c:pt>
                <c:pt idx="938">
                  <c:v>46597</c:v>
                </c:pt>
                <c:pt idx="939">
                  <c:v>46598</c:v>
                </c:pt>
                <c:pt idx="940">
                  <c:v>46599</c:v>
                </c:pt>
                <c:pt idx="941">
                  <c:v>46600</c:v>
                </c:pt>
                <c:pt idx="942">
                  <c:v>46601</c:v>
                </c:pt>
                <c:pt idx="943">
                  <c:v>46602</c:v>
                </c:pt>
                <c:pt idx="944">
                  <c:v>46603</c:v>
                </c:pt>
                <c:pt idx="945">
                  <c:v>46604</c:v>
                </c:pt>
                <c:pt idx="946">
                  <c:v>46605</c:v>
                </c:pt>
                <c:pt idx="947">
                  <c:v>46606</c:v>
                </c:pt>
                <c:pt idx="948">
                  <c:v>46607</c:v>
                </c:pt>
                <c:pt idx="949">
                  <c:v>46608</c:v>
                </c:pt>
                <c:pt idx="950">
                  <c:v>46609</c:v>
                </c:pt>
                <c:pt idx="951">
                  <c:v>46610</c:v>
                </c:pt>
                <c:pt idx="952">
                  <c:v>46611</c:v>
                </c:pt>
                <c:pt idx="953">
                  <c:v>46612</c:v>
                </c:pt>
                <c:pt idx="954">
                  <c:v>46613</c:v>
                </c:pt>
                <c:pt idx="955">
                  <c:v>46614</c:v>
                </c:pt>
                <c:pt idx="956">
                  <c:v>46615</c:v>
                </c:pt>
                <c:pt idx="957">
                  <c:v>46616</c:v>
                </c:pt>
                <c:pt idx="958">
                  <c:v>46617</c:v>
                </c:pt>
                <c:pt idx="959">
                  <c:v>46618</c:v>
                </c:pt>
                <c:pt idx="960">
                  <c:v>46619</c:v>
                </c:pt>
                <c:pt idx="961">
                  <c:v>46620</c:v>
                </c:pt>
                <c:pt idx="962">
                  <c:v>46621</c:v>
                </c:pt>
                <c:pt idx="963">
                  <c:v>46622</c:v>
                </c:pt>
                <c:pt idx="964">
                  <c:v>46623</c:v>
                </c:pt>
                <c:pt idx="965">
                  <c:v>46624</c:v>
                </c:pt>
                <c:pt idx="966">
                  <c:v>46625</c:v>
                </c:pt>
                <c:pt idx="967">
                  <c:v>46626</c:v>
                </c:pt>
                <c:pt idx="968">
                  <c:v>46627</c:v>
                </c:pt>
                <c:pt idx="969">
                  <c:v>46628</c:v>
                </c:pt>
                <c:pt idx="970">
                  <c:v>46629</c:v>
                </c:pt>
                <c:pt idx="971">
                  <c:v>46630</c:v>
                </c:pt>
                <c:pt idx="972">
                  <c:v>46631</c:v>
                </c:pt>
                <c:pt idx="973">
                  <c:v>46632</c:v>
                </c:pt>
                <c:pt idx="974">
                  <c:v>46633</c:v>
                </c:pt>
                <c:pt idx="975">
                  <c:v>46634</c:v>
                </c:pt>
                <c:pt idx="976">
                  <c:v>46635</c:v>
                </c:pt>
                <c:pt idx="977">
                  <c:v>46636</c:v>
                </c:pt>
                <c:pt idx="978">
                  <c:v>46637</c:v>
                </c:pt>
                <c:pt idx="979">
                  <c:v>46638</c:v>
                </c:pt>
                <c:pt idx="980">
                  <c:v>46639</c:v>
                </c:pt>
                <c:pt idx="981">
                  <c:v>46640</c:v>
                </c:pt>
                <c:pt idx="982">
                  <c:v>46641</c:v>
                </c:pt>
                <c:pt idx="983">
                  <c:v>46642</c:v>
                </c:pt>
                <c:pt idx="984">
                  <c:v>46643</c:v>
                </c:pt>
                <c:pt idx="985">
                  <c:v>46644</c:v>
                </c:pt>
                <c:pt idx="986">
                  <c:v>46645</c:v>
                </c:pt>
                <c:pt idx="987">
                  <c:v>46646</c:v>
                </c:pt>
                <c:pt idx="988">
                  <c:v>46647</c:v>
                </c:pt>
                <c:pt idx="989">
                  <c:v>46648</c:v>
                </c:pt>
                <c:pt idx="990">
                  <c:v>46649</c:v>
                </c:pt>
                <c:pt idx="991">
                  <c:v>46650</c:v>
                </c:pt>
                <c:pt idx="992">
                  <c:v>46651</c:v>
                </c:pt>
                <c:pt idx="993">
                  <c:v>46652</c:v>
                </c:pt>
                <c:pt idx="994">
                  <c:v>46653</c:v>
                </c:pt>
                <c:pt idx="995">
                  <c:v>46654</c:v>
                </c:pt>
                <c:pt idx="996">
                  <c:v>46655</c:v>
                </c:pt>
                <c:pt idx="997">
                  <c:v>46656</c:v>
                </c:pt>
                <c:pt idx="998">
                  <c:v>46657</c:v>
                </c:pt>
                <c:pt idx="999">
                  <c:v>46658</c:v>
                </c:pt>
                <c:pt idx="1000">
                  <c:v>46659</c:v>
                </c:pt>
                <c:pt idx="1001">
                  <c:v>46660</c:v>
                </c:pt>
                <c:pt idx="1002">
                  <c:v>46661</c:v>
                </c:pt>
                <c:pt idx="1003">
                  <c:v>46662</c:v>
                </c:pt>
                <c:pt idx="1004">
                  <c:v>46663</c:v>
                </c:pt>
                <c:pt idx="1005">
                  <c:v>46664</c:v>
                </c:pt>
                <c:pt idx="1006">
                  <c:v>46665</c:v>
                </c:pt>
                <c:pt idx="1007">
                  <c:v>46666</c:v>
                </c:pt>
                <c:pt idx="1008">
                  <c:v>46667</c:v>
                </c:pt>
                <c:pt idx="1009">
                  <c:v>46668</c:v>
                </c:pt>
                <c:pt idx="1010">
                  <c:v>46669</c:v>
                </c:pt>
                <c:pt idx="1011">
                  <c:v>46670</c:v>
                </c:pt>
                <c:pt idx="1012">
                  <c:v>46671</c:v>
                </c:pt>
                <c:pt idx="1013">
                  <c:v>46672</c:v>
                </c:pt>
                <c:pt idx="1014">
                  <c:v>46673</c:v>
                </c:pt>
                <c:pt idx="1015">
                  <c:v>46674</c:v>
                </c:pt>
                <c:pt idx="1016">
                  <c:v>46675</c:v>
                </c:pt>
                <c:pt idx="1017">
                  <c:v>46676</c:v>
                </c:pt>
                <c:pt idx="1018">
                  <c:v>46677</c:v>
                </c:pt>
                <c:pt idx="1019">
                  <c:v>46678</c:v>
                </c:pt>
                <c:pt idx="1020">
                  <c:v>46679</c:v>
                </c:pt>
                <c:pt idx="1021">
                  <c:v>46680</c:v>
                </c:pt>
                <c:pt idx="1022">
                  <c:v>46681</c:v>
                </c:pt>
                <c:pt idx="1023">
                  <c:v>46682</c:v>
                </c:pt>
                <c:pt idx="1024">
                  <c:v>46683</c:v>
                </c:pt>
                <c:pt idx="1025">
                  <c:v>46684</c:v>
                </c:pt>
                <c:pt idx="1026">
                  <c:v>46685</c:v>
                </c:pt>
                <c:pt idx="1027">
                  <c:v>46686</c:v>
                </c:pt>
                <c:pt idx="1028">
                  <c:v>46687</c:v>
                </c:pt>
                <c:pt idx="1029">
                  <c:v>46688</c:v>
                </c:pt>
                <c:pt idx="1030">
                  <c:v>46689</c:v>
                </c:pt>
                <c:pt idx="1031">
                  <c:v>46690</c:v>
                </c:pt>
                <c:pt idx="1032">
                  <c:v>46691</c:v>
                </c:pt>
                <c:pt idx="1033">
                  <c:v>46692</c:v>
                </c:pt>
                <c:pt idx="1034">
                  <c:v>46693</c:v>
                </c:pt>
                <c:pt idx="1035">
                  <c:v>46694</c:v>
                </c:pt>
                <c:pt idx="1036">
                  <c:v>46695</c:v>
                </c:pt>
                <c:pt idx="1037">
                  <c:v>46696</c:v>
                </c:pt>
                <c:pt idx="1038">
                  <c:v>46697</c:v>
                </c:pt>
                <c:pt idx="1039">
                  <c:v>46698</c:v>
                </c:pt>
                <c:pt idx="1040">
                  <c:v>46699</c:v>
                </c:pt>
                <c:pt idx="1041">
                  <c:v>46700</c:v>
                </c:pt>
                <c:pt idx="1042">
                  <c:v>46701</c:v>
                </c:pt>
                <c:pt idx="1043">
                  <c:v>46702</c:v>
                </c:pt>
                <c:pt idx="1044">
                  <c:v>46703</c:v>
                </c:pt>
                <c:pt idx="1045">
                  <c:v>46704</c:v>
                </c:pt>
                <c:pt idx="1046">
                  <c:v>46705</c:v>
                </c:pt>
                <c:pt idx="1047">
                  <c:v>46706</c:v>
                </c:pt>
                <c:pt idx="1048">
                  <c:v>46707</c:v>
                </c:pt>
                <c:pt idx="1049">
                  <c:v>46708</c:v>
                </c:pt>
                <c:pt idx="1050">
                  <c:v>46709</c:v>
                </c:pt>
                <c:pt idx="1051">
                  <c:v>46710</c:v>
                </c:pt>
                <c:pt idx="1052">
                  <c:v>46711</c:v>
                </c:pt>
                <c:pt idx="1053">
                  <c:v>46712</c:v>
                </c:pt>
                <c:pt idx="1054">
                  <c:v>46713</c:v>
                </c:pt>
                <c:pt idx="1055">
                  <c:v>46714</c:v>
                </c:pt>
                <c:pt idx="1056">
                  <c:v>46715</c:v>
                </c:pt>
                <c:pt idx="1057">
                  <c:v>46716</c:v>
                </c:pt>
                <c:pt idx="1058">
                  <c:v>46717</c:v>
                </c:pt>
                <c:pt idx="1059">
                  <c:v>46718</c:v>
                </c:pt>
                <c:pt idx="1060">
                  <c:v>46719</c:v>
                </c:pt>
                <c:pt idx="1061">
                  <c:v>46720</c:v>
                </c:pt>
                <c:pt idx="1062">
                  <c:v>46721</c:v>
                </c:pt>
                <c:pt idx="1063">
                  <c:v>46722</c:v>
                </c:pt>
                <c:pt idx="1064">
                  <c:v>46723</c:v>
                </c:pt>
                <c:pt idx="1065">
                  <c:v>46724</c:v>
                </c:pt>
                <c:pt idx="1066">
                  <c:v>46725</c:v>
                </c:pt>
                <c:pt idx="1067">
                  <c:v>46726</c:v>
                </c:pt>
                <c:pt idx="1068">
                  <c:v>46727</c:v>
                </c:pt>
                <c:pt idx="1069">
                  <c:v>46728</c:v>
                </c:pt>
                <c:pt idx="1070">
                  <c:v>46729</c:v>
                </c:pt>
                <c:pt idx="1071">
                  <c:v>46730</c:v>
                </c:pt>
                <c:pt idx="1072">
                  <c:v>46731</c:v>
                </c:pt>
                <c:pt idx="1073">
                  <c:v>46732</c:v>
                </c:pt>
                <c:pt idx="1074">
                  <c:v>46733</c:v>
                </c:pt>
                <c:pt idx="1075">
                  <c:v>46734</c:v>
                </c:pt>
                <c:pt idx="1076">
                  <c:v>46735</c:v>
                </c:pt>
                <c:pt idx="1077">
                  <c:v>46736</c:v>
                </c:pt>
                <c:pt idx="1078">
                  <c:v>46737</c:v>
                </c:pt>
                <c:pt idx="1079">
                  <c:v>46738</c:v>
                </c:pt>
                <c:pt idx="1080">
                  <c:v>46739</c:v>
                </c:pt>
                <c:pt idx="1081">
                  <c:v>46740</c:v>
                </c:pt>
                <c:pt idx="1082">
                  <c:v>46741</c:v>
                </c:pt>
                <c:pt idx="1083">
                  <c:v>46742</c:v>
                </c:pt>
                <c:pt idx="1084">
                  <c:v>46743</c:v>
                </c:pt>
                <c:pt idx="1085">
                  <c:v>46744</c:v>
                </c:pt>
                <c:pt idx="1086">
                  <c:v>46745</c:v>
                </c:pt>
                <c:pt idx="1087">
                  <c:v>46746</c:v>
                </c:pt>
                <c:pt idx="1088">
                  <c:v>46747</c:v>
                </c:pt>
                <c:pt idx="1089">
                  <c:v>46748</c:v>
                </c:pt>
                <c:pt idx="1090">
                  <c:v>46749</c:v>
                </c:pt>
                <c:pt idx="1091">
                  <c:v>46750</c:v>
                </c:pt>
                <c:pt idx="1092">
                  <c:v>46751</c:v>
                </c:pt>
                <c:pt idx="1093">
                  <c:v>46752</c:v>
                </c:pt>
                <c:pt idx="1094">
                  <c:v>46753</c:v>
                </c:pt>
                <c:pt idx="1095">
                  <c:v>46754</c:v>
                </c:pt>
                <c:pt idx="1096">
                  <c:v>46755</c:v>
                </c:pt>
                <c:pt idx="1097">
                  <c:v>46756</c:v>
                </c:pt>
                <c:pt idx="1098">
                  <c:v>46757</c:v>
                </c:pt>
                <c:pt idx="1099">
                  <c:v>46758</c:v>
                </c:pt>
                <c:pt idx="1100">
                  <c:v>46759</c:v>
                </c:pt>
                <c:pt idx="1101">
                  <c:v>46760</c:v>
                </c:pt>
                <c:pt idx="1102">
                  <c:v>46761</c:v>
                </c:pt>
                <c:pt idx="1103">
                  <c:v>46762</c:v>
                </c:pt>
                <c:pt idx="1104">
                  <c:v>46763</c:v>
                </c:pt>
                <c:pt idx="1105">
                  <c:v>46764</c:v>
                </c:pt>
                <c:pt idx="1106">
                  <c:v>46765</c:v>
                </c:pt>
                <c:pt idx="1107">
                  <c:v>46766</c:v>
                </c:pt>
                <c:pt idx="1108">
                  <c:v>46767</c:v>
                </c:pt>
                <c:pt idx="1109">
                  <c:v>46768</c:v>
                </c:pt>
                <c:pt idx="1110">
                  <c:v>46769</c:v>
                </c:pt>
                <c:pt idx="1111">
                  <c:v>46770</c:v>
                </c:pt>
                <c:pt idx="1112">
                  <c:v>46771</c:v>
                </c:pt>
                <c:pt idx="1113">
                  <c:v>46772</c:v>
                </c:pt>
                <c:pt idx="1114">
                  <c:v>46773</c:v>
                </c:pt>
                <c:pt idx="1115">
                  <c:v>46774</c:v>
                </c:pt>
                <c:pt idx="1116">
                  <c:v>46775</c:v>
                </c:pt>
                <c:pt idx="1117">
                  <c:v>46776</c:v>
                </c:pt>
                <c:pt idx="1118">
                  <c:v>46777</c:v>
                </c:pt>
                <c:pt idx="1119">
                  <c:v>46778</c:v>
                </c:pt>
                <c:pt idx="1120">
                  <c:v>46779</c:v>
                </c:pt>
                <c:pt idx="1121">
                  <c:v>46780</c:v>
                </c:pt>
                <c:pt idx="1122">
                  <c:v>46781</c:v>
                </c:pt>
                <c:pt idx="1123">
                  <c:v>46782</c:v>
                </c:pt>
                <c:pt idx="1124">
                  <c:v>46783</c:v>
                </c:pt>
                <c:pt idx="1125">
                  <c:v>46784</c:v>
                </c:pt>
                <c:pt idx="1126">
                  <c:v>46785</c:v>
                </c:pt>
                <c:pt idx="1127">
                  <c:v>46786</c:v>
                </c:pt>
                <c:pt idx="1128">
                  <c:v>46787</c:v>
                </c:pt>
                <c:pt idx="1129">
                  <c:v>46788</c:v>
                </c:pt>
                <c:pt idx="1130">
                  <c:v>46789</c:v>
                </c:pt>
                <c:pt idx="1131">
                  <c:v>46790</c:v>
                </c:pt>
                <c:pt idx="1132">
                  <c:v>46791</c:v>
                </c:pt>
                <c:pt idx="1133">
                  <c:v>46792</c:v>
                </c:pt>
                <c:pt idx="1134">
                  <c:v>46793</c:v>
                </c:pt>
                <c:pt idx="1135">
                  <c:v>46794</c:v>
                </c:pt>
                <c:pt idx="1136">
                  <c:v>46795</c:v>
                </c:pt>
                <c:pt idx="1137">
                  <c:v>46796</c:v>
                </c:pt>
                <c:pt idx="1138">
                  <c:v>46797</c:v>
                </c:pt>
                <c:pt idx="1139">
                  <c:v>46798</c:v>
                </c:pt>
                <c:pt idx="1140">
                  <c:v>46799</c:v>
                </c:pt>
                <c:pt idx="1141">
                  <c:v>46800</c:v>
                </c:pt>
                <c:pt idx="1142">
                  <c:v>46801</c:v>
                </c:pt>
                <c:pt idx="1143">
                  <c:v>46802</c:v>
                </c:pt>
                <c:pt idx="1144">
                  <c:v>46803</c:v>
                </c:pt>
                <c:pt idx="1145">
                  <c:v>46804</c:v>
                </c:pt>
                <c:pt idx="1146">
                  <c:v>46805</c:v>
                </c:pt>
                <c:pt idx="1147">
                  <c:v>46806</c:v>
                </c:pt>
                <c:pt idx="1148">
                  <c:v>46807</c:v>
                </c:pt>
                <c:pt idx="1149">
                  <c:v>46808</c:v>
                </c:pt>
                <c:pt idx="1150">
                  <c:v>46809</c:v>
                </c:pt>
                <c:pt idx="1151">
                  <c:v>46810</c:v>
                </c:pt>
                <c:pt idx="1152">
                  <c:v>46811</c:v>
                </c:pt>
                <c:pt idx="1153">
                  <c:v>46812</c:v>
                </c:pt>
                <c:pt idx="1154">
                  <c:v>46813</c:v>
                </c:pt>
                <c:pt idx="1155">
                  <c:v>46814</c:v>
                </c:pt>
                <c:pt idx="1156">
                  <c:v>46815</c:v>
                </c:pt>
                <c:pt idx="1157">
                  <c:v>46816</c:v>
                </c:pt>
                <c:pt idx="1158">
                  <c:v>46817</c:v>
                </c:pt>
                <c:pt idx="1159">
                  <c:v>46818</c:v>
                </c:pt>
                <c:pt idx="1160">
                  <c:v>46819</c:v>
                </c:pt>
                <c:pt idx="1161">
                  <c:v>46820</c:v>
                </c:pt>
                <c:pt idx="1162">
                  <c:v>46821</c:v>
                </c:pt>
                <c:pt idx="1163">
                  <c:v>46822</c:v>
                </c:pt>
                <c:pt idx="1164">
                  <c:v>46823</c:v>
                </c:pt>
                <c:pt idx="1165">
                  <c:v>46824</c:v>
                </c:pt>
                <c:pt idx="1166">
                  <c:v>46825</c:v>
                </c:pt>
                <c:pt idx="1167">
                  <c:v>46826</c:v>
                </c:pt>
                <c:pt idx="1168">
                  <c:v>46827</c:v>
                </c:pt>
                <c:pt idx="1169">
                  <c:v>46828</c:v>
                </c:pt>
                <c:pt idx="1170">
                  <c:v>46829</c:v>
                </c:pt>
                <c:pt idx="1171">
                  <c:v>46830</c:v>
                </c:pt>
                <c:pt idx="1172">
                  <c:v>46831</c:v>
                </c:pt>
                <c:pt idx="1173">
                  <c:v>46832</c:v>
                </c:pt>
                <c:pt idx="1174">
                  <c:v>46833</c:v>
                </c:pt>
                <c:pt idx="1175">
                  <c:v>46834</c:v>
                </c:pt>
                <c:pt idx="1176">
                  <c:v>46835</c:v>
                </c:pt>
                <c:pt idx="1177">
                  <c:v>46836</c:v>
                </c:pt>
                <c:pt idx="1178">
                  <c:v>46837</c:v>
                </c:pt>
                <c:pt idx="1179">
                  <c:v>46838</c:v>
                </c:pt>
                <c:pt idx="1180">
                  <c:v>46839</c:v>
                </c:pt>
                <c:pt idx="1181">
                  <c:v>46840</c:v>
                </c:pt>
                <c:pt idx="1182">
                  <c:v>46841</c:v>
                </c:pt>
                <c:pt idx="1183">
                  <c:v>46842</c:v>
                </c:pt>
                <c:pt idx="1184">
                  <c:v>46843</c:v>
                </c:pt>
                <c:pt idx="1185">
                  <c:v>46844</c:v>
                </c:pt>
                <c:pt idx="1186">
                  <c:v>46845</c:v>
                </c:pt>
                <c:pt idx="1187">
                  <c:v>46846</c:v>
                </c:pt>
                <c:pt idx="1188">
                  <c:v>46847</c:v>
                </c:pt>
                <c:pt idx="1189">
                  <c:v>46848</c:v>
                </c:pt>
                <c:pt idx="1190">
                  <c:v>46849</c:v>
                </c:pt>
                <c:pt idx="1191">
                  <c:v>46850</c:v>
                </c:pt>
                <c:pt idx="1192">
                  <c:v>46851</c:v>
                </c:pt>
                <c:pt idx="1193">
                  <c:v>46852</c:v>
                </c:pt>
                <c:pt idx="1194">
                  <c:v>46853</c:v>
                </c:pt>
                <c:pt idx="1195">
                  <c:v>46854</c:v>
                </c:pt>
                <c:pt idx="1196">
                  <c:v>46855</c:v>
                </c:pt>
                <c:pt idx="1197">
                  <c:v>46856</c:v>
                </c:pt>
                <c:pt idx="1198">
                  <c:v>46857</c:v>
                </c:pt>
                <c:pt idx="1199">
                  <c:v>46858</c:v>
                </c:pt>
                <c:pt idx="1200">
                  <c:v>46859</c:v>
                </c:pt>
                <c:pt idx="1201">
                  <c:v>46860</c:v>
                </c:pt>
                <c:pt idx="1202">
                  <c:v>46861</c:v>
                </c:pt>
                <c:pt idx="1203">
                  <c:v>46862</c:v>
                </c:pt>
                <c:pt idx="1204">
                  <c:v>46863</c:v>
                </c:pt>
                <c:pt idx="1205">
                  <c:v>46864</c:v>
                </c:pt>
                <c:pt idx="1206">
                  <c:v>46865</c:v>
                </c:pt>
                <c:pt idx="1207">
                  <c:v>46866</c:v>
                </c:pt>
                <c:pt idx="1208">
                  <c:v>46867</c:v>
                </c:pt>
                <c:pt idx="1209">
                  <c:v>46868</c:v>
                </c:pt>
                <c:pt idx="1210">
                  <c:v>46869</c:v>
                </c:pt>
                <c:pt idx="1211">
                  <c:v>46870</c:v>
                </c:pt>
                <c:pt idx="1212">
                  <c:v>46871</c:v>
                </c:pt>
                <c:pt idx="1213">
                  <c:v>46872</c:v>
                </c:pt>
                <c:pt idx="1214">
                  <c:v>46873</c:v>
                </c:pt>
                <c:pt idx="1215">
                  <c:v>46874</c:v>
                </c:pt>
                <c:pt idx="1216">
                  <c:v>46875</c:v>
                </c:pt>
                <c:pt idx="1217">
                  <c:v>46876</c:v>
                </c:pt>
                <c:pt idx="1218">
                  <c:v>46877</c:v>
                </c:pt>
                <c:pt idx="1219">
                  <c:v>46878</c:v>
                </c:pt>
                <c:pt idx="1220">
                  <c:v>46879</c:v>
                </c:pt>
                <c:pt idx="1221">
                  <c:v>46880</c:v>
                </c:pt>
                <c:pt idx="1222">
                  <c:v>46881</c:v>
                </c:pt>
                <c:pt idx="1223">
                  <c:v>46882</c:v>
                </c:pt>
                <c:pt idx="1224">
                  <c:v>46883</c:v>
                </c:pt>
                <c:pt idx="1225">
                  <c:v>46884</c:v>
                </c:pt>
                <c:pt idx="1226">
                  <c:v>46885</c:v>
                </c:pt>
                <c:pt idx="1227">
                  <c:v>46886</c:v>
                </c:pt>
                <c:pt idx="1228">
                  <c:v>46887</c:v>
                </c:pt>
                <c:pt idx="1229">
                  <c:v>46888</c:v>
                </c:pt>
                <c:pt idx="1230">
                  <c:v>46889</c:v>
                </c:pt>
                <c:pt idx="1231">
                  <c:v>46890</c:v>
                </c:pt>
                <c:pt idx="1232">
                  <c:v>46891</c:v>
                </c:pt>
                <c:pt idx="1233">
                  <c:v>46892</c:v>
                </c:pt>
                <c:pt idx="1234">
                  <c:v>46893</c:v>
                </c:pt>
                <c:pt idx="1235">
                  <c:v>46894</c:v>
                </c:pt>
                <c:pt idx="1236">
                  <c:v>46895</c:v>
                </c:pt>
                <c:pt idx="1237">
                  <c:v>46896</c:v>
                </c:pt>
                <c:pt idx="1238">
                  <c:v>46897</c:v>
                </c:pt>
                <c:pt idx="1239">
                  <c:v>46898</c:v>
                </c:pt>
                <c:pt idx="1240">
                  <c:v>46899</c:v>
                </c:pt>
                <c:pt idx="1241">
                  <c:v>46900</c:v>
                </c:pt>
                <c:pt idx="1242">
                  <c:v>46901</c:v>
                </c:pt>
                <c:pt idx="1243">
                  <c:v>46902</c:v>
                </c:pt>
                <c:pt idx="1244">
                  <c:v>46903</c:v>
                </c:pt>
                <c:pt idx="1245">
                  <c:v>46904</c:v>
                </c:pt>
                <c:pt idx="1246">
                  <c:v>46905</c:v>
                </c:pt>
                <c:pt idx="1247">
                  <c:v>46906</c:v>
                </c:pt>
                <c:pt idx="1248">
                  <c:v>46907</c:v>
                </c:pt>
                <c:pt idx="1249">
                  <c:v>46908</c:v>
                </c:pt>
                <c:pt idx="1250">
                  <c:v>46909</c:v>
                </c:pt>
                <c:pt idx="1251">
                  <c:v>46910</c:v>
                </c:pt>
                <c:pt idx="1252">
                  <c:v>46911</c:v>
                </c:pt>
                <c:pt idx="1253">
                  <c:v>46912</c:v>
                </c:pt>
                <c:pt idx="1254">
                  <c:v>46913</c:v>
                </c:pt>
                <c:pt idx="1255">
                  <c:v>46914</c:v>
                </c:pt>
                <c:pt idx="1256">
                  <c:v>46915</c:v>
                </c:pt>
                <c:pt idx="1257">
                  <c:v>46916</c:v>
                </c:pt>
                <c:pt idx="1258">
                  <c:v>46917</c:v>
                </c:pt>
                <c:pt idx="1259">
                  <c:v>46918</c:v>
                </c:pt>
                <c:pt idx="1260">
                  <c:v>46919</c:v>
                </c:pt>
                <c:pt idx="1261">
                  <c:v>46920</c:v>
                </c:pt>
                <c:pt idx="1262">
                  <c:v>46921</c:v>
                </c:pt>
                <c:pt idx="1263">
                  <c:v>46922</c:v>
                </c:pt>
                <c:pt idx="1264">
                  <c:v>46923</c:v>
                </c:pt>
                <c:pt idx="1265">
                  <c:v>46924</c:v>
                </c:pt>
                <c:pt idx="1266">
                  <c:v>46925</c:v>
                </c:pt>
                <c:pt idx="1267">
                  <c:v>46926</c:v>
                </c:pt>
                <c:pt idx="1268">
                  <c:v>46927</c:v>
                </c:pt>
                <c:pt idx="1269">
                  <c:v>46928</c:v>
                </c:pt>
                <c:pt idx="1270">
                  <c:v>46929</c:v>
                </c:pt>
                <c:pt idx="1271">
                  <c:v>46930</c:v>
                </c:pt>
                <c:pt idx="1272">
                  <c:v>46931</c:v>
                </c:pt>
                <c:pt idx="1273">
                  <c:v>46932</c:v>
                </c:pt>
                <c:pt idx="1274">
                  <c:v>46933</c:v>
                </c:pt>
                <c:pt idx="1275">
                  <c:v>46934</c:v>
                </c:pt>
                <c:pt idx="1276">
                  <c:v>46935</c:v>
                </c:pt>
                <c:pt idx="1277">
                  <c:v>46936</c:v>
                </c:pt>
                <c:pt idx="1278">
                  <c:v>46937</c:v>
                </c:pt>
                <c:pt idx="1279">
                  <c:v>46938</c:v>
                </c:pt>
                <c:pt idx="1280">
                  <c:v>46939</c:v>
                </c:pt>
                <c:pt idx="1281">
                  <c:v>46940</c:v>
                </c:pt>
                <c:pt idx="1282">
                  <c:v>46941</c:v>
                </c:pt>
                <c:pt idx="1283">
                  <c:v>46942</c:v>
                </c:pt>
                <c:pt idx="1284">
                  <c:v>46943</c:v>
                </c:pt>
                <c:pt idx="1285">
                  <c:v>46944</c:v>
                </c:pt>
                <c:pt idx="1286">
                  <c:v>46945</c:v>
                </c:pt>
                <c:pt idx="1287">
                  <c:v>46946</c:v>
                </c:pt>
                <c:pt idx="1288">
                  <c:v>46947</c:v>
                </c:pt>
                <c:pt idx="1289">
                  <c:v>46948</c:v>
                </c:pt>
                <c:pt idx="1290">
                  <c:v>46949</c:v>
                </c:pt>
                <c:pt idx="1291">
                  <c:v>46950</c:v>
                </c:pt>
                <c:pt idx="1292">
                  <c:v>46951</c:v>
                </c:pt>
                <c:pt idx="1293">
                  <c:v>46952</c:v>
                </c:pt>
                <c:pt idx="1294">
                  <c:v>46953</c:v>
                </c:pt>
                <c:pt idx="1295">
                  <c:v>46954</c:v>
                </c:pt>
                <c:pt idx="1296">
                  <c:v>46955</c:v>
                </c:pt>
                <c:pt idx="1297">
                  <c:v>46956</c:v>
                </c:pt>
                <c:pt idx="1298">
                  <c:v>46957</c:v>
                </c:pt>
                <c:pt idx="1299">
                  <c:v>46958</c:v>
                </c:pt>
                <c:pt idx="1300">
                  <c:v>46959</c:v>
                </c:pt>
                <c:pt idx="1301">
                  <c:v>46960</c:v>
                </c:pt>
                <c:pt idx="1302">
                  <c:v>46961</c:v>
                </c:pt>
                <c:pt idx="1303">
                  <c:v>46962</c:v>
                </c:pt>
                <c:pt idx="1304">
                  <c:v>46963</c:v>
                </c:pt>
                <c:pt idx="1305">
                  <c:v>46964</c:v>
                </c:pt>
                <c:pt idx="1306">
                  <c:v>46965</c:v>
                </c:pt>
                <c:pt idx="1307">
                  <c:v>46966</c:v>
                </c:pt>
                <c:pt idx="1308">
                  <c:v>46967</c:v>
                </c:pt>
                <c:pt idx="1309">
                  <c:v>46968</c:v>
                </c:pt>
                <c:pt idx="1310">
                  <c:v>46969</c:v>
                </c:pt>
                <c:pt idx="1311">
                  <c:v>46970</c:v>
                </c:pt>
                <c:pt idx="1312">
                  <c:v>46971</c:v>
                </c:pt>
                <c:pt idx="1313">
                  <c:v>46972</c:v>
                </c:pt>
                <c:pt idx="1314">
                  <c:v>46973</c:v>
                </c:pt>
                <c:pt idx="1315">
                  <c:v>46974</c:v>
                </c:pt>
                <c:pt idx="1316">
                  <c:v>46975</c:v>
                </c:pt>
                <c:pt idx="1317">
                  <c:v>46976</c:v>
                </c:pt>
                <c:pt idx="1318">
                  <c:v>46977</c:v>
                </c:pt>
                <c:pt idx="1319">
                  <c:v>46978</c:v>
                </c:pt>
                <c:pt idx="1320">
                  <c:v>46979</c:v>
                </c:pt>
                <c:pt idx="1321">
                  <c:v>46980</c:v>
                </c:pt>
                <c:pt idx="1322">
                  <c:v>46981</c:v>
                </c:pt>
                <c:pt idx="1323">
                  <c:v>46982</c:v>
                </c:pt>
                <c:pt idx="1324">
                  <c:v>46983</c:v>
                </c:pt>
                <c:pt idx="1325">
                  <c:v>46984</c:v>
                </c:pt>
                <c:pt idx="1326">
                  <c:v>46985</c:v>
                </c:pt>
                <c:pt idx="1327">
                  <c:v>46986</c:v>
                </c:pt>
                <c:pt idx="1328">
                  <c:v>46987</c:v>
                </c:pt>
                <c:pt idx="1329">
                  <c:v>46988</c:v>
                </c:pt>
                <c:pt idx="1330">
                  <c:v>46989</c:v>
                </c:pt>
                <c:pt idx="1331">
                  <c:v>46990</c:v>
                </c:pt>
                <c:pt idx="1332">
                  <c:v>46991</c:v>
                </c:pt>
                <c:pt idx="1333">
                  <c:v>46992</c:v>
                </c:pt>
                <c:pt idx="1334">
                  <c:v>46993</c:v>
                </c:pt>
                <c:pt idx="1335">
                  <c:v>46994</c:v>
                </c:pt>
                <c:pt idx="1336">
                  <c:v>46995</c:v>
                </c:pt>
                <c:pt idx="1337">
                  <c:v>46996</c:v>
                </c:pt>
                <c:pt idx="1338">
                  <c:v>46997</c:v>
                </c:pt>
                <c:pt idx="1339">
                  <c:v>46998</c:v>
                </c:pt>
                <c:pt idx="1340">
                  <c:v>46999</c:v>
                </c:pt>
                <c:pt idx="1341">
                  <c:v>47000</c:v>
                </c:pt>
                <c:pt idx="1342">
                  <c:v>47001</c:v>
                </c:pt>
                <c:pt idx="1343">
                  <c:v>47002</c:v>
                </c:pt>
                <c:pt idx="1344">
                  <c:v>47003</c:v>
                </c:pt>
                <c:pt idx="1345">
                  <c:v>47004</c:v>
                </c:pt>
                <c:pt idx="1346">
                  <c:v>47005</c:v>
                </c:pt>
                <c:pt idx="1347">
                  <c:v>47006</c:v>
                </c:pt>
                <c:pt idx="1348">
                  <c:v>47007</c:v>
                </c:pt>
                <c:pt idx="1349">
                  <c:v>47008</c:v>
                </c:pt>
                <c:pt idx="1350">
                  <c:v>47009</c:v>
                </c:pt>
                <c:pt idx="1351">
                  <c:v>47010</c:v>
                </c:pt>
                <c:pt idx="1352">
                  <c:v>47011</c:v>
                </c:pt>
                <c:pt idx="1353">
                  <c:v>47012</c:v>
                </c:pt>
                <c:pt idx="1354">
                  <c:v>47013</c:v>
                </c:pt>
                <c:pt idx="1355">
                  <c:v>47014</c:v>
                </c:pt>
                <c:pt idx="1356">
                  <c:v>47015</c:v>
                </c:pt>
                <c:pt idx="1357">
                  <c:v>47016</c:v>
                </c:pt>
                <c:pt idx="1358">
                  <c:v>47017</c:v>
                </c:pt>
                <c:pt idx="1359">
                  <c:v>47018</c:v>
                </c:pt>
                <c:pt idx="1360">
                  <c:v>47019</c:v>
                </c:pt>
                <c:pt idx="1361">
                  <c:v>47020</c:v>
                </c:pt>
                <c:pt idx="1362">
                  <c:v>47021</c:v>
                </c:pt>
                <c:pt idx="1363">
                  <c:v>47022</c:v>
                </c:pt>
                <c:pt idx="1364">
                  <c:v>47023</c:v>
                </c:pt>
                <c:pt idx="1365">
                  <c:v>47024</c:v>
                </c:pt>
                <c:pt idx="1366">
                  <c:v>47025</c:v>
                </c:pt>
                <c:pt idx="1367">
                  <c:v>47026</c:v>
                </c:pt>
                <c:pt idx="1368">
                  <c:v>47027</c:v>
                </c:pt>
                <c:pt idx="1369">
                  <c:v>47028</c:v>
                </c:pt>
                <c:pt idx="1370">
                  <c:v>47029</c:v>
                </c:pt>
                <c:pt idx="1371">
                  <c:v>47030</c:v>
                </c:pt>
                <c:pt idx="1372">
                  <c:v>47031</c:v>
                </c:pt>
                <c:pt idx="1373">
                  <c:v>47032</c:v>
                </c:pt>
                <c:pt idx="1374">
                  <c:v>47033</c:v>
                </c:pt>
                <c:pt idx="1375">
                  <c:v>47034</c:v>
                </c:pt>
                <c:pt idx="1376">
                  <c:v>47035</c:v>
                </c:pt>
                <c:pt idx="1377">
                  <c:v>47036</c:v>
                </c:pt>
                <c:pt idx="1378">
                  <c:v>47037</c:v>
                </c:pt>
                <c:pt idx="1379">
                  <c:v>47038</c:v>
                </c:pt>
                <c:pt idx="1380">
                  <c:v>47039</c:v>
                </c:pt>
                <c:pt idx="1381">
                  <c:v>47040</c:v>
                </c:pt>
                <c:pt idx="1382">
                  <c:v>47041</c:v>
                </c:pt>
                <c:pt idx="1383">
                  <c:v>47042</c:v>
                </c:pt>
                <c:pt idx="1384">
                  <c:v>47043</c:v>
                </c:pt>
                <c:pt idx="1385">
                  <c:v>47044</c:v>
                </c:pt>
                <c:pt idx="1386">
                  <c:v>47045</c:v>
                </c:pt>
                <c:pt idx="1387">
                  <c:v>47046</c:v>
                </c:pt>
                <c:pt idx="1388">
                  <c:v>47047</c:v>
                </c:pt>
                <c:pt idx="1389">
                  <c:v>47048</c:v>
                </c:pt>
                <c:pt idx="1390">
                  <c:v>47049</c:v>
                </c:pt>
                <c:pt idx="1391">
                  <c:v>47050</c:v>
                </c:pt>
                <c:pt idx="1392">
                  <c:v>47051</c:v>
                </c:pt>
                <c:pt idx="1393">
                  <c:v>47052</c:v>
                </c:pt>
                <c:pt idx="1394">
                  <c:v>47053</c:v>
                </c:pt>
                <c:pt idx="1395">
                  <c:v>47054</c:v>
                </c:pt>
                <c:pt idx="1396">
                  <c:v>47055</c:v>
                </c:pt>
                <c:pt idx="1397">
                  <c:v>47056</c:v>
                </c:pt>
                <c:pt idx="1398">
                  <c:v>47057</c:v>
                </c:pt>
                <c:pt idx="1399">
                  <c:v>47058</c:v>
                </c:pt>
                <c:pt idx="1400">
                  <c:v>47059</c:v>
                </c:pt>
                <c:pt idx="1401">
                  <c:v>47060</c:v>
                </c:pt>
                <c:pt idx="1402">
                  <c:v>47061</c:v>
                </c:pt>
                <c:pt idx="1403">
                  <c:v>47062</c:v>
                </c:pt>
                <c:pt idx="1404">
                  <c:v>47063</c:v>
                </c:pt>
                <c:pt idx="1405">
                  <c:v>47064</c:v>
                </c:pt>
                <c:pt idx="1406">
                  <c:v>47065</c:v>
                </c:pt>
                <c:pt idx="1407">
                  <c:v>47066</c:v>
                </c:pt>
                <c:pt idx="1408">
                  <c:v>47067</c:v>
                </c:pt>
                <c:pt idx="1409">
                  <c:v>47068</c:v>
                </c:pt>
                <c:pt idx="1410">
                  <c:v>47069</c:v>
                </c:pt>
                <c:pt idx="1411">
                  <c:v>47070</c:v>
                </c:pt>
                <c:pt idx="1412">
                  <c:v>47071</c:v>
                </c:pt>
                <c:pt idx="1413">
                  <c:v>47072</c:v>
                </c:pt>
                <c:pt idx="1414">
                  <c:v>47073</c:v>
                </c:pt>
                <c:pt idx="1415">
                  <c:v>47074</c:v>
                </c:pt>
                <c:pt idx="1416">
                  <c:v>47075</c:v>
                </c:pt>
                <c:pt idx="1417">
                  <c:v>47076</c:v>
                </c:pt>
                <c:pt idx="1418">
                  <c:v>47077</c:v>
                </c:pt>
                <c:pt idx="1419">
                  <c:v>47078</c:v>
                </c:pt>
                <c:pt idx="1420">
                  <c:v>47079</c:v>
                </c:pt>
                <c:pt idx="1421">
                  <c:v>47080</c:v>
                </c:pt>
                <c:pt idx="1422">
                  <c:v>47081</c:v>
                </c:pt>
                <c:pt idx="1423">
                  <c:v>47082</c:v>
                </c:pt>
                <c:pt idx="1424">
                  <c:v>47083</c:v>
                </c:pt>
                <c:pt idx="1425">
                  <c:v>47084</c:v>
                </c:pt>
                <c:pt idx="1426">
                  <c:v>47085</c:v>
                </c:pt>
                <c:pt idx="1427">
                  <c:v>47086</c:v>
                </c:pt>
                <c:pt idx="1428">
                  <c:v>47087</c:v>
                </c:pt>
                <c:pt idx="1429">
                  <c:v>47088</c:v>
                </c:pt>
                <c:pt idx="1430">
                  <c:v>47089</c:v>
                </c:pt>
                <c:pt idx="1431">
                  <c:v>47090</c:v>
                </c:pt>
                <c:pt idx="1432">
                  <c:v>47091</c:v>
                </c:pt>
                <c:pt idx="1433">
                  <c:v>47092</c:v>
                </c:pt>
                <c:pt idx="1434">
                  <c:v>47093</c:v>
                </c:pt>
                <c:pt idx="1435">
                  <c:v>47094</c:v>
                </c:pt>
                <c:pt idx="1436">
                  <c:v>47095</c:v>
                </c:pt>
                <c:pt idx="1437">
                  <c:v>47096</c:v>
                </c:pt>
                <c:pt idx="1438">
                  <c:v>47097</c:v>
                </c:pt>
                <c:pt idx="1439">
                  <c:v>47098</c:v>
                </c:pt>
                <c:pt idx="1440">
                  <c:v>47099</c:v>
                </c:pt>
                <c:pt idx="1441">
                  <c:v>47100</c:v>
                </c:pt>
                <c:pt idx="1442">
                  <c:v>47101</c:v>
                </c:pt>
                <c:pt idx="1443">
                  <c:v>47102</c:v>
                </c:pt>
                <c:pt idx="1444">
                  <c:v>47103</c:v>
                </c:pt>
                <c:pt idx="1445">
                  <c:v>47104</c:v>
                </c:pt>
                <c:pt idx="1446">
                  <c:v>47105</c:v>
                </c:pt>
                <c:pt idx="1447">
                  <c:v>47106</c:v>
                </c:pt>
                <c:pt idx="1448">
                  <c:v>47107</c:v>
                </c:pt>
                <c:pt idx="1449">
                  <c:v>47108</c:v>
                </c:pt>
                <c:pt idx="1450">
                  <c:v>47109</c:v>
                </c:pt>
                <c:pt idx="1451">
                  <c:v>47110</c:v>
                </c:pt>
                <c:pt idx="1452">
                  <c:v>47111</c:v>
                </c:pt>
                <c:pt idx="1453">
                  <c:v>47112</c:v>
                </c:pt>
                <c:pt idx="1454">
                  <c:v>47113</c:v>
                </c:pt>
                <c:pt idx="1455">
                  <c:v>47114</c:v>
                </c:pt>
                <c:pt idx="1456">
                  <c:v>47115</c:v>
                </c:pt>
                <c:pt idx="1457">
                  <c:v>47116</c:v>
                </c:pt>
                <c:pt idx="1458">
                  <c:v>47117</c:v>
                </c:pt>
                <c:pt idx="1459">
                  <c:v>47118</c:v>
                </c:pt>
                <c:pt idx="1460">
                  <c:v>47119</c:v>
                </c:pt>
                <c:pt idx="1461">
                  <c:v>47120</c:v>
                </c:pt>
                <c:pt idx="1462">
                  <c:v>47121</c:v>
                </c:pt>
                <c:pt idx="1463">
                  <c:v>47122</c:v>
                </c:pt>
                <c:pt idx="1464">
                  <c:v>47123</c:v>
                </c:pt>
                <c:pt idx="1465">
                  <c:v>47124</c:v>
                </c:pt>
                <c:pt idx="1466">
                  <c:v>47125</c:v>
                </c:pt>
                <c:pt idx="1467">
                  <c:v>47126</c:v>
                </c:pt>
                <c:pt idx="1468">
                  <c:v>47127</c:v>
                </c:pt>
                <c:pt idx="1469">
                  <c:v>47128</c:v>
                </c:pt>
              </c:numCache>
            </c:numRef>
          </c:cat>
          <c:val>
            <c:numRef>
              <c:f>'Token Model'!$AA$23:$AA$1492</c:f>
              <c:numCache>
                <c:formatCode>_(* #,##0.00_);_(* \(#,##0.00\);_(* "-"??_);_(@_)</c:formatCode>
                <c:ptCount val="1470"/>
                <c:pt idx="0">
                  <c:v>445055555.55555558</c:v>
                </c:pt>
                <c:pt idx="1">
                  <c:v>444611111.1111111</c:v>
                </c:pt>
                <c:pt idx="2">
                  <c:v>444166666.66666669</c:v>
                </c:pt>
                <c:pt idx="3">
                  <c:v>443722222.22222221</c:v>
                </c:pt>
                <c:pt idx="4">
                  <c:v>443277777.77777779</c:v>
                </c:pt>
                <c:pt idx="5">
                  <c:v>442833333.33333337</c:v>
                </c:pt>
                <c:pt idx="6">
                  <c:v>442388888.8888889</c:v>
                </c:pt>
                <c:pt idx="7">
                  <c:v>441944444.44444448</c:v>
                </c:pt>
                <c:pt idx="8">
                  <c:v>441500000</c:v>
                </c:pt>
                <c:pt idx="9">
                  <c:v>441055555.55555558</c:v>
                </c:pt>
                <c:pt idx="10">
                  <c:v>440611111.1111111</c:v>
                </c:pt>
                <c:pt idx="11">
                  <c:v>440166666.66666669</c:v>
                </c:pt>
                <c:pt idx="12">
                  <c:v>439722222.22222227</c:v>
                </c:pt>
                <c:pt idx="13">
                  <c:v>439277777.77777779</c:v>
                </c:pt>
                <c:pt idx="14">
                  <c:v>438833333.33333337</c:v>
                </c:pt>
                <c:pt idx="15">
                  <c:v>438388888.8888889</c:v>
                </c:pt>
                <c:pt idx="16">
                  <c:v>437944444.44444448</c:v>
                </c:pt>
                <c:pt idx="17">
                  <c:v>437500000</c:v>
                </c:pt>
                <c:pt idx="18">
                  <c:v>437055555.55555558</c:v>
                </c:pt>
                <c:pt idx="19">
                  <c:v>436611111.1111111</c:v>
                </c:pt>
                <c:pt idx="20">
                  <c:v>436166666.66666669</c:v>
                </c:pt>
                <c:pt idx="21">
                  <c:v>435722222.22222227</c:v>
                </c:pt>
                <c:pt idx="22">
                  <c:v>435277777.77777779</c:v>
                </c:pt>
                <c:pt idx="23">
                  <c:v>434833333.33333337</c:v>
                </c:pt>
                <c:pt idx="24">
                  <c:v>434388888.8888889</c:v>
                </c:pt>
                <c:pt idx="25">
                  <c:v>433944444.44444448</c:v>
                </c:pt>
                <c:pt idx="26">
                  <c:v>433500000</c:v>
                </c:pt>
                <c:pt idx="27">
                  <c:v>433055555.55555558</c:v>
                </c:pt>
                <c:pt idx="28">
                  <c:v>432611111.11111116</c:v>
                </c:pt>
                <c:pt idx="29">
                  <c:v>432166666.66666669</c:v>
                </c:pt>
                <c:pt idx="30">
                  <c:v>431643055.55555558</c:v>
                </c:pt>
                <c:pt idx="31">
                  <c:v>431119444.44444448</c:v>
                </c:pt>
                <c:pt idx="32">
                  <c:v>430595833.33333337</c:v>
                </c:pt>
                <c:pt idx="33">
                  <c:v>430072222.22222227</c:v>
                </c:pt>
                <c:pt idx="34">
                  <c:v>429548611.11111116</c:v>
                </c:pt>
                <c:pt idx="35">
                  <c:v>429025000</c:v>
                </c:pt>
                <c:pt idx="36">
                  <c:v>428501388.88888896</c:v>
                </c:pt>
                <c:pt idx="37">
                  <c:v>427977777.77777779</c:v>
                </c:pt>
                <c:pt idx="38">
                  <c:v>427454166.66666669</c:v>
                </c:pt>
                <c:pt idx="39">
                  <c:v>426930555.55555558</c:v>
                </c:pt>
                <c:pt idx="40">
                  <c:v>426406944.44444448</c:v>
                </c:pt>
                <c:pt idx="41">
                  <c:v>425883333.33333337</c:v>
                </c:pt>
                <c:pt idx="42">
                  <c:v>425359722.22222227</c:v>
                </c:pt>
                <c:pt idx="43">
                  <c:v>424836111.11111116</c:v>
                </c:pt>
                <c:pt idx="44">
                  <c:v>424312500</c:v>
                </c:pt>
                <c:pt idx="45">
                  <c:v>423788888.88888896</c:v>
                </c:pt>
                <c:pt idx="46">
                  <c:v>423265277.77777779</c:v>
                </c:pt>
                <c:pt idx="47">
                  <c:v>422741666.66666669</c:v>
                </c:pt>
                <c:pt idx="48">
                  <c:v>422218055.55555558</c:v>
                </c:pt>
                <c:pt idx="49">
                  <c:v>421694444.44444448</c:v>
                </c:pt>
                <c:pt idx="50">
                  <c:v>421170833.33333337</c:v>
                </c:pt>
                <c:pt idx="51">
                  <c:v>420647222.22222227</c:v>
                </c:pt>
                <c:pt idx="52">
                  <c:v>420123611.11111116</c:v>
                </c:pt>
                <c:pt idx="53">
                  <c:v>419600000</c:v>
                </c:pt>
                <c:pt idx="54">
                  <c:v>419076388.88888896</c:v>
                </c:pt>
                <c:pt idx="55">
                  <c:v>418552777.77777779</c:v>
                </c:pt>
                <c:pt idx="56">
                  <c:v>418029166.66666669</c:v>
                </c:pt>
                <c:pt idx="57">
                  <c:v>417505555.55555558</c:v>
                </c:pt>
                <c:pt idx="58">
                  <c:v>416981944.44444448</c:v>
                </c:pt>
                <c:pt idx="59">
                  <c:v>416458333.33333337</c:v>
                </c:pt>
                <c:pt idx="60">
                  <c:v>415934722.22222227</c:v>
                </c:pt>
                <c:pt idx="61">
                  <c:v>415411111.11111116</c:v>
                </c:pt>
                <c:pt idx="62">
                  <c:v>414887500</c:v>
                </c:pt>
                <c:pt idx="63">
                  <c:v>414363888.88888896</c:v>
                </c:pt>
                <c:pt idx="64">
                  <c:v>413840277.77777779</c:v>
                </c:pt>
                <c:pt idx="65">
                  <c:v>413316666.66666669</c:v>
                </c:pt>
                <c:pt idx="66">
                  <c:v>412793055.55555558</c:v>
                </c:pt>
                <c:pt idx="67">
                  <c:v>412269444.44444448</c:v>
                </c:pt>
                <c:pt idx="68">
                  <c:v>411745833.33333337</c:v>
                </c:pt>
                <c:pt idx="69">
                  <c:v>411222222.22222227</c:v>
                </c:pt>
                <c:pt idx="70">
                  <c:v>410698611.11111116</c:v>
                </c:pt>
                <c:pt idx="71">
                  <c:v>410175000.00000006</c:v>
                </c:pt>
                <c:pt idx="72">
                  <c:v>409651388.88888896</c:v>
                </c:pt>
                <c:pt idx="73">
                  <c:v>409127777.77777779</c:v>
                </c:pt>
                <c:pt idx="74">
                  <c:v>408604166.66666675</c:v>
                </c:pt>
                <c:pt idx="75">
                  <c:v>408080555.55555558</c:v>
                </c:pt>
                <c:pt idx="76">
                  <c:v>407556944.44444454</c:v>
                </c:pt>
                <c:pt idx="77">
                  <c:v>407033333.33333337</c:v>
                </c:pt>
                <c:pt idx="78">
                  <c:v>406509722.22222227</c:v>
                </c:pt>
                <c:pt idx="79">
                  <c:v>405986111.11111116</c:v>
                </c:pt>
                <c:pt idx="80">
                  <c:v>405462500.00000006</c:v>
                </c:pt>
                <c:pt idx="81">
                  <c:v>404938888.88888896</c:v>
                </c:pt>
                <c:pt idx="82">
                  <c:v>404415277.77777785</c:v>
                </c:pt>
                <c:pt idx="83">
                  <c:v>403891666.66666675</c:v>
                </c:pt>
                <c:pt idx="84">
                  <c:v>403368055.55555558</c:v>
                </c:pt>
                <c:pt idx="85">
                  <c:v>402844444.44444454</c:v>
                </c:pt>
                <c:pt idx="86">
                  <c:v>402320833.33333337</c:v>
                </c:pt>
                <c:pt idx="87">
                  <c:v>401797222.22222227</c:v>
                </c:pt>
                <c:pt idx="88">
                  <c:v>401273611.11111116</c:v>
                </c:pt>
                <c:pt idx="89">
                  <c:v>400750000.00000006</c:v>
                </c:pt>
                <c:pt idx="90">
                  <c:v>400504166.66666657</c:v>
                </c:pt>
                <c:pt idx="91">
                  <c:v>400258333.33333325</c:v>
                </c:pt>
                <c:pt idx="92">
                  <c:v>400012499.99999988</c:v>
                </c:pt>
                <c:pt idx="93">
                  <c:v>399766666.66666663</c:v>
                </c:pt>
                <c:pt idx="94">
                  <c:v>399520833.33333331</c:v>
                </c:pt>
                <c:pt idx="95">
                  <c:v>399274999.99999988</c:v>
                </c:pt>
                <c:pt idx="96">
                  <c:v>399029166.66666663</c:v>
                </c:pt>
                <c:pt idx="97">
                  <c:v>398783333.33333331</c:v>
                </c:pt>
                <c:pt idx="98">
                  <c:v>398537499.99999988</c:v>
                </c:pt>
                <c:pt idx="99">
                  <c:v>398291666.66666663</c:v>
                </c:pt>
                <c:pt idx="100">
                  <c:v>398045833.33333331</c:v>
                </c:pt>
                <c:pt idx="101">
                  <c:v>397799999.99999988</c:v>
                </c:pt>
                <c:pt idx="102">
                  <c:v>397554166.66666663</c:v>
                </c:pt>
                <c:pt idx="103">
                  <c:v>397308333.33333319</c:v>
                </c:pt>
                <c:pt idx="104">
                  <c:v>397062499.99999988</c:v>
                </c:pt>
                <c:pt idx="105">
                  <c:v>396816666.66666663</c:v>
                </c:pt>
                <c:pt idx="106">
                  <c:v>396570833.33333319</c:v>
                </c:pt>
                <c:pt idx="107">
                  <c:v>396324999.99999988</c:v>
                </c:pt>
                <c:pt idx="108">
                  <c:v>396079166.66666663</c:v>
                </c:pt>
                <c:pt idx="109">
                  <c:v>395833333.33333319</c:v>
                </c:pt>
                <c:pt idx="110">
                  <c:v>395587499.99999988</c:v>
                </c:pt>
                <c:pt idx="111">
                  <c:v>395341666.66666663</c:v>
                </c:pt>
                <c:pt idx="112">
                  <c:v>395095833.33333319</c:v>
                </c:pt>
                <c:pt idx="113">
                  <c:v>394849999.99999988</c:v>
                </c:pt>
                <c:pt idx="114">
                  <c:v>394604166.66666663</c:v>
                </c:pt>
                <c:pt idx="115">
                  <c:v>394358333.33333331</c:v>
                </c:pt>
                <c:pt idx="116">
                  <c:v>394112499.99999988</c:v>
                </c:pt>
                <c:pt idx="117">
                  <c:v>393866666.66666663</c:v>
                </c:pt>
                <c:pt idx="118">
                  <c:v>393620833.33333331</c:v>
                </c:pt>
                <c:pt idx="119">
                  <c:v>393374999.99999988</c:v>
                </c:pt>
                <c:pt idx="120">
                  <c:v>392997222.22222209</c:v>
                </c:pt>
                <c:pt idx="121">
                  <c:v>392619444.44444442</c:v>
                </c:pt>
                <c:pt idx="122">
                  <c:v>392241666.66666663</c:v>
                </c:pt>
                <c:pt idx="123">
                  <c:v>391863888.88888884</c:v>
                </c:pt>
                <c:pt idx="124">
                  <c:v>391486111.1111111</c:v>
                </c:pt>
                <c:pt idx="125">
                  <c:v>391108333.33333331</c:v>
                </c:pt>
                <c:pt idx="126">
                  <c:v>390730555.55555546</c:v>
                </c:pt>
                <c:pt idx="127">
                  <c:v>390352777.77777767</c:v>
                </c:pt>
                <c:pt idx="128">
                  <c:v>389975000</c:v>
                </c:pt>
                <c:pt idx="129">
                  <c:v>389597222.22222221</c:v>
                </c:pt>
                <c:pt idx="130">
                  <c:v>389219444.44444442</c:v>
                </c:pt>
                <c:pt idx="131">
                  <c:v>388841666.66666663</c:v>
                </c:pt>
                <c:pt idx="132">
                  <c:v>388463888.8888889</c:v>
                </c:pt>
                <c:pt idx="133">
                  <c:v>388086111.1111111</c:v>
                </c:pt>
                <c:pt idx="134">
                  <c:v>387708333.33333331</c:v>
                </c:pt>
                <c:pt idx="135">
                  <c:v>387330555.55555546</c:v>
                </c:pt>
                <c:pt idx="136">
                  <c:v>386952777.77777779</c:v>
                </c:pt>
                <c:pt idx="137">
                  <c:v>386575000</c:v>
                </c:pt>
                <c:pt idx="138">
                  <c:v>386197222.22222221</c:v>
                </c:pt>
                <c:pt idx="139">
                  <c:v>385819444.44444442</c:v>
                </c:pt>
                <c:pt idx="140">
                  <c:v>385441666.66666669</c:v>
                </c:pt>
                <c:pt idx="141">
                  <c:v>385063888.8888889</c:v>
                </c:pt>
                <c:pt idx="142">
                  <c:v>384686111.1111111</c:v>
                </c:pt>
                <c:pt idx="143">
                  <c:v>384308333.33333331</c:v>
                </c:pt>
                <c:pt idx="144">
                  <c:v>383930555.55555558</c:v>
                </c:pt>
                <c:pt idx="145">
                  <c:v>383552777.77777779</c:v>
                </c:pt>
                <c:pt idx="146">
                  <c:v>383175000</c:v>
                </c:pt>
                <c:pt idx="147">
                  <c:v>382797222.22222221</c:v>
                </c:pt>
                <c:pt idx="148">
                  <c:v>382419444.44444454</c:v>
                </c:pt>
                <c:pt idx="149">
                  <c:v>382041666.66666669</c:v>
                </c:pt>
                <c:pt idx="150">
                  <c:v>381663888.8888889</c:v>
                </c:pt>
                <c:pt idx="151">
                  <c:v>381286111.1111111</c:v>
                </c:pt>
                <c:pt idx="152">
                  <c:v>380908333.33333337</c:v>
                </c:pt>
                <c:pt idx="153">
                  <c:v>380530555.55555558</c:v>
                </c:pt>
                <c:pt idx="154">
                  <c:v>380152777.77777779</c:v>
                </c:pt>
                <c:pt idx="155">
                  <c:v>379775000.00000012</c:v>
                </c:pt>
                <c:pt idx="156">
                  <c:v>379397222.22222233</c:v>
                </c:pt>
                <c:pt idx="157">
                  <c:v>379019444.44444454</c:v>
                </c:pt>
                <c:pt idx="158">
                  <c:v>378641666.66666669</c:v>
                </c:pt>
                <c:pt idx="159">
                  <c:v>378263888.88888901</c:v>
                </c:pt>
                <c:pt idx="160">
                  <c:v>377886111.11111116</c:v>
                </c:pt>
                <c:pt idx="161">
                  <c:v>377508333.33333337</c:v>
                </c:pt>
                <c:pt idx="162">
                  <c:v>377130555.55555558</c:v>
                </c:pt>
                <c:pt idx="163">
                  <c:v>376752777.77777791</c:v>
                </c:pt>
                <c:pt idx="164">
                  <c:v>376375000.00000012</c:v>
                </c:pt>
                <c:pt idx="165">
                  <c:v>375997222.22222233</c:v>
                </c:pt>
                <c:pt idx="166">
                  <c:v>375619444.44444454</c:v>
                </c:pt>
                <c:pt idx="167">
                  <c:v>375241666.66666669</c:v>
                </c:pt>
                <c:pt idx="168">
                  <c:v>374863888.88888901</c:v>
                </c:pt>
                <c:pt idx="169">
                  <c:v>374486111.11111116</c:v>
                </c:pt>
                <c:pt idx="170">
                  <c:v>374108333.33333337</c:v>
                </c:pt>
                <c:pt idx="171">
                  <c:v>373730555.55555558</c:v>
                </c:pt>
                <c:pt idx="172">
                  <c:v>373352777.77777791</c:v>
                </c:pt>
                <c:pt idx="173">
                  <c:v>372975000.00000012</c:v>
                </c:pt>
                <c:pt idx="174">
                  <c:v>372597222.22222233</c:v>
                </c:pt>
                <c:pt idx="175">
                  <c:v>372219444.44444454</c:v>
                </c:pt>
                <c:pt idx="176">
                  <c:v>371841666.66666681</c:v>
                </c:pt>
                <c:pt idx="177">
                  <c:v>371463888.88888901</c:v>
                </c:pt>
                <c:pt idx="178">
                  <c:v>371086111.11111116</c:v>
                </c:pt>
                <c:pt idx="179">
                  <c:v>370708333.33333337</c:v>
                </c:pt>
                <c:pt idx="180">
                  <c:v>369982870.37037051</c:v>
                </c:pt>
                <c:pt idx="181">
                  <c:v>369257407.40740752</c:v>
                </c:pt>
                <c:pt idx="182">
                  <c:v>368531944.4444446</c:v>
                </c:pt>
                <c:pt idx="183">
                  <c:v>367806481.48148161</c:v>
                </c:pt>
                <c:pt idx="184">
                  <c:v>367081018.51851857</c:v>
                </c:pt>
                <c:pt idx="185">
                  <c:v>366355555.5555557</c:v>
                </c:pt>
                <c:pt idx="186">
                  <c:v>365630092.59259272</c:v>
                </c:pt>
                <c:pt idx="187">
                  <c:v>364904629.62962979</c:v>
                </c:pt>
                <c:pt idx="188">
                  <c:v>364179166.66666681</c:v>
                </c:pt>
                <c:pt idx="189">
                  <c:v>363453703.70370376</c:v>
                </c:pt>
                <c:pt idx="190">
                  <c:v>362728240.7407409</c:v>
                </c:pt>
                <c:pt idx="191">
                  <c:v>362002777.77777791</c:v>
                </c:pt>
                <c:pt idx="192">
                  <c:v>361277314.81481504</c:v>
                </c:pt>
                <c:pt idx="193">
                  <c:v>360551851.851852</c:v>
                </c:pt>
                <c:pt idx="194">
                  <c:v>359826388.88888901</c:v>
                </c:pt>
                <c:pt idx="195">
                  <c:v>359100925.92592609</c:v>
                </c:pt>
                <c:pt idx="196">
                  <c:v>358375462.9629631</c:v>
                </c:pt>
                <c:pt idx="197">
                  <c:v>357650000.00000012</c:v>
                </c:pt>
                <c:pt idx="198">
                  <c:v>356924537.03703719</c:v>
                </c:pt>
                <c:pt idx="199">
                  <c:v>356199074.07407421</c:v>
                </c:pt>
                <c:pt idx="200">
                  <c:v>355473611.11111128</c:v>
                </c:pt>
                <c:pt idx="201">
                  <c:v>354748148.1481483</c:v>
                </c:pt>
                <c:pt idx="202">
                  <c:v>354022685.18518531</c:v>
                </c:pt>
                <c:pt idx="203">
                  <c:v>353297222.22222239</c:v>
                </c:pt>
                <c:pt idx="204">
                  <c:v>352571759.2592594</c:v>
                </c:pt>
                <c:pt idx="205">
                  <c:v>351846296.29629636</c:v>
                </c:pt>
                <c:pt idx="206">
                  <c:v>351120833.33333349</c:v>
                </c:pt>
                <c:pt idx="207">
                  <c:v>350395370.37037063</c:v>
                </c:pt>
                <c:pt idx="208">
                  <c:v>349669907.40740764</c:v>
                </c:pt>
                <c:pt idx="209">
                  <c:v>348944444.4444446</c:v>
                </c:pt>
                <c:pt idx="210">
                  <c:v>348218981.48148167</c:v>
                </c:pt>
                <c:pt idx="211">
                  <c:v>347493518.51851869</c:v>
                </c:pt>
                <c:pt idx="212">
                  <c:v>346768055.5555557</c:v>
                </c:pt>
                <c:pt idx="213">
                  <c:v>346042592.59259284</c:v>
                </c:pt>
                <c:pt idx="214">
                  <c:v>345317129.62962979</c:v>
                </c:pt>
                <c:pt idx="215">
                  <c:v>344591666.66666687</c:v>
                </c:pt>
                <c:pt idx="216">
                  <c:v>343866203.70370388</c:v>
                </c:pt>
                <c:pt idx="217">
                  <c:v>343140740.7407409</c:v>
                </c:pt>
                <c:pt idx="218">
                  <c:v>342415277.77777803</c:v>
                </c:pt>
                <c:pt idx="219">
                  <c:v>341689814.81481504</c:v>
                </c:pt>
                <c:pt idx="220">
                  <c:v>340964351.85185206</c:v>
                </c:pt>
                <c:pt idx="221">
                  <c:v>340238888.88888907</c:v>
                </c:pt>
                <c:pt idx="222">
                  <c:v>339513425.92592609</c:v>
                </c:pt>
                <c:pt idx="223">
                  <c:v>338787962.96296322</c:v>
                </c:pt>
                <c:pt idx="224">
                  <c:v>338062500.00000024</c:v>
                </c:pt>
                <c:pt idx="225">
                  <c:v>337337037.03703719</c:v>
                </c:pt>
                <c:pt idx="226">
                  <c:v>336611574.07407427</c:v>
                </c:pt>
                <c:pt idx="227">
                  <c:v>335886111.11111128</c:v>
                </c:pt>
                <c:pt idx="228">
                  <c:v>335160648.1481483</c:v>
                </c:pt>
                <c:pt idx="229">
                  <c:v>334435185.18518543</c:v>
                </c:pt>
                <c:pt idx="230">
                  <c:v>333709722.22222239</c:v>
                </c:pt>
                <c:pt idx="231">
                  <c:v>332984259.25925946</c:v>
                </c:pt>
                <c:pt idx="232">
                  <c:v>332258796.29629648</c:v>
                </c:pt>
                <c:pt idx="233">
                  <c:v>331533333.33333361</c:v>
                </c:pt>
                <c:pt idx="234">
                  <c:v>330807870.37037063</c:v>
                </c:pt>
                <c:pt idx="235">
                  <c:v>330082407.40740764</c:v>
                </c:pt>
                <c:pt idx="236">
                  <c:v>329356944.44444466</c:v>
                </c:pt>
                <c:pt idx="237">
                  <c:v>328631481.48148167</c:v>
                </c:pt>
                <c:pt idx="238">
                  <c:v>327906018.51851869</c:v>
                </c:pt>
                <c:pt idx="239">
                  <c:v>327180555.55555582</c:v>
                </c:pt>
                <c:pt idx="240">
                  <c:v>326455092.59259284</c:v>
                </c:pt>
                <c:pt idx="241">
                  <c:v>325729629.62962991</c:v>
                </c:pt>
                <c:pt idx="242">
                  <c:v>325004166.66666687</c:v>
                </c:pt>
                <c:pt idx="243">
                  <c:v>324278703.703704</c:v>
                </c:pt>
                <c:pt idx="244">
                  <c:v>323553240.74074101</c:v>
                </c:pt>
                <c:pt idx="245">
                  <c:v>322827777.77777803</c:v>
                </c:pt>
                <c:pt idx="246">
                  <c:v>322102314.8148151</c:v>
                </c:pt>
                <c:pt idx="247">
                  <c:v>321376851.85185206</c:v>
                </c:pt>
                <c:pt idx="248">
                  <c:v>320651388.88888919</c:v>
                </c:pt>
                <c:pt idx="249">
                  <c:v>319925925.92592621</c:v>
                </c:pt>
                <c:pt idx="250">
                  <c:v>319200462.96296322</c:v>
                </c:pt>
                <c:pt idx="251">
                  <c:v>318475000.0000003</c:v>
                </c:pt>
                <c:pt idx="252">
                  <c:v>317749537.03703731</c:v>
                </c:pt>
                <c:pt idx="253">
                  <c:v>317024074.07407427</c:v>
                </c:pt>
                <c:pt idx="254">
                  <c:v>316298611.1111114</c:v>
                </c:pt>
                <c:pt idx="255">
                  <c:v>315573148.14814842</c:v>
                </c:pt>
                <c:pt idx="256">
                  <c:v>314847685.18518543</c:v>
                </c:pt>
                <c:pt idx="257">
                  <c:v>314122222.22222251</c:v>
                </c:pt>
                <c:pt idx="258">
                  <c:v>313396759.25925958</c:v>
                </c:pt>
                <c:pt idx="259">
                  <c:v>312671296.2962966</c:v>
                </c:pt>
                <c:pt idx="260">
                  <c:v>311945833.33333361</c:v>
                </c:pt>
                <c:pt idx="261">
                  <c:v>311220370.37037069</c:v>
                </c:pt>
                <c:pt idx="262">
                  <c:v>310494907.4074077</c:v>
                </c:pt>
                <c:pt idx="263">
                  <c:v>309769444.44444466</c:v>
                </c:pt>
                <c:pt idx="264">
                  <c:v>309043981.48148179</c:v>
                </c:pt>
                <c:pt idx="265">
                  <c:v>308318518.51851881</c:v>
                </c:pt>
                <c:pt idx="266">
                  <c:v>307593055.55555594</c:v>
                </c:pt>
                <c:pt idx="267">
                  <c:v>306867592.5925929</c:v>
                </c:pt>
                <c:pt idx="268">
                  <c:v>306142129.62962991</c:v>
                </c:pt>
                <c:pt idx="269">
                  <c:v>305416666.66666698</c:v>
                </c:pt>
                <c:pt idx="270">
                  <c:v>304691203.703704</c:v>
                </c:pt>
                <c:pt idx="271">
                  <c:v>303965740.74074113</c:v>
                </c:pt>
                <c:pt idx="272">
                  <c:v>303240277.77777809</c:v>
                </c:pt>
                <c:pt idx="273">
                  <c:v>302514814.8148151</c:v>
                </c:pt>
                <c:pt idx="274">
                  <c:v>301789351.85185218</c:v>
                </c:pt>
                <c:pt idx="275">
                  <c:v>301063888.88888919</c:v>
                </c:pt>
                <c:pt idx="276">
                  <c:v>300338425.92592633</c:v>
                </c:pt>
                <c:pt idx="277">
                  <c:v>299612962.96296334</c:v>
                </c:pt>
                <c:pt idx="278">
                  <c:v>298887500.0000003</c:v>
                </c:pt>
                <c:pt idx="279">
                  <c:v>298162037.03703737</c:v>
                </c:pt>
                <c:pt idx="280">
                  <c:v>297436574.07407439</c:v>
                </c:pt>
                <c:pt idx="281">
                  <c:v>296711111.1111114</c:v>
                </c:pt>
                <c:pt idx="282">
                  <c:v>295985648.14814854</c:v>
                </c:pt>
                <c:pt idx="283">
                  <c:v>295260185.18518561</c:v>
                </c:pt>
                <c:pt idx="284">
                  <c:v>294534722.22222251</c:v>
                </c:pt>
                <c:pt idx="285">
                  <c:v>293809259.25925958</c:v>
                </c:pt>
                <c:pt idx="286">
                  <c:v>293083796.29629672</c:v>
                </c:pt>
                <c:pt idx="287">
                  <c:v>292358333.33333373</c:v>
                </c:pt>
                <c:pt idx="288">
                  <c:v>291632870.37037069</c:v>
                </c:pt>
                <c:pt idx="289">
                  <c:v>290907407.40740776</c:v>
                </c:pt>
                <c:pt idx="290">
                  <c:v>290181944.44444478</c:v>
                </c:pt>
                <c:pt idx="291">
                  <c:v>289456481.48148191</c:v>
                </c:pt>
                <c:pt idx="292">
                  <c:v>288731018.51851892</c:v>
                </c:pt>
                <c:pt idx="293">
                  <c:v>288005555.55555594</c:v>
                </c:pt>
                <c:pt idx="294">
                  <c:v>287280092.59259301</c:v>
                </c:pt>
                <c:pt idx="295">
                  <c:v>286554629.62962997</c:v>
                </c:pt>
                <c:pt idx="296">
                  <c:v>285829166.66666698</c:v>
                </c:pt>
                <c:pt idx="297">
                  <c:v>285103703.70370412</c:v>
                </c:pt>
                <c:pt idx="298">
                  <c:v>284378240.74074113</c:v>
                </c:pt>
                <c:pt idx="299">
                  <c:v>283652777.77777809</c:v>
                </c:pt>
                <c:pt idx="300">
                  <c:v>282927314.81481516</c:v>
                </c:pt>
                <c:pt idx="301">
                  <c:v>282201851.85185218</c:v>
                </c:pt>
                <c:pt idx="302">
                  <c:v>281476388.88888931</c:v>
                </c:pt>
                <c:pt idx="303">
                  <c:v>280750925.92592633</c:v>
                </c:pt>
                <c:pt idx="304">
                  <c:v>280025462.9629634</c:v>
                </c:pt>
                <c:pt idx="305">
                  <c:v>279300000.00000036</c:v>
                </c:pt>
                <c:pt idx="306">
                  <c:v>278574537.03703737</c:v>
                </c:pt>
                <c:pt idx="307">
                  <c:v>277849074.07407451</c:v>
                </c:pt>
                <c:pt idx="308">
                  <c:v>277123611.11111152</c:v>
                </c:pt>
                <c:pt idx="309">
                  <c:v>276398148.14814854</c:v>
                </c:pt>
                <c:pt idx="310">
                  <c:v>275672685.18518561</c:v>
                </c:pt>
                <c:pt idx="311">
                  <c:v>274947222.22222269</c:v>
                </c:pt>
                <c:pt idx="312">
                  <c:v>274221759.25925958</c:v>
                </c:pt>
                <c:pt idx="313">
                  <c:v>273496296.29629672</c:v>
                </c:pt>
                <c:pt idx="314">
                  <c:v>272770833.33333373</c:v>
                </c:pt>
                <c:pt idx="315">
                  <c:v>272045370.37037081</c:v>
                </c:pt>
                <c:pt idx="316">
                  <c:v>271319907.40740776</c:v>
                </c:pt>
                <c:pt idx="317">
                  <c:v>270594444.44444478</c:v>
                </c:pt>
                <c:pt idx="318">
                  <c:v>269868981.48148191</c:v>
                </c:pt>
                <c:pt idx="319">
                  <c:v>269143518.51851892</c:v>
                </c:pt>
                <c:pt idx="320">
                  <c:v>268418055.55555591</c:v>
                </c:pt>
                <c:pt idx="321">
                  <c:v>267692592.59259301</c:v>
                </c:pt>
                <c:pt idx="322">
                  <c:v>266967129.62962991</c:v>
                </c:pt>
                <c:pt idx="323">
                  <c:v>266241666.66666701</c:v>
                </c:pt>
                <c:pt idx="324">
                  <c:v>265516203.70370409</c:v>
                </c:pt>
                <c:pt idx="325">
                  <c:v>264790740.74074101</c:v>
                </c:pt>
                <c:pt idx="326">
                  <c:v>264065277.77777809</c:v>
                </c:pt>
                <c:pt idx="327">
                  <c:v>263339814.8148151</c:v>
                </c:pt>
                <c:pt idx="328">
                  <c:v>262614351.85185221</c:v>
                </c:pt>
                <c:pt idx="329">
                  <c:v>261888888.88888919</c:v>
                </c:pt>
                <c:pt idx="330">
                  <c:v>261163425.92592621</c:v>
                </c:pt>
                <c:pt idx="331">
                  <c:v>260437962.96296331</c:v>
                </c:pt>
                <c:pt idx="332">
                  <c:v>259712500.0000003</c:v>
                </c:pt>
                <c:pt idx="333">
                  <c:v>258987037.03703731</c:v>
                </c:pt>
                <c:pt idx="334">
                  <c:v>258261574.07407439</c:v>
                </c:pt>
                <c:pt idx="335">
                  <c:v>257536111.1111114</c:v>
                </c:pt>
                <c:pt idx="336">
                  <c:v>256810648.14814839</c:v>
                </c:pt>
                <c:pt idx="337">
                  <c:v>256085185.1851854</c:v>
                </c:pt>
                <c:pt idx="338">
                  <c:v>255359722.22222239</c:v>
                </c:pt>
                <c:pt idx="339">
                  <c:v>254634259.25925949</c:v>
                </c:pt>
                <c:pt idx="340">
                  <c:v>253908796.29629651</c:v>
                </c:pt>
                <c:pt idx="341">
                  <c:v>253183333.33333361</c:v>
                </c:pt>
                <c:pt idx="342">
                  <c:v>252457870.3703706</c:v>
                </c:pt>
                <c:pt idx="343">
                  <c:v>251732407.40740761</c:v>
                </c:pt>
                <c:pt idx="344">
                  <c:v>251006944.44444469</c:v>
                </c:pt>
                <c:pt idx="345">
                  <c:v>250281481.4814817</c:v>
                </c:pt>
                <c:pt idx="346">
                  <c:v>249556018.51851869</c:v>
                </c:pt>
                <c:pt idx="347">
                  <c:v>248830555.55555579</c:v>
                </c:pt>
                <c:pt idx="348">
                  <c:v>248105092.59259281</c:v>
                </c:pt>
                <c:pt idx="349">
                  <c:v>247379629.62962979</c:v>
                </c:pt>
                <c:pt idx="350">
                  <c:v>246654166.6666669</c:v>
                </c:pt>
                <c:pt idx="351">
                  <c:v>245928703.70370391</c:v>
                </c:pt>
                <c:pt idx="352">
                  <c:v>245203240.7407409</c:v>
                </c:pt>
                <c:pt idx="353">
                  <c:v>244477777.77777791</c:v>
                </c:pt>
                <c:pt idx="354">
                  <c:v>243752314.81481501</c:v>
                </c:pt>
                <c:pt idx="355">
                  <c:v>243026851.851852</c:v>
                </c:pt>
                <c:pt idx="356">
                  <c:v>242301388.88888901</c:v>
                </c:pt>
                <c:pt idx="357">
                  <c:v>241575925.925926</c:v>
                </c:pt>
                <c:pt idx="358">
                  <c:v>240850462.9629631</c:v>
                </c:pt>
                <c:pt idx="359">
                  <c:v>240125000.00000009</c:v>
                </c:pt>
                <c:pt idx="360">
                  <c:v>239455092.59259251</c:v>
                </c:pt>
                <c:pt idx="361">
                  <c:v>238785185.1851851</c:v>
                </c:pt>
                <c:pt idx="362">
                  <c:v>238115277.7777777</c:v>
                </c:pt>
                <c:pt idx="363">
                  <c:v>237445370.3703703</c:v>
                </c:pt>
                <c:pt idx="364">
                  <c:v>236775462.9629629</c:v>
                </c:pt>
                <c:pt idx="365">
                  <c:v>236105555.55555549</c:v>
                </c:pt>
                <c:pt idx="366">
                  <c:v>235435648.14814809</c:v>
                </c:pt>
                <c:pt idx="367">
                  <c:v>234765740.74074069</c:v>
                </c:pt>
                <c:pt idx="368">
                  <c:v>234095833.33333319</c:v>
                </c:pt>
                <c:pt idx="369">
                  <c:v>233425925.92592579</c:v>
                </c:pt>
                <c:pt idx="370">
                  <c:v>232756018.51851839</c:v>
                </c:pt>
                <c:pt idx="371">
                  <c:v>232086111.11111099</c:v>
                </c:pt>
                <c:pt idx="372">
                  <c:v>231416203.70370358</c:v>
                </c:pt>
                <c:pt idx="373">
                  <c:v>230746296.29629618</c:v>
                </c:pt>
                <c:pt idx="374">
                  <c:v>230076388.88888878</c:v>
                </c:pt>
                <c:pt idx="375">
                  <c:v>229406481.48148137</c:v>
                </c:pt>
                <c:pt idx="376">
                  <c:v>228736574.07407391</c:v>
                </c:pt>
                <c:pt idx="377">
                  <c:v>228066666.66666651</c:v>
                </c:pt>
                <c:pt idx="378">
                  <c:v>227396759.2592591</c:v>
                </c:pt>
                <c:pt idx="379">
                  <c:v>226726851.8518517</c:v>
                </c:pt>
                <c:pt idx="380">
                  <c:v>226056944.4444443</c:v>
                </c:pt>
                <c:pt idx="381">
                  <c:v>225387037.03703678</c:v>
                </c:pt>
                <c:pt idx="382">
                  <c:v>224717129.62962949</c:v>
                </c:pt>
                <c:pt idx="383">
                  <c:v>224047222.22222209</c:v>
                </c:pt>
                <c:pt idx="384">
                  <c:v>223377314.81481469</c:v>
                </c:pt>
                <c:pt idx="385">
                  <c:v>222707407.40740722</c:v>
                </c:pt>
                <c:pt idx="386">
                  <c:v>222037499.99999988</c:v>
                </c:pt>
                <c:pt idx="387">
                  <c:v>221367592.59259248</c:v>
                </c:pt>
                <c:pt idx="388">
                  <c:v>220697685.18518502</c:v>
                </c:pt>
                <c:pt idx="389">
                  <c:v>220027777.77777761</c:v>
                </c:pt>
                <c:pt idx="390">
                  <c:v>219357870.37037021</c:v>
                </c:pt>
                <c:pt idx="391">
                  <c:v>218687962.96296281</c:v>
                </c:pt>
                <c:pt idx="392">
                  <c:v>218018055.5555554</c:v>
                </c:pt>
                <c:pt idx="393">
                  <c:v>217348148.148148</c:v>
                </c:pt>
                <c:pt idx="394">
                  <c:v>216678240.7407406</c:v>
                </c:pt>
                <c:pt idx="395">
                  <c:v>216008333.33333319</c:v>
                </c:pt>
                <c:pt idx="396">
                  <c:v>215338425.92592579</c:v>
                </c:pt>
                <c:pt idx="397">
                  <c:v>214668518.51851833</c:v>
                </c:pt>
                <c:pt idx="398">
                  <c:v>213998611.11111093</c:v>
                </c:pt>
                <c:pt idx="399">
                  <c:v>213328703.70370352</c:v>
                </c:pt>
                <c:pt idx="400">
                  <c:v>212658796.29629612</c:v>
                </c:pt>
                <c:pt idx="401">
                  <c:v>211988888.88888878</c:v>
                </c:pt>
                <c:pt idx="402">
                  <c:v>211318981.48148131</c:v>
                </c:pt>
                <c:pt idx="403">
                  <c:v>210649074.07407397</c:v>
                </c:pt>
                <c:pt idx="404">
                  <c:v>209979166.66666639</c:v>
                </c:pt>
                <c:pt idx="405">
                  <c:v>209309259.2592591</c:v>
                </c:pt>
                <c:pt idx="406">
                  <c:v>208639351.8518517</c:v>
                </c:pt>
                <c:pt idx="407">
                  <c:v>207969444.44444418</c:v>
                </c:pt>
                <c:pt idx="408">
                  <c:v>207299537.0370369</c:v>
                </c:pt>
                <c:pt idx="409">
                  <c:v>206629629.62962949</c:v>
                </c:pt>
                <c:pt idx="410">
                  <c:v>205959722.22222197</c:v>
                </c:pt>
                <c:pt idx="411">
                  <c:v>205289814.81481463</c:v>
                </c:pt>
                <c:pt idx="412">
                  <c:v>204619907.40740722</c:v>
                </c:pt>
                <c:pt idx="413">
                  <c:v>203949999.99999982</c:v>
                </c:pt>
                <c:pt idx="414">
                  <c:v>203280092.59259242</c:v>
                </c:pt>
                <c:pt idx="415">
                  <c:v>202610185.18518502</c:v>
                </c:pt>
                <c:pt idx="416">
                  <c:v>201940277.77777767</c:v>
                </c:pt>
                <c:pt idx="417">
                  <c:v>201270370.37037021</c:v>
                </c:pt>
                <c:pt idx="418">
                  <c:v>200600462.96296269</c:v>
                </c:pt>
                <c:pt idx="419">
                  <c:v>199930555.5555554</c:v>
                </c:pt>
                <c:pt idx="420">
                  <c:v>199260648.148148</c:v>
                </c:pt>
                <c:pt idx="421">
                  <c:v>198590740.74074048</c:v>
                </c:pt>
                <c:pt idx="422">
                  <c:v>197920833.33333308</c:v>
                </c:pt>
                <c:pt idx="423">
                  <c:v>197250925.92592567</c:v>
                </c:pt>
                <c:pt idx="424">
                  <c:v>196581018.51851833</c:v>
                </c:pt>
                <c:pt idx="425">
                  <c:v>195911111.11111093</c:v>
                </c:pt>
                <c:pt idx="426">
                  <c:v>195241203.70370352</c:v>
                </c:pt>
                <c:pt idx="427">
                  <c:v>194571296.29629612</c:v>
                </c:pt>
                <c:pt idx="428">
                  <c:v>193901388.88888872</c:v>
                </c:pt>
                <c:pt idx="429">
                  <c:v>193231481.48148131</c:v>
                </c:pt>
                <c:pt idx="430">
                  <c:v>192561574.07407379</c:v>
                </c:pt>
                <c:pt idx="431">
                  <c:v>191891666.66666639</c:v>
                </c:pt>
                <c:pt idx="432">
                  <c:v>191221759.25925899</c:v>
                </c:pt>
                <c:pt idx="433">
                  <c:v>190551851.85185158</c:v>
                </c:pt>
                <c:pt idx="434">
                  <c:v>189881944.44444418</c:v>
                </c:pt>
                <c:pt idx="435">
                  <c:v>189212037.03703678</c:v>
                </c:pt>
                <c:pt idx="436">
                  <c:v>188542129.62962931</c:v>
                </c:pt>
                <c:pt idx="437">
                  <c:v>187872222.22222197</c:v>
                </c:pt>
                <c:pt idx="438">
                  <c:v>187202314.81481463</c:v>
                </c:pt>
                <c:pt idx="439">
                  <c:v>186532407.4074071</c:v>
                </c:pt>
                <c:pt idx="440">
                  <c:v>185862499.99999982</c:v>
                </c:pt>
                <c:pt idx="441">
                  <c:v>185192592.5925923</c:v>
                </c:pt>
                <c:pt idx="442">
                  <c:v>184522685.18518502</c:v>
                </c:pt>
                <c:pt idx="443">
                  <c:v>183852777.77777749</c:v>
                </c:pt>
                <c:pt idx="444">
                  <c:v>183182870.37037009</c:v>
                </c:pt>
                <c:pt idx="445">
                  <c:v>182512962.96296269</c:v>
                </c:pt>
                <c:pt idx="446">
                  <c:v>181843055.55555528</c:v>
                </c:pt>
                <c:pt idx="447">
                  <c:v>181173148.14814782</c:v>
                </c:pt>
                <c:pt idx="448">
                  <c:v>180503240.74074048</c:v>
                </c:pt>
                <c:pt idx="449">
                  <c:v>179833333.33333308</c:v>
                </c:pt>
                <c:pt idx="450">
                  <c:v>179163425.92592567</c:v>
                </c:pt>
                <c:pt idx="451">
                  <c:v>178493518.51851821</c:v>
                </c:pt>
                <c:pt idx="452">
                  <c:v>177823611.11111069</c:v>
                </c:pt>
                <c:pt idx="453">
                  <c:v>177153703.7037034</c:v>
                </c:pt>
                <c:pt idx="454">
                  <c:v>176483796.296296</c:v>
                </c:pt>
                <c:pt idx="455">
                  <c:v>175813888.88888848</c:v>
                </c:pt>
                <c:pt idx="456">
                  <c:v>175143981.48148119</c:v>
                </c:pt>
                <c:pt idx="457">
                  <c:v>174474074.07407367</c:v>
                </c:pt>
                <c:pt idx="458">
                  <c:v>173804166.66666633</c:v>
                </c:pt>
                <c:pt idx="459">
                  <c:v>173134259.25925893</c:v>
                </c:pt>
                <c:pt idx="460">
                  <c:v>172464351.85185152</c:v>
                </c:pt>
                <c:pt idx="461">
                  <c:v>171794444.44444418</c:v>
                </c:pt>
                <c:pt idx="462">
                  <c:v>171124537.03703672</c:v>
                </c:pt>
                <c:pt idx="463">
                  <c:v>170454629.62962931</c:v>
                </c:pt>
                <c:pt idx="464">
                  <c:v>169784722.22222191</c:v>
                </c:pt>
                <c:pt idx="465">
                  <c:v>169114814.81481451</c:v>
                </c:pt>
                <c:pt idx="466">
                  <c:v>168444907.4074071</c:v>
                </c:pt>
                <c:pt idx="467">
                  <c:v>167774999.99999958</c:v>
                </c:pt>
                <c:pt idx="468">
                  <c:v>167105092.59259218</c:v>
                </c:pt>
                <c:pt idx="469">
                  <c:v>166435185.18518478</c:v>
                </c:pt>
                <c:pt idx="470">
                  <c:v>165765277.77777737</c:v>
                </c:pt>
                <c:pt idx="471">
                  <c:v>165095370.37036997</c:v>
                </c:pt>
                <c:pt idx="472">
                  <c:v>164425462.96296263</c:v>
                </c:pt>
                <c:pt idx="473">
                  <c:v>163755555.55555522</c:v>
                </c:pt>
                <c:pt idx="474">
                  <c:v>163085648.14814782</c:v>
                </c:pt>
                <c:pt idx="475">
                  <c:v>162415740.74074042</c:v>
                </c:pt>
                <c:pt idx="476">
                  <c:v>161745833.33333302</c:v>
                </c:pt>
                <c:pt idx="477">
                  <c:v>161075925.92592561</c:v>
                </c:pt>
                <c:pt idx="478">
                  <c:v>160406018.51851809</c:v>
                </c:pt>
                <c:pt idx="479">
                  <c:v>159736111.11111099</c:v>
                </c:pt>
                <c:pt idx="480">
                  <c:v>159198148.14814812</c:v>
                </c:pt>
                <c:pt idx="481">
                  <c:v>158660185.18518507</c:v>
                </c:pt>
                <c:pt idx="482">
                  <c:v>158122222.22222209</c:v>
                </c:pt>
                <c:pt idx="483">
                  <c:v>157584259.25925922</c:v>
                </c:pt>
                <c:pt idx="484">
                  <c:v>157046296.29629618</c:v>
                </c:pt>
                <c:pt idx="485">
                  <c:v>156508333.33333331</c:v>
                </c:pt>
                <c:pt idx="486">
                  <c:v>155970370.37037033</c:v>
                </c:pt>
                <c:pt idx="487">
                  <c:v>155432407.40740728</c:v>
                </c:pt>
                <c:pt idx="488">
                  <c:v>154894444.44444442</c:v>
                </c:pt>
                <c:pt idx="489">
                  <c:v>154356481.48148137</c:v>
                </c:pt>
                <c:pt idx="490">
                  <c:v>153818518.51851851</c:v>
                </c:pt>
                <c:pt idx="491">
                  <c:v>153280555.55555552</c:v>
                </c:pt>
                <c:pt idx="492">
                  <c:v>152742592.59259248</c:v>
                </c:pt>
                <c:pt idx="493">
                  <c:v>152204629.62962961</c:v>
                </c:pt>
                <c:pt idx="494">
                  <c:v>151666666.66666663</c:v>
                </c:pt>
                <c:pt idx="495">
                  <c:v>151128703.70370358</c:v>
                </c:pt>
                <c:pt idx="496">
                  <c:v>150590740.74074072</c:v>
                </c:pt>
                <c:pt idx="497">
                  <c:v>150052777.77777767</c:v>
                </c:pt>
                <c:pt idx="498">
                  <c:v>149514814.81481469</c:v>
                </c:pt>
                <c:pt idx="499">
                  <c:v>148976851.85185182</c:v>
                </c:pt>
                <c:pt idx="500">
                  <c:v>148438888.88888878</c:v>
                </c:pt>
                <c:pt idx="501">
                  <c:v>147900925.92592591</c:v>
                </c:pt>
                <c:pt idx="502">
                  <c:v>147362962.96296293</c:v>
                </c:pt>
                <c:pt idx="503">
                  <c:v>146824999.99999988</c:v>
                </c:pt>
                <c:pt idx="504">
                  <c:v>146287037.03703701</c:v>
                </c:pt>
                <c:pt idx="505">
                  <c:v>145749074.07407397</c:v>
                </c:pt>
                <c:pt idx="506">
                  <c:v>145211111.1111111</c:v>
                </c:pt>
                <c:pt idx="507">
                  <c:v>144673148.14814812</c:v>
                </c:pt>
                <c:pt idx="508">
                  <c:v>144135185.18518507</c:v>
                </c:pt>
                <c:pt idx="509">
                  <c:v>143597222.22222221</c:v>
                </c:pt>
                <c:pt idx="510">
                  <c:v>143059259.25925922</c:v>
                </c:pt>
                <c:pt idx="511">
                  <c:v>142521296.29629618</c:v>
                </c:pt>
                <c:pt idx="512">
                  <c:v>141983333.33333331</c:v>
                </c:pt>
                <c:pt idx="513">
                  <c:v>141445370.37037033</c:v>
                </c:pt>
                <c:pt idx="514">
                  <c:v>140907407.40740728</c:v>
                </c:pt>
                <c:pt idx="515">
                  <c:v>140369444.44444442</c:v>
                </c:pt>
                <c:pt idx="516">
                  <c:v>139831481.48148137</c:v>
                </c:pt>
                <c:pt idx="517">
                  <c:v>139293518.51851851</c:v>
                </c:pt>
                <c:pt idx="518">
                  <c:v>138755555.55555552</c:v>
                </c:pt>
                <c:pt idx="519">
                  <c:v>138217592.59259248</c:v>
                </c:pt>
                <c:pt idx="520">
                  <c:v>137679629.62962961</c:v>
                </c:pt>
                <c:pt idx="521">
                  <c:v>137141666.66666663</c:v>
                </c:pt>
                <c:pt idx="522">
                  <c:v>136603703.7037037</c:v>
                </c:pt>
                <c:pt idx="523">
                  <c:v>136065740.74074072</c:v>
                </c:pt>
                <c:pt idx="524">
                  <c:v>135527777.77777767</c:v>
                </c:pt>
                <c:pt idx="525">
                  <c:v>134989814.81481481</c:v>
                </c:pt>
                <c:pt idx="526">
                  <c:v>134451851.85185182</c:v>
                </c:pt>
                <c:pt idx="527">
                  <c:v>133913888.88888878</c:v>
                </c:pt>
                <c:pt idx="528">
                  <c:v>133375925.92592591</c:v>
                </c:pt>
                <c:pt idx="529">
                  <c:v>132837962.96296293</c:v>
                </c:pt>
                <c:pt idx="530">
                  <c:v>132299999.99999988</c:v>
                </c:pt>
                <c:pt idx="531">
                  <c:v>131762037.03703701</c:v>
                </c:pt>
                <c:pt idx="532">
                  <c:v>131224074.07407397</c:v>
                </c:pt>
                <c:pt idx="533">
                  <c:v>130686111.1111111</c:v>
                </c:pt>
                <c:pt idx="534">
                  <c:v>130148148.14814812</c:v>
                </c:pt>
                <c:pt idx="535">
                  <c:v>129610185.18518507</c:v>
                </c:pt>
                <c:pt idx="536">
                  <c:v>129072222.22222221</c:v>
                </c:pt>
                <c:pt idx="537">
                  <c:v>128534259.25925922</c:v>
                </c:pt>
                <c:pt idx="538">
                  <c:v>127996296.2962963</c:v>
                </c:pt>
                <c:pt idx="539">
                  <c:v>127458333.33333367</c:v>
                </c:pt>
                <c:pt idx="540">
                  <c:v>127080092.5925929</c:v>
                </c:pt>
                <c:pt idx="541">
                  <c:v>126701851.85185218</c:v>
                </c:pt>
                <c:pt idx="542">
                  <c:v>126323611.11111152</c:v>
                </c:pt>
                <c:pt idx="543">
                  <c:v>125945370.37037069</c:v>
                </c:pt>
                <c:pt idx="544">
                  <c:v>125567129.62963003</c:v>
                </c:pt>
                <c:pt idx="545">
                  <c:v>125188888.88888931</c:v>
                </c:pt>
                <c:pt idx="546">
                  <c:v>124810648.14814848</c:v>
                </c:pt>
                <c:pt idx="547">
                  <c:v>124432407.40740782</c:v>
                </c:pt>
                <c:pt idx="548">
                  <c:v>124054166.66666698</c:v>
                </c:pt>
                <c:pt idx="549">
                  <c:v>123675925.92592633</c:v>
                </c:pt>
                <c:pt idx="550">
                  <c:v>123297685.18518561</c:v>
                </c:pt>
                <c:pt idx="551">
                  <c:v>122919444.44444478</c:v>
                </c:pt>
                <c:pt idx="552">
                  <c:v>122541203.70370412</c:v>
                </c:pt>
                <c:pt idx="553">
                  <c:v>122162962.9629634</c:v>
                </c:pt>
                <c:pt idx="554">
                  <c:v>121784722.22222263</c:v>
                </c:pt>
                <c:pt idx="555">
                  <c:v>121406481.48148191</c:v>
                </c:pt>
                <c:pt idx="556">
                  <c:v>121028240.74074107</c:v>
                </c:pt>
                <c:pt idx="557">
                  <c:v>120650000.00000042</c:v>
                </c:pt>
                <c:pt idx="558">
                  <c:v>120271759.2592597</c:v>
                </c:pt>
                <c:pt idx="559">
                  <c:v>119893518.51851892</c:v>
                </c:pt>
                <c:pt idx="560">
                  <c:v>119515277.77777821</c:v>
                </c:pt>
                <c:pt idx="561">
                  <c:v>119137037.03703737</c:v>
                </c:pt>
                <c:pt idx="562">
                  <c:v>118758796.29629672</c:v>
                </c:pt>
                <c:pt idx="563">
                  <c:v>118380555.55555588</c:v>
                </c:pt>
                <c:pt idx="564">
                  <c:v>118002314.81481522</c:v>
                </c:pt>
                <c:pt idx="565">
                  <c:v>117624074.07407439</c:v>
                </c:pt>
                <c:pt idx="566">
                  <c:v>117245833.33333379</c:v>
                </c:pt>
                <c:pt idx="567">
                  <c:v>116867592.59259301</c:v>
                </c:pt>
                <c:pt idx="568">
                  <c:v>116489351.8518523</c:v>
                </c:pt>
                <c:pt idx="569">
                  <c:v>116111111.11111158</c:v>
                </c:pt>
                <c:pt idx="570">
                  <c:v>115732870.37037081</c:v>
                </c:pt>
                <c:pt idx="571">
                  <c:v>115354629.62963009</c:v>
                </c:pt>
                <c:pt idx="572">
                  <c:v>114976388.88888931</c:v>
                </c:pt>
                <c:pt idx="573">
                  <c:v>114598148.14814872</c:v>
                </c:pt>
                <c:pt idx="574">
                  <c:v>114219907.40740788</c:v>
                </c:pt>
                <c:pt idx="575">
                  <c:v>113841666.6666671</c:v>
                </c:pt>
                <c:pt idx="576">
                  <c:v>113463425.92592639</c:v>
                </c:pt>
                <c:pt idx="577">
                  <c:v>113085185.18518567</c:v>
                </c:pt>
                <c:pt idx="578">
                  <c:v>112706944.44444501</c:v>
                </c:pt>
                <c:pt idx="579">
                  <c:v>112328703.70370418</c:v>
                </c:pt>
                <c:pt idx="580">
                  <c:v>111950462.9629634</c:v>
                </c:pt>
                <c:pt idx="581">
                  <c:v>111572222.22222263</c:v>
                </c:pt>
                <c:pt idx="582">
                  <c:v>111193981.48148203</c:v>
                </c:pt>
                <c:pt idx="583">
                  <c:v>110815740.74074119</c:v>
                </c:pt>
                <c:pt idx="584">
                  <c:v>110437500.00000048</c:v>
                </c:pt>
                <c:pt idx="585">
                  <c:v>110059259.25925982</c:v>
                </c:pt>
                <c:pt idx="586">
                  <c:v>109681018.51851898</c:v>
                </c:pt>
                <c:pt idx="587">
                  <c:v>109302777.77777833</c:v>
                </c:pt>
                <c:pt idx="588">
                  <c:v>108924537.03703761</c:v>
                </c:pt>
                <c:pt idx="589">
                  <c:v>108546296.29629678</c:v>
                </c:pt>
                <c:pt idx="590">
                  <c:v>108168055.55555612</c:v>
                </c:pt>
                <c:pt idx="591">
                  <c:v>107789814.81481528</c:v>
                </c:pt>
                <c:pt idx="592">
                  <c:v>107411574.07407463</c:v>
                </c:pt>
                <c:pt idx="593">
                  <c:v>107033333.33333391</c:v>
                </c:pt>
                <c:pt idx="594">
                  <c:v>106655092.59259307</c:v>
                </c:pt>
                <c:pt idx="595">
                  <c:v>106276851.85185242</c:v>
                </c:pt>
                <c:pt idx="596">
                  <c:v>105898611.11111158</c:v>
                </c:pt>
                <c:pt idx="597">
                  <c:v>105520370.37037092</c:v>
                </c:pt>
                <c:pt idx="598">
                  <c:v>105142129.62963021</c:v>
                </c:pt>
                <c:pt idx="599">
                  <c:v>104763888.88888937</c:v>
                </c:pt>
                <c:pt idx="600">
                  <c:v>104385648.14814872</c:v>
                </c:pt>
                <c:pt idx="601">
                  <c:v>104007407.407408</c:v>
                </c:pt>
                <c:pt idx="602">
                  <c:v>103629166.66666728</c:v>
                </c:pt>
                <c:pt idx="603">
                  <c:v>103250925.92592651</c:v>
                </c:pt>
                <c:pt idx="604">
                  <c:v>102872685.18518567</c:v>
                </c:pt>
                <c:pt idx="605">
                  <c:v>102494444.44444501</c:v>
                </c:pt>
                <c:pt idx="606">
                  <c:v>102116203.7037043</c:v>
                </c:pt>
                <c:pt idx="607">
                  <c:v>101737962.96296352</c:v>
                </c:pt>
                <c:pt idx="608">
                  <c:v>101359722.22222292</c:v>
                </c:pt>
                <c:pt idx="609">
                  <c:v>100981481.48148209</c:v>
                </c:pt>
                <c:pt idx="610">
                  <c:v>100603240.74074137</c:v>
                </c:pt>
                <c:pt idx="611">
                  <c:v>100225000.0000006</c:v>
                </c:pt>
                <c:pt idx="612">
                  <c:v>99846759.25925982</c:v>
                </c:pt>
                <c:pt idx="613">
                  <c:v>99468518.518519104</c:v>
                </c:pt>
                <c:pt idx="614">
                  <c:v>99090277.777778387</c:v>
                </c:pt>
                <c:pt idx="615">
                  <c:v>98712037.037037611</c:v>
                </c:pt>
                <c:pt idx="616">
                  <c:v>98333796.296297014</c:v>
                </c:pt>
                <c:pt idx="617">
                  <c:v>97955555.555556178</c:v>
                </c:pt>
                <c:pt idx="618">
                  <c:v>97577314.814815521</c:v>
                </c:pt>
                <c:pt idx="619">
                  <c:v>97199074.074074686</c:v>
                </c:pt>
                <c:pt idx="620">
                  <c:v>96820833.33333391</c:v>
                </c:pt>
                <c:pt idx="621">
                  <c:v>96442592.592593193</c:v>
                </c:pt>
                <c:pt idx="622">
                  <c:v>96064351.851852477</c:v>
                </c:pt>
                <c:pt idx="623">
                  <c:v>95686111.11111182</c:v>
                </c:pt>
                <c:pt idx="624">
                  <c:v>95307870.370370984</c:v>
                </c:pt>
                <c:pt idx="625">
                  <c:v>94929629.629630327</c:v>
                </c:pt>
                <c:pt idx="626">
                  <c:v>94551388.888889611</c:v>
                </c:pt>
                <c:pt idx="627">
                  <c:v>94173148.148148775</c:v>
                </c:pt>
                <c:pt idx="628">
                  <c:v>93794907.407408118</c:v>
                </c:pt>
                <c:pt idx="629">
                  <c:v>93416666.666667283</c:v>
                </c:pt>
                <c:pt idx="630">
                  <c:v>93038425.925926626</c:v>
                </c:pt>
                <c:pt idx="631">
                  <c:v>92660185.18518579</c:v>
                </c:pt>
                <c:pt idx="632">
                  <c:v>92281944.444445074</c:v>
                </c:pt>
                <c:pt idx="633">
                  <c:v>91903703.703704417</c:v>
                </c:pt>
                <c:pt idx="634">
                  <c:v>91525462.962963581</c:v>
                </c:pt>
                <c:pt idx="635">
                  <c:v>91147222.222222924</c:v>
                </c:pt>
                <c:pt idx="636">
                  <c:v>90768981.481482089</c:v>
                </c:pt>
                <c:pt idx="637">
                  <c:v>90390740.740741491</c:v>
                </c:pt>
                <c:pt idx="638">
                  <c:v>90012500.000000715</c:v>
                </c:pt>
                <c:pt idx="639">
                  <c:v>89634259.25925988</c:v>
                </c:pt>
                <c:pt idx="640">
                  <c:v>89256018.518519223</c:v>
                </c:pt>
                <c:pt idx="641">
                  <c:v>88877777.777778387</c:v>
                </c:pt>
                <c:pt idx="642">
                  <c:v>88499537.037037671</c:v>
                </c:pt>
                <c:pt idx="643">
                  <c:v>88121296.296297014</c:v>
                </c:pt>
                <c:pt idx="644">
                  <c:v>87743055.555556178</c:v>
                </c:pt>
                <c:pt idx="645">
                  <c:v>87364814.814815521</c:v>
                </c:pt>
                <c:pt idx="646">
                  <c:v>86986574.074074805</c:v>
                </c:pt>
                <c:pt idx="647">
                  <c:v>86608333.333334029</c:v>
                </c:pt>
                <c:pt idx="648">
                  <c:v>86230092.592593312</c:v>
                </c:pt>
                <c:pt idx="649">
                  <c:v>85851851.851852596</c:v>
                </c:pt>
                <c:pt idx="650">
                  <c:v>85473611.11111182</c:v>
                </c:pt>
                <c:pt idx="651">
                  <c:v>85095370.370370984</c:v>
                </c:pt>
                <c:pt idx="652">
                  <c:v>84717129.629630327</c:v>
                </c:pt>
                <c:pt idx="653">
                  <c:v>84338888.88888967</c:v>
                </c:pt>
                <c:pt idx="654">
                  <c:v>83960648.148148894</c:v>
                </c:pt>
                <c:pt idx="655">
                  <c:v>83582407.407408118</c:v>
                </c:pt>
                <c:pt idx="656">
                  <c:v>83204166.666667402</c:v>
                </c:pt>
                <c:pt idx="657">
                  <c:v>82825925.925926626</c:v>
                </c:pt>
                <c:pt idx="658">
                  <c:v>82447685.185185909</c:v>
                </c:pt>
                <c:pt idx="659">
                  <c:v>82069444.444445074</c:v>
                </c:pt>
                <c:pt idx="660">
                  <c:v>81691203.703704417</c:v>
                </c:pt>
                <c:pt idx="661">
                  <c:v>81312962.962963581</c:v>
                </c:pt>
                <c:pt idx="662">
                  <c:v>80934722.222222984</c:v>
                </c:pt>
                <c:pt idx="663">
                  <c:v>80556481.481482208</c:v>
                </c:pt>
                <c:pt idx="664">
                  <c:v>80178240.740741491</c:v>
                </c:pt>
                <c:pt idx="665">
                  <c:v>79800000.000000775</c:v>
                </c:pt>
                <c:pt idx="666">
                  <c:v>79421759.259259999</c:v>
                </c:pt>
                <c:pt idx="667">
                  <c:v>79043518.518519223</c:v>
                </c:pt>
                <c:pt idx="668">
                  <c:v>78665277.777778506</c:v>
                </c:pt>
                <c:pt idx="669">
                  <c:v>78287037.03703779</c:v>
                </c:pt>
                <c:pt idx="670">
                  <c:v>77908796.296297073</c:v>
                </c:pt>
                <c:pt idx="671">
                  <c:v>77530555.555556297</c:v>
                </c:pt>
                <c:pt idx="672">
                  <c:v>77152314.814815581</c:v>
                </c:pt>
                <c:pt idx="673">
                  <c:v>76774074.074074805</c:v>
                </c:pt>
                <c:pt idx="674">
                  <c:v>76395833.333334088</c:v>
                </c:pt>
                <c:pt idx="675">
                  <c:v>76017592.592593312</c:v>
                </c:pt>
                <c:pt idx="676">
                  <c:v>75639351.851852596</c:v>
                </c:pt>
                <c:pt idx="677">
                  <c:v>75261111.11111182</c:v>
                </c:pt>
                <c:pt idx="678">
                  <c:v>74882870.370371222</c:v>
                </c:pt>
                <c:pt idx="679">
                  <c:v>74504629.629630387</c:v>
                </c:pt>
                <c:pt idx="680">
                  <c:v>74126388.88888967</c:v>
                </c:pt>
                <c:pt idx="681">
                  <c:v>73748148.148149014</c:v>
                </c:pt>
                <c:pt idx="682">
                  <c:v>73369907.407408178</c:v>
                </c:pt>
                <c:pt idx="683">
                  <c:v>72991666.666667402</c:v>
                </c:pt>
                <c:pt idx="684">
                  <c:v>72613425.925926685</c:v>
                </c:pt>
                <c:pt idx="685">
                  <c:v>72235185.185186028</c:v>
                </c:pt>
                <c:pt idx="686">
                  <c:v>71856944.444445312</c:v>
                </c:pt>
                <c:pt idx="687">
                  <c:v>71478703.703704476</c:v>
                </c:pt>
                <c:pt idx="688">
                  <c:v>71100462.96296382</c:v>
                </c:pt>
                <c:pt idx="689">
                  <c:v>70722222.222222984</c:v>
                </c:pt>
                <c:pt idx="690">
                  <c:v>70343981.481482327</c:v>
                </c:pt>
                <c:pt idx="691">
                  <c:v>69965740.740741491</c:v>
                </c:pt>
                <c:pt idx="692">
                  <c:v>69587500.000000775</c:v>
                </c:pt>
                <c:pt idx="693">
                  <c:v>69209259.259259999</c:v>
                </c:pt>
                <c:pt idx="694">
                  <c:v>68831018.518519282</c:v>
                </c:pt>
                <c:pt idx="695">
                  <c:v>68452777.777778625</c:v>
                </c:pt>
                <c:pt idx="696">
                  <c:v>68074537.03703779</c:v>
                </c:pt>
                <c:pt idx="697">
                  <c:v>67696296.296297073</c:v>
                </c:pt>
                <c:pt idx="698">
                  <c:v>67318055.555556297</c:v>
                </c:pt>
                <c:pt idx="699">
                  <c:v>66939814.814815581</c:v>
                </c:pt>
                <c:pt idx="700">
                  <c:v>66561574.074074924</c:v>
                </c:pt>
                <c:pt idx="701">
                  <c:v>66183333.333334208</c:v>
                </c:pt>
                <c:pt idx="702">
                  <c:v>65805092.592593372</c:v>
                </c:pt>
                <c:pt idx="703">
                  <c:v>65426851.851852715</c:v>
                </c:pt>
                <c:pt idx="704">
                  <c:v>65048611.111111879</c:v>
                </c:pt>
                <c:pt idx="705">
                  <c:v>64670370.370371222</c:v>
                </c:pt>
                <c:pt idx="706">
                  <c:v>64292129.629630387</c:v>
                </c:pt>
                <c:pt idx="707">
                  <c:v>63913888.88888967</c:v>
                </c:pt>
                <c:pt idx="708">
                  <c:v>63535648.148149014</c:v>
                </c:pt>
                <c:pt idx="709">
                  <c:v>63157407.407408178</c:v>
                </c:pt>
                <c:pt idx="710">
                  <c:v>62779166.666667521</c:v>
                </c:pt>
                <c:pt idx="711">
                  <c:v>62400925.925926685</c:v>
                </c:pt>
                <c:pt idx="712">
                  <c:v>62022685.185186028</c:v>
                </c:pt>
                <c:pt idx="713">
                  <c:v>61644444.444445312</c:v>
                </c:pt>
                <c:pt idx="714">
                  <c:v>61266203.703704476</c:v>
                </c:pt>
                <c:pt idx="715">
                  <c:v>60887962.96296382</c:v>
                </c:pt>
                <c:pt idx="716">
                  <c:v>60509722.222222984</c:v>
                </c:pt>
                <c:pt idx="717">
                  <c:v>60131481.481482387</c:v>
                </c:pt>
                <c:pt idx="718">
                  <c:v>59753240.740741611</c:v>
                </c:pt>
                <c:pt idx="719">
                  <c:v>59375000.000001073</c:v>
                </c:pt>
                <c:pt idx="720">
                  <c:v>59295833.333334029</c:v>
                </c:pt>
                <c:pt idx="721">
                  <c:v>59216666.666667283</c:v>
                </c:pt>
                <c:pt idx="722">
                  <c:v>59137500.000000715</c:v>
                </c:pt>
                <c:pt idx="723">
                  <c:v>59058333.333334029</c:v>
                </c:pt>
                <c:pt idx="724">
                  <c:v>58979166.666667283</c:v>
                </c:pt>
                <c:pt idx="725">
                  <c:v>58900000.000000715</c:v>
                </c:pt>
                <c:pt idx="726">
                  <c:v>58820833.333334029</c:v>
                </c:pt>
                <c:pt idx="727">
                  <c:v>58741666.666667283</c:v>
                </c:pt>
                <c:pt idx="728">
                  <c:v>58662500.000000715</c:v>
                </c:pt>
                <c:pt idx="729">
                  <c:v>58583333.333334029</c:v>
                </c:pt>
                <c:pt idx="730">
                  <c:v>58504166.666667283</c:v>
                </c:pt>
                <c:pt idx="731">
                  <c:v>58425000.000000715</c:v>
                </c:pt>
                <c:pt idx="732">
                  <c:v>58345833.333334029</c:v>
                </c:pt>
                <c:pt idx="733">
                  <c:v>58266666.666667283</c:v>
                </c:pt>
                <c:pt idx="734">
                  <c:v>58187500.000000715</c:v>
                </c:pt>
                <c:pt idx="735">
                  <c:v>58108333.333334029</c:v>
                </c:pt>
                <c:pt idx="736">
                  <c:v>58029166.666667283</c:v>
                </c:pt>
                <c:pt idx="737">
                  <c:v>57950000.000000715</c:v>
                </c:pt>
                <c:pt idx="738">
                  <c:v>57870833.333334029</c:v>
                </c:pt>
                <c:pt idx="739">
                  <c:v>57791666.666667283</c:v>
                </c:pt>
                <c:pt idx="740">
                  <c:v>57712500.000000715</c:v>
                </c:pt>
                <c:pt idx="741">
                  <c:v>57633333.333334029</c:v>
                </c:pt>
                <c:pt idx="742">
                  <c:v>57554166.666667283</c:v>
                </c:pt>
                <c:pt idx="743">
                  <c:v>57475000.000000715</c:v>
                </c:pt>
                <c:pt idx="744">
                  <c:v>57395833.333334029</c:v>
                </c:pt>
                <c:pt idx="745">
                  <c:v>57316666.666667283</c:v>
                </c:pt>
                <c:pt idx="746">
                  <c:v>57237500.000000715</c:v>
                </c:pt>
                <c:pt idx="747">
                  <c:v>57158333.333334029</c:v>
                </c:pt>
                <c:pt idx="748">
                  <c:v>57079166.666667402</c:v>
                </c:pt>
                <c:pt idx="749">
                  <c:v>57000000.000000715</c:v>
                </c:pt>
                <c:pt idx="750">
                  <c:v>56920833.333334029</c:v>
                </c:pt>
                <c:pt idx="751">
                  <c:v>56841666.666667402</c:v>
                </c:pt>
                <c:pt idx="752">
                  <c:v>56762500.000000715</c:v>
                </c:pt>
                <c:pt idx="753">
                  <c:v>56683333.333334088</c:v>
                </c:pt>
                <c:pt idx="754">
                  <c:v>56604166.666667402</c:v>
                </c:pt>
                <c:pt idx="755">
                  <c:v>56525000.000000715</c:v>
                </c:pt>
                <c:pt idx="756">
                  <c:v>56445833.333334088</c:v>
                </c:pt>
                <c:pt idx="757">
                  <c:v>56366666.666667402</c:v>
                </c:pt>
                <c:pt idx="758">
                  <c:v>56287500.000000715</c:v>
                </c:pt>
                <c:pt idx="759">
                  <c:v>56208333.333334088</c:v>
                </c:pt>
                <c:pt idx="760">
                  <c:v>56129166.666667402</c:v>
                </c:pt>
                <c:pt idx="761">
                  <c:v>56050000.000000715</c:v>
                </c:pt>
                <c:pt idx="762">
                  <c:v>55970833.333334088</c:v>
                </c:pt>
                <c:pt idx="763">
                  <c:v>55891666.666667402</c:v>
                </c:pt>
                <c:pt idx="764">
                  <c:v>55812500.000000775</c:v>
                </c:pt>
                <c:pt idx="765">
                  <c:v>55733333.333334088</c:v>
                </c:pt>
                <c:pt idx="766">
                  <c:v>55654166.666667402</c:v>
                </c:pt>
                <c:pt idx="767">
                  <c:v>55575000.000000775</c:v>
                </c:pt>
                <c:pt idx="768">
                  <c:v>55495833.333334088</c:v>
                </c:pt>
                <c:pt idx="769">
                  <c:v>55416666.666667521</c:v>
                </c:pt>
                <c:pt idx="770">
                  <c:v>55337500.000000775</c:v>
                </c:pt>
                <c:pt idx="771">
                  <c:v>55258333.333334088</c:v>
                </c:pt>
                <c:pt idx="772">
                  <c:v>55179166.666667521</c:v>
                </c:pt>
                <c:pt idx="773">
                  <c:v>55100000.000000775</c:v>
                </c:pt>
                <c:pt idx="774">
                  <c:v>55020833.333334088</c:v>
                </c:pt>
                <c:pt idx="775">
                  <c:v>54941666.666667521</c:v>
                </c:pt>
                <c:pt idx="776">
                  <c:v>54862500.000000775</c:v>
                </c:pt>
                <c:pt idx="777">
                  <c:v>54783333.333334088</c:v>
                </c:pt>
                <c:pt idx="778">
                  <c:v>54704166.666667521</c:v>
                </c:pt>
                <c:pt idx="779">
                  <c:v>54625000.000000775</c:v>
                </c:pt>
                <c:pt idx="780">
                  <c:v>54545833.333334088</c:v>
                </c:pt>
                <c:pt idx="781">
                  <c:v>54466666.666667521</c:v>
                </c:pt>
                <c:pt idx="782">
                  <c:v>54387500.000000775</c:v>
                </c:pt>
                <c:pt idx="783">
                  <c:v>54308333.333334088</c:v>
                </c:pt>
                <c:pt idx="784">
                  <c:v>54229166.666667521</c:v>
                </c:pt>
                <c:pt idx="785">
                  <c:v>54150000.000000775</c:v>
                </c:pt>
                <c:pt idx="786">
                  <c:v>54070833.333334088</c:v>
                </c:pt>
                <c:pt idx="787">
                  <c:v>53991666.666667521</c:v>
                </c:pt>
                <c:pt idx="788">
                  <c:v>53912500.000000775</c:v>
                </c:pt>
                <c:pt idx="789">
                  <c:v>53833333.333334088</c:v>
                </c:pt>
                <c:pt idx="790">
                  <c:v>53754166.666667521</c:v>
                </c:pt>
                <c:pt idx="791">
                  <c:v>53675000.000000775</c:v>
                </c:pt>
                <c:pt idx="792">
                  <c:v>53595833.333334088</c:v>
                </c:pt>
                <c:pt idx="793">
                  <c:v>53516666.666667521</c:v>
                </c:pt>
                <c:pt idx="794">
                  <c:v>53437500.000000775</c:v>
                </c:pt>
                <c:pt idx="795">
                  <c:v>53358333.333334088</c:v>
                </c:pt>
                <c:pt idx="796">
                  <c:v>53279166.666667521</c:v>
                </c:pt>
                <c:pt idx="797">
                  <c:v>53200000.000000775</c:v>
                </c:pt>
                <c:pt idx="798">
                  <c:v>53120833.333334088</c:v>
                </c:pt>
                <c:pt idx="799">
                  <c:v>53041666.666667521</c:v>
                </c:pt>
                <c:pt idx="800">
                  <c:v>52962500.000000775</c:v>
                </c:pt>
                <c:pt idx="801">
                  <c:v>52883333.333334208</c:v>
                </c:pt>
                <c:pt idx="802">
                  <c:v>52804166.666667521</c:v>
                </c:pt>
                <c:pt idx="803">
                  <c:v>52725000.000000775</c:v>
                </c:pt>
                <c:pt idx="804">
                  <c:v>52645833.333334088</c:v>
                </c:pt>
                <c:pt idx="805">
                  <c:v>52566666.666667521</c:v>
                </c:pt>
                <c:pt idx="806">
                  <c:v>52487500.000000775</c:v>
                </c:pt>
                <c:pt idx="807">
                  <c:v>52408333.333334088</c:v>
                </c:pt>
                <c:pt idx="808">
                  <c:v>52329166.666667521</c:v>
                </c:pt>
                <c:pt idx="809">
                  <c:v>52250000.000000775</c:v>
                </c:pt>
                <c:pt idx="810">
                  <c:v>52170833.333334088</c:v>
                </c:pt>
                <c:pt idx="811">
                  <c:v>52091666.666667521</c:v>
                </c:pt>
                <c:pt idx="812">
                  <c:v>52012500.000000775</c:v>
                </c:pt>
                <c:pt idx="813">
                  <c:v>51933333.333334088</c:v>
                </c:pt>
                <c:pt idx="814">
                  <c:v>51854166.666667521</c:v>
                </c:pt>
                <c:pt idx="815">
                  <c:v>51775000.000000775</c:v>
                </c:pt>
                <c:pt idx="816">
                  <c:v>51695833.333334088</c:v>
                </c:pt>
                <c:pt idx="817">
                  <c:v>51616666.666667521</c:v>
                </c:pt>
                <c:pt idx="818">
                  <c:v>51537500.000000775</c:v>
                </c:pt>
                <c:pt idx="819">
                  <c:v>51458333.333334088</c:v>
                </c:pt>
                <c:pt idx="820">
                  <c:v>51379166.666667402</c:v>
                </c:pt>
                <c:pt idx="821">
                  <c:v>51300000.000000715</c:v>
                </c:pt>
                <c:pt idx="822">
                  <c:v>51220833.333334088</c:v>
                </c:pt>
                <c:pt idx="823">
                  <c:v>51141666.666667402</c:v>
                </c:pt>
                <c:pt idx="824">
                  <c:v>51062500.000000715</c:v>
                </c:pt>
                <c:pt idx="825">
                  <c:v>50983333.333334088</c:v>
                </c:pt>
                <c:pt idx="826">
                  <c:v>50904166.666667402</c:v>
                </c:pt>
                <c:pt idx="827">
                  <c:v>50825000.000000715</c:v>
                </c:pt>
                <c:pt idx="828">
                  <c:v>50745833.333334029</c:v>
                </c:pt>
                <c:pt idx="829">
                  <c:v>50666666.666667283</c:v>
                </c:pt>
                <c:pt idx="830">
                  <c:v>50587500.000000715</c:v>
                </c:pt>
                <c:pt idx="831">
                  <c:v>50508333.333334029</c:v>
                </c:pt>
                <c:pt idx="832">
                  <c:v>50429166.666667283</c:v>
                </c:pt>
                <c:pt idx="833">
                  <c:v>50350000.000000715</c:v>
                </c:pt>
                <c:pt idx="834">
                  <c:v>50270833.333334029</c:v>
                </c:pt>
                <c:pt idx="835">
                  <c:v>50191666.666667283</c:v>
                </c:pt>
                <c:pt idx="836">
                  <c:v>50112500.000000715</c:v>
                </c:pt>
                <c:pt idx="837">
                  <c:v>50033333.333334029</c:v>
                </c:pt>
                <c:pt idx="838">
                  <c:v>49954166.666667283</c:v>
                </c:pt>
                <c:pt idx="839">
                  <c:v>49875000.000000715</c:v>
                </c:pt>
                <c:pt idx="840">
                  <c:v>49795833.333334029</c:v>
                </c:pt>
                <c:pt idx="841">
                  <c:v>49716666.666667283</c:v>
                </c:pt>
                <c:pt idx="842">
                  <c:v>49637500.000000715</c:v>
                </c:pt>
                <c:pt idx="843">
                  <c:v>49558333.333334029</c:v>
                </c:pt>
                <c:pt idx="844">
                  <c:v>49479166.666667283</c:v>
                </c:pt>
                <c:pt idx="845">
                  <c:v>49400000.000000596</c:v>
                </c:pt>
                <c:pt idx="846">
                  <c:v>49320833.333334029</c:v>
                </c:pt>
                <c:pt idx="847">
                  <c:v>49241666.666667283</c:v>
                </c:pt>
                <c:pt idx="848">
                  <c:v>49162500.000000596</c:v>
                </c:pt>
                <c:pt idx="849">
                  <c:v>49083333.333334029</c:v>
                </c:pt>
                <c:pt idx="850">
                  <c:v>49004166.666667283</c:v>
                </c:pt>
                <c:pt idx="851">
                  <c:v>48925000.000000596</c:v>
                </c:pt>
                <c:pt idx="852">
                  <c:v>48845833.33333391</c:v>
                </c:pt>
                <c:pt idx="853">
                  <c:v>48766666.666667223</c:v>
                </c:pt>
                <c:pt idx="854">
                  <c:v>48687500.000000596</c:v>
                </c:pt>
                <c:pt idx="855">
                  <c:v>48608333.33333391</c:v>
                </c:pt>
                <c:pt idx="856">
                  <c:v>48529166.666667223</c:v>
                </c:pt>
                <c:pt idx="857">
                  <c:v>48450000.000000596</c:v>
                </c:pt>
                <c:pt idx="858">
                  <c:v>48370833.33333391</c:v>
                </c:pt>
                <c:pt idx="859">
                  <c:v>48291666.666667223</c:v>
                </c:pt>
                <c:pt idx="860">
                  <c:v>48212500.000000477</c:v>
                </c:pt>
                <c:pt idx="861">
                  <c:v>48133333.33333379</c:v>
                </c:pt>
                <c:pt idx="862">
                  <c:v>48054166.666667223</c:v>
                </c:pt>
                <c:pt idx="863">
                  <c:v>47975000.000000477</c:v>
                </c:pt>
                <c:pt idx="864">
                  <c:v>47895833.33333379</c:v>
                </c:pt>
                <c:pt idx="865">
                  <c:v>47816666.666667223</c:v>
                </c:pt>
                <c:pt idx="866">
                  <c:v>47737500.000000477</c:v>
                </c:pt>
                <c:pt idx="867">
                  <c:v>47658333.33333379</c:v>
                </c:pt>
                <c:pt idx="868">
                  <c:v>47579166.666667223</c:v>
                </c:pt>
                <c:pt idx="869">
                  <c:v>47500000.000000477</c:v>
                </c:pt>
                <c:pt idx="870">
                  <c:v>47420833.33333379</c:v>
                </c:pt>
                <c:pt idx="871">
                  <c:v>47341666.666667223</c:v>
                </c:pt>
                <c:pt idx="872">
                  <c:v>47262500.000000477</c:v>
                </c:pt>
                <c:pt idx="873">
                  <c:v>47183333.33333379</c:v>
                </c:pt>
                <c:pt idx="874">
                  <c:v>47104166.666667223</c:v>
                </c:pt>
                <c:pt idx="875">
                  <c:v>47025000.000000477</c:v>
                </c:pt>
                <c:pt idx="876">
                  <c:v>46945833.33333379</c:v>
                </c:pt>
                <c:pt idx="877">
                  <c:v>46866666.666667104</c:v>
                </c:pt>
                <c:pt idx="878">
                  <c:v>46787500.000000477</c:v>
                </c:pt>
                <c:pt idx="879">
                  <c:v>46708333.33333379</c:v>
                </c:pt>
                <c:pt idx="880">
                  <c:v>46629166.666667104</c:v>
                </c:pt>
                <c:pt idx="881">
                  <c:v>46550000.000000477</c:v>
                </c:pt>
                <c:pt idx="882">
                  <c:v>46470833.33333379</c:v>
                </c:pt>
                <c:pt idx="883">
                  <c:v>46391666.666667104</c:v>
                </c:pt>
                <c:pt idx="884">
                  <c:v>46312500.000000417</c:v>
                </c:pt>
                <c:pt idx="885">
                  <c:v>46233333.333333671</c:v>
                </c:pt>
                <c:pt idx="886">
                  <c:v>46154166.666667104</c:v>
                </c:pt>
                <c:pt idx="887">
                  <c:v>46075000.000000417</c:v>
                </c:pt>
                <c:pt idx="888">
                  <c:v>45995833.333333671</c:v>
                </c:pt>
                <c:pt idx="889">
                  <c:v>45916666.666667104</c:v>
                </c:pt>
                <c:pt idx="890">
                  <c:v>45837500.000000417</c:v>
                </c:pt>
                <c:pt idx="891">
                  <c:v>45758333.333333671</c:v>
                </c:pt>
                <c:pt idx="892">
                  <c:v>45679166.666666985</c:v>
                </c:pt>
                <c:pt idx="893">
                  <c:v>45600000.000000417</c:v>
                </c:pt>
                <c:pt idx="894">
                  <c:v>45520833.333333671</c:v>
                </c:pt>
                <c:pt idx="895">
                  <c:v>45441666.666666985</c:v>
                </c:pt>
                <c:pt idx="896">
                  <c:v>45362500.000000417</c:v>
                </c:pt>
                <c:pt idx="897">
                  <c:v>45283333.333333671</c:v>
                </c:pt>
                <c:pt idx="898">
                  <c:v>45204166.666666985</c:v>
                </c:pt>
                <c:pt idx="899">
                  <c:v>45125000.000000417</c:v>
                </c:pt>
                <c:pt idx="900">
                  <c:v>45045833.333333671</c:v>
                </c:pt>
                <c:pt idx="901">
                  <c:v>44966666.666666985</c:v>
                </c:pt>
                <c:pt idx="902">
                  <c:v>44887500.000000417</c:v>
                </c:pt>
                <c:pt idx="903">
                  <c:v>44808333.333333671</c:v>
                </c:pt>
                <c:pt idx="904">
                  <c:v>44729166.666666985</c:v>
                </c:pt>
                <c:pt idx="905">
                  <c:v>44650000.000000417</c:v>
                </c:pt>
                <c:pt idx="906">
                  <c:v>44570833.333333671</c:v>
                </c:pt>
                <c:pt idx="907">
                  <c:v>44491666.666666985</c:v>
                </c:pt>
                <c:pt idx="908">
                  <c:v>44412500.000000298</c:v>
                </c:pt>
                <c:pt idx="909">
                  <c:v>44333333.333333611</c:v>
                </c:pt>
                <c:pt idx="910">
                  <c:v>44254166.666666985</c:v>
                </c:pt>
                <c:pt idx="911">
                  <c:v>44175000.000000298</c:v>
                </c:pt>
                <c:pt idx="912">
                  <c:v>44095833.333333611</c:v>
                </c:pt>
                <c:pt idx="913">
                  <c:v>44016666.666666985</c:v>
                </c:pt>
                <c:pt idx="914">
                  <c:v>43937500.000000298</c:v>
                </c:pt>
                <c:pt idx="915">
                  <c:v>43858333.333333611</c:v>
                </c:pt>
                <c:pt idx="916">
                  <c:v>43779166.666666925</c:v>
                </c:pt>
                <c:pt idx="917">
                  <c:v>43700000.000000179</c:v>
                </c:pt>
                <c:pt idx="918">
                  <c:v>43620833.333333611</c:v>
                </c:pt>
                <c:pt idx="919">
                  <c:v>43541666.666666925</c:v>
                </c:pt>
                <c:pt idx="920">
                  <c:v>43462500.000000179</c:v>
                </c:pt>
                <c:pt idx="921">
                  <c:v>43383333.333333611</c:v>
                </c:pt>
                <c:pt idx="922">
                  <c:v>43304166.666666925</c:v>
                </c:pt>
                <c:pt idx="923">
                  <c:v>43225000.000000179</c:v>
                </c:pt>
                <c:pt idx="924">
                  <c:v>43145833.333333611</c:v>
                </c:pt>
                <c:pt idx="925">
                  <c:v>43066666.666666925</c:v>
                </c:pt>
                <c:pt idx="926">
                  <c:v>42987500.000000179</c:v>
                </c:pt>
                <c:pt idx="927">
                  <c:v>42908333.333333611</c:v>
                </c:pt>
                <c:pt idx="928">
                  <c:v>42829166.666666925</c:v>
                </c:pt>
                <c:pt idx="929">
                  <c:v>42750000.000000179</c:v>
                </c:pt>
                <c:pt idx="930">
                  <c:v>42670833.333333611</c:v>
                </c:pt>
                <c:pt idx="931">
                  <c:v>42591666.666666925</c:v>
                </c:pt>
                <c:pt idx="932">
                  <c:v>42512500.000000179</c:v>
                </c:pt>
                <c:pt idx="933">
                  <c:v>42433333.333333492</c:v>
                </c:pt>
                <c:pt idx="934">
                  <c:v>42354166.666666925</c:v>
                </c:pt>
                <c:pt idx="935">
                  <c:v>42275000.000000179</c:v>
                </c:pt>
                <c:pt idx="936">
                  <c:v>42195833.333333492</c:v>
                </c:pt>
                <c:pt idx="937">
                  <c:v>42116666.666666925</c:v>
                </c:pt>
                <c:pt idx="938">
                  <c:v>42037500.000000179</c:v>
                </c:pt>
                <c:pt idx="939">
                  <c:v>41958333.333333492</c:v>
                </c:pt>
                <c:pt idx="940">
                  <c:v>41879166.666666806</c:v>
                </c:pt>
                <c:pt idx="941">
                  <c:v>41800000.000000119</c:v>
                </c:pt>
                <c:pt idx="942">
                  <c:v>41720833.333333492</c:v>
                </c:pt>
                <c:pt idx="943">
                  <c:v>41641666.666666806</c:v>
                </c:pt>
                <c:pt idx="944">
                  <c:v>41562500.000000119</c:v>
                </c:pt>
                <c:pt idx="945">
                  <c:v>41483333.333333492</c:v>
                </c:pt>
                <c:pt idx="946">
                  <c:v>41404166.666666806</c:v>
                </c:pt>
                <c:pt idx="947">
                  <c:v>41325000.000000119</c:v>
                </c:pt>
                <c:pt idx="948">
                  <c:v>41245833.333333373</c:v>
                </c:pt>
                <c:pt idx="949">
                  <c:v>41166666.666666687</c:v>
                </c:pt>
                <c:pt idx="950">
                  <c:v>41087500.000000119</c:v>
                </c:pt>
                <c:pt idx="951">
                  <c:v>41008333.333333373</c:v>
                </c:pt>
                <c:pt idx="952">
                  <c:v>40929166.666666687</c:v>
                </c:pt>
                <c:pt idx="953">
                  <c:v>40850000.000000119</c:v>
                </c:pt>
                <c:pt idx="954">
                  <c:v>40770833.333333373</c:v>
                </c:pt>
                <c:pt idx="955">
                  <c:v>40691666.666666687</c:v>
                </c:pt>
                <c:pt idx="956">
                  <c:v>40612500.000000119</c:v>
                </c:pt>
                <c:pt idx="957">
                  <c:v>40533333.333333373</c:v>
                </c:pt>
                <c:pt idx="958">
                  <c:v>40454166.666666687</c:v>
                </c:pt>
                <c:pt idx="959">
                  <c:v>40375000.000000119</c:v>
                </c:pt>
                <c:pt idx="960">
                  <c:v>40295833.333333373</c:v>
                </c:pt>
                <c:pt idx="961">
                  <c:v>40216666.666666687</c:v>
                </c:pt>
                <c:pt idx="962">
                  <c:v>40137500.000000119</c:v>
                </c:pt>
                <c:pt idx="963">
                  <c:v>40058333.333333373</c:v>
                </c:pt>
                <c:pt idx="964">
                  <c:v>39979166.666666687</c:v>
                </c:pt>
                <c:pt idx="965">
                  <c:v>39900000</c:v>
                </c:pt>
                <c:pt idx="966">
                  <c:v>39820833.333333373</c:v>
                </c:pt>
                <c:pt idx="967">
                  <c:v>39741666.666666687</c:v>
                </c:pt>
                <c:pt idx="968">
                  <c:v>39662500</c:v>
                </c:pt>
                <c:pt idx="969">
                  <c:v>39583333.333333373</c:v>
                </c:pt>
                <c:pt idx="970">
                  <c:v>39504166.666666687</c:v>
                </c:pt>
                <c:pt idx="971">
                  <c:v>39425000</c:v>
                </c:pt>
                <c:pt idx="972">
                  <c:v>39345833.333333313</c:v>
                </c:pt>
                <c:pt idx="973">
                  <c:v>39266666.666666627</c:v>
                </c:pt>
                <c:pt idx="974">
                  <c:v>39187500</c:v>
                </c:pt>
                <c:pt idx="975">
                  <c:v>39108333.333333313</c:v>
                </c:pt>
                <c:pt idx="976">
                  <c:v>39029166.666666627</c:v>
                </c:pt>
                <c:pt idx="977">
                  <c:v>38950000</c:v>
                </c:pt>
                <c:pt idx="978">
                  <c:v>38870833.333333313</c:v>
                </c:pt>
                <c:pt idx="979">
                  <c:v>38791666.666666627</c:v>
                </c:pt>
                <c:pt idx="980">
                  <c:v>38712499.999999881</c:v>
                </c:pt>
                <c:pt idx="981">
                  <c:v>38633333.333333313</c:v>
                </c:pt>
                <c:pt idx="982">
                  <c:v>38554166.666666627</c:v>
                </c:pt>
                <c:pt idx="983">
                  <c:v>38474999.999999881</c:v>
                </c:pt>
                <c:pt idx="984">
                  <c:v>38395833.333333313</c:v>
                </c:pt>
                <c:pt idx="985">
                  <c:v>38316666.666666627</c:v>
                </c:pt>
                <c:pt idx="986">
                  <c:v>38237499.999999881</c:v>
                </c:pt>
                <c:pt idx="987">
                  <c:v>38158333.333333313</c:v>
                </c:pt>
                <c:pt idx="988">
                  <c:v>38079166.666666627</c:v>
                </c:pt>
                <c:pt idx="989">
                  <c:v>37999999.999999881</c:v>
                </c:pt>
                <c:pt idx="990">
                  <c:v>37920833.333333313</c:v>
                </c:pt>
                <c:pt idx="991">
                  <c:v>37841666.666666627</c:v>
                </c:pt>
                <c:pt idx="992">
                  <c:v>37762499.999999881</c:v>
                </c:pt>
                <c:pt idx="993">
                  <c:v>37683333.333333313</c:v>
                </c:pt>
                <c:pt idx="994">
                  <c:v>37604166.666666627</c:v>
                </c:pt>
                <c:pt idx="995">
                  <c:v>37524999.999999881</c:v>
                </c:pt>
                <c:pt idx="996">
                  <c:v>37445833.333333194</c:v>
                </c:pt>
                <c:pt idx="997">
                  <c:v>37366666.666666508</c:v>
                </c:pt>
                <c:pt idx="998">
                  <c:v>37287499.999999881</c:v>
                </c:pt>
                <c:pt idx="999">
                  <c:v>37208333.333333194</c:v>
                </c:pt>
                <c:pt idx="1000">
                  <c:v>37129166.666666508</c:v>
                </c:pt>
                <c:pt idx="1001">
                  <c:v>37049999.999999881</c:v>
                </c:pt>
                <c:pt idx="1002">
                  <c:v>36970833.333333194</c:v>
                </c:pt>
                <c:pt idx="1003">
                  <c:v>36891666.666666508</c:v>
                </c:pt>
                <c:pt idx="1004">
                  <c:v>36812499.999999821</c:v>
                </c:pt>
                <c:pt idx="1005">
                  <c:v>36733333.333333075</c:v>
                </c:pt>
                <c:pt idx="1006">
                  <c:v>36654166.666666508</c:v>
                </c:pt>
                <c:pt idx="1007">
                  <c:v>36574999.999999821</c:v>
                </c:pt>
                <c:pt idx="1008">
                  <c:v>36495833.333333075</c:v>
                </c:pt>
                <c:pt idx="1009">
                  <c:v>36416666.666666508</c:v>
                </c:pt>
                <c:pt idx="1010">
                  <c:v>36337499.999999821</c:v>
                </c:pt>
                <c:pt idx="1011">
                  <c:v>36258333.333333075</c:v>
                </c:pt>
                <c:pt idx="1012">
                  <c:v>36179166.666666389</c:v>
                </c:pt>
                <c:pt idx="1013">
                  <c:v>36099999.999999821</c:v>
                </c:pt>
                <c:pt idx="1014">
                  <c:v>36020833.333333075</c:v>
                </c:pt>
                <c:pt idx="1015">
                  <c:v>35941666.666666389</c:v>
                </c:pt>
                <c:pt idx="1016">
                  <c:v>35862499.999999821</c:v>
                </c:pt>
                <c:pt idx="1017">
                  <c:v>35783333.333333075</c:v>
                </c:pt>
                <c:pt idx="1018">
                  <c:v>35704166.666666389</c:v>
                </c:pt>
                <c:pt idx="1019">
                  <c:v>35624999.999999821</c:v>
                </c:pt>
                <c:pt idx="1020">
                  <c:v>35545833.333333075</c:v>
                </c:pt>
                <c:pt idx="1021">
                  <c:v>35466666.666666389</c:v>
                </c:pt>
                <c:pt idx="1022">
                  <c:v>35387499.999999821</c:v>
                </c:pt>
                <c:pt idx="1023">
                  <c:v>35308333.333333075</c:v>
                </c:pt>
                <c:pt idx="1024">
                  <c:v>35229166.666666389</c:v>
                </c:pt>
                <c:pt idx="1025">
                  <c:v>35149999.999999821</c:v>
                </c:pt>
                <c:pt idx="1026">
                  <c:v>35070833.333333075</c:v>
                </c:pt>
                <c:pt idx="1027">
                  <c:v>34991666.666666389</c:v>
                </c:pt>
                <c:pt idx="1028">
                  <c:v>34912499.999999702</c:v>
                </c:pt>
                <c:pt idx="1029">
                  <c:v>34833333.333333015</c:v>
                </c:pt>
                <c:pt idx="1030">
                  <c:v>34754166.666666389</c:v>
                </c:pt>
                <c:pt idx="1031">
                  <c:v>34674999.999999702</c:v>
                </c:pt>
                <c:pt idx="1032">
                  <c:v>34595833.333333015</c:v>
                </c:pt>
                <c:pt idx="1033">
                  <c:v>34516666.666666389</c:v>
                </c:pt>
                <c:pt idx="1034">
                  <c:v>34437499.999999702</c:v>
                </c:pt>
                <c:pt idx="1035">
                  <c:v>34358333.333333015</c:v>
                </c:pt>
                <c:pt idx="1036">
                  <c:v>34279166.666666329</c:v>
                </c:pt>
                <c:pt idx="1037">
                  <c:v>34199999.999999583</c:v>
                </c:pt>
                <c:pt idx="1038">
                  <c:v>34120833.333333015</c:v>
                </c:pt>
                <c:pt idx="1039">
                  <c:v>34041666.666666329</c:v>
                </c:pt>
                <c:pt idx="1040">
                  <c:v>33962499.999999583</c:v>
                </c:pt>
                <c:pt idx="1041">
                  <c:v>33883333.333333015</c:v>
                </c:pt>
                <c:pt idx="1042">
                  <c:v>33804166.666666329</c:v>
                </c:pt>
                <c:pt idx="1043">
                  <c:v>33724999.999999583</c:v>
                </c:pt>
                <c:pt idx="1044">
                  <c:v>33645833.333333015</c:v>
                </c:pt>
                <c:pt idx="1045">
                  <c:v>33566666.666666329</c:v>
                </c:pt>
                <c:pt idx="1046">
                  <c:v>33487499.999999583</c:v>
                </c:pt>
                <c:pt idx="1047">
                  <c:v>33408333.333333015</c:v>
                </c:pt>
                <c:pt idx="1048">
                  <c:v>33329166.666666329</c:v>
                </c:pt>
                <c:pt idx="1049">
                  <c:v>33249999.999999583</c:v>
                </c:pt>
                <c:pt idx="1050">
                  <c:v>33170833.333333015</c:v>
                </c:pt>
                <c:pt idx="1051">
                  <c:v>33091666.666666329</c:v>
                </c:pt>
                <c:pt idx="1052">
                  <c:v>33012499.999999583</c:v>
                </c:pt>
                <c:pt idx="1053">
                  <c:v>32933333.333332896</c:v>
                </c:pt>
                <c:pt idx="1054">
                  <c:v>32854166.666666329</c:v>
                </c:pt>
                <c:pt idx="1055">
                  <c:v>32774999.999999583</c:v>
                </c:pt>
                <c:pt idx="1056">
                  <c:v>32695833.333332896</c:v>
                </c:pt>
                <c:pt idx="1057">
                  <c:v>32616666.666666329</c:v>
                </c:pt>
                <c:pt idx="1058">
                  <c:v>32537499.999999583</c:v>
                </c:pt>
                <c:pt idx="1059">
                  <c:v>32458333.333332896</c:v>
                </c:pt>
                <c:pt idx="1060">
                  <c:v>32379166.66666621</c:v>
                </c:pt>
                <c:pt idx="1061">
                  <c:v>32299999.999999523</c:v>
                </c:pt>
                <c:pt idx="1062">
                  <c:v>32220833.333332896</c:v>
                </c:pt>
                <c:pt idx="1063">
                  <c:v>32141666.66666621</c:v>
                </c:pt>
                <c:pt idx="1064">
                  <c:v>32062499.999999523</c:v>
                </c:pt>
                <c:pt idx="1065">
                  <c:v>31983333.333332896</c:v>
                </c:pt>
                <c:pt idx="1066">
                  <c:v>31904166.66666621</c:v>
                </c:pt>
                <c:pt idx="1067">
                  <c:v>31824999.999999523</c:v>
                </c:pt>
                <c:pt idx="1068">
                  <c:v>31745833.333332777</c:v>
                </c:pt>
                <c:pt idx="1069">
                  <c:v>31666666.66666621</c:v>
                </c:pt>
                <c:pt idx="1070">
                  <c:v>31587499.999999523</c:v>
                </c:pt>
                <c:pt idx="1071">
                  <c:v>31508333.333332777</c:v>
                </c:pt>
                <c:pt idx="1072">
                  <c:v>31429166.66666621</c:v>
                </c:pt>
                <c:pt idx="1073">
                  <c:v>31349999.999999523</c:v>
                </c:pt>
                <c:pt idx="1074">
                  <c:v>31270833.333332777</c:v>
                </c:pt>
                <c:pt idx="1075">
                  <c:v>31191666.66666621</c:v>
                </c:pt>
                <c:pt idx="1076">
                  <c:v>31112499.999999523</c:v>
                </c:pt>
                <c:pt idx="1077">
                  <c:v>31033333.333332777</c:v>
                </c:pt>
                <c:pt idx="1078">
                  <c:v>30954166.66666621</c:v>
                </c:pt>
                <c:pt idx="1079">
                  <c:v>30874999.999999523</c:v>
                </c:pt>
                <c:pt idx="1080">
                  <c:v>30795833.333332777</c:v>
                </c:pt>
                <c:pt idx="1081">
                  <c:v>30716666.66666621</c:v>
                </c:pt>
                <c:pt idx="1082">
                  <c:v>30637499.999999523</c:v>
                </c:pt>
                <c:pt idx="1083">
                  <c:v>30558333.333332777</c:v>
                </c:pt>
                <c:pt idx="1084">
                  <c:v>30479166.66666609</c:v>
                </c:pt>
                <c:pt idx="1085">
                  <c:v>30399999.999999404</c:v>
                </c:pt>
                <c:pt idx="1086">
                  <c:v>30320833.333332777</c:v>
                </c:pt>
                <c:pt idx="1087">
                  <c:v>30241666.66666609</c:v>
                </c:pt>
                <c:pt idx="1088">
                  <c:v>30162499.999999404</c:v>
                </c:pt>
                <c:pt idx="1089">
                  <c:v>30083333.333332777</c:v>
                </c:pt>
                <c:pt idx="1090">
                  <c:v>30004166.66666609</c:v>
                </c:pt>
                <c:pt idx="1091">
                  <c:v>29924999.999999404</c:v>
                </c:pt>
                <c:pt idx="1092">
                  <c:v>29845833.333332717</c:v>
                </c:pt>
                <c:pt idx="1093">
                  <c:v>29766666.666665971</c:v>
                </c:pt>
                <c:pt idx="1094">
                  <c:v>29687499.999999404</c:v>
                </c:pt>
                <c:pt idx="1095">
                  <c:v>29608333.333332717</c:v>
                </c:pt>
                <c:pt idx="1096">
                  <c:v>29529166.666665971</c:v>
                </c:pt>
                <c:pt idx="1097">
                  <c:v>29449999.999999404</c:v>
                </c:pt>
                <c:pt idx="1098">
                  <c:v>29370833.333332717</c:v>
                </c:pt>
                <c:pt idx="1099">
                  <c:v>29291666.666665971</c:v>
                </c:pt>
                <c:pt idx="1100">
                  <c:v>29212499.999999285</c:v>
                </c:pt>
                <c:pt idx="1101">
                  <c:v>29133333.333332717</c:v>
                </c:pt>
                <c:pt idx="1102">
                  <c:v>29054166.666665971</c:v>
                </c:pt>
                <c:pt idx="1103">
                  <c:v>28974999.999999285</c:v>
                </c:pt>
                <c:pt idx="1104">
                  <c:v>28895833.333332717</c:v>
                </c:pt>
                <c:pt idx="1105">
                  <c:v>28816666.666665971</c:v>
                </c:pt>
                <c:pt idx="1106">
                  <c:v>28737499.999999285</c:v>
                </c:pt>
                <c:pt idx="1107">
                  <c:v>28658333.333332717</c:v>
                </c:pt>
                <c:pt idx="1108">
                  <c:v>28579166.666665971</c:v>
                </c:pt>
                <c:pt idx="1109">
                  <c:v>28499999.999999285</c:v>
                </c:pt>
                <c:pt idx="1110">
                  <c:v>28420833.333332717</c:v>
                </c:pt>
                <c:pt idx="1111">
                  <c:v>28341666.666665971</c:v>
                </c:pt>
                <c:pt idx="1112">
                  <c:v>28262499.999999285</c:v>
                </c:pt>
                <c:pt idx="1113">
                  <c:v>28183333.333332717</c:v>
                </c:pt>
                <c:pt idx="1114">
                  <c:v>28104166.666665971</c:v>
                </c:pt>
                <c:pt idx="1115">
                  <c:v>28024999.999999285</c:v>
                </c:pt>
                <c:pt idx="1116">
                  <c:v>27945833.333332598</c:v>
                </c:pt>
                <c:pt idx="1117">
                  <c:v>27866666.666665912</c:v>
                </c:pt>
                <c:pt idx="1118">
                  <c:v>27787499.999999285</c:v>
                </c:pt>
                <c:pt idx="1119">
                  <c:v>27708333.333332598</c:v>
                </c:pt>
                <c:pt idx="1120">
                  <c:v>27629166.666665912</c:v>
                </c:pt>
                <c:pt idx="1121">
                  <c:v>27549999.999999285</c:v>
                </c:pt>
                <c:pt idx="1122">
                  <c:v>27470833.333332598</c:v>
                </c:pt>
                <c:pt idx="1123">
                  <c:v>27391666.666665912</c:v>
                </c:pt>
                <c:pt idx="1124">
                  <c:v>27312499.999999225</c:v>
                </c:pt>
                <c:pt idx="1125">
                  <c:v>27233333.333332479</c:v>
                </c:pt>
                <c:pt idx="1126">
                  <c:v>27154166.666665912</c:v>
                </c:pt>
                <c:pt idx="1127">
                  <c:v>27074999.999999225</c:v>
                </c:pt>
                <c:pt idx="1128">
                  <c:v>26995833.333332479</c:v>
                </c:pt>
                <c:pt idx="1129">
                  <c:v>26916666.666665912</c:v>
                </c:pt>
                <c:pt idx="1130">
                  <c:v>26837499.999999225</c:v>
                </c:pt>
                <c:pt idx="1131">
                  <c:v>26758333.333332479</c:v>
                </c:pt>
                <c:pt idx="1132">
                  <c:v>26679166.666665912</c:v>
                </c:pt>
                <c:pt idx="1133">
                  <c:v>26599999.999999225</c:v>
                </c:pt>
                <c:pt idx="1134">
                  <c:v>26520833.333332479</c:v>
                </c:pt>
                <c:pt idx="1135">
                  <c:v>26441666.666665912</c:v>
                </c:pt>
                <c:pt idx="1136">
                  <c:v>26362499.999999225</c:v>
                </c:pt>
                <c:pt idx="1137">
                  <c:v>26283333.333332479</c:v>
                </c:pt>
                <c:pt idx="1138">
                  <c:v>26204166.666665912</c:v>
                </c:pt>
                <c:pt idx="1139">
                  <c:v>26124999.999999225</c:v>
                </c:pt>
                <c:pt idx="1140">
                  <c:v>26045833.333332479</c:v>
                </c:pt>
                <c:pt idx="1141">
                  <c:v>25966666.666665792</c:v>
                </c:pt>
                <c:pt idx="1142">
                  <c:v>25887499.999999225</c:v>
                </c:pt>
                <c:pt idx="1143">
                  <c:v>25808333.333332479</c:v>
                </c:pt>
                <c:pt idx="1144">
                  <c:v>25729166.666665792</c:v>
                </c:pt>
                <c:pt idx="1145">
                  <c:v>25649999.999999225</c:v>
                </c:pt>
                <c:pt idx="1146">
                  <c:v>25570833.333332479</c:v>
                </c:pt>
                <c:pt idx="1147">
                  <c:v>25491666.666665792</c:v>
                </c:pt>
                <c:pt idx="1148">
                  <c:v>25412499.999999106</c:v>
                </c:pt>
                <c:pt idx="1149">
                  <c:v>25333333.333332419</c:v>
                </c:pt>
                <c:pt idx="1150">
                  <c:v>25254166.666665792</c:v>
                </c:pt>
                <c:pt idx="1151">
                  <c:v>25174999.999999106</c:v>
                </c:pt>
                <c:pt idx="1152">
                  <c:v>25095833.333332419</c:v>
                </c:pt>
                <c:pt idx="1153">
                  <c:v>25016666.666665792</c:v>
                </c:pt>
                <c:pt idx="1154">
                  <c:v>24937499.999999106</c:v>
                </c:pt>
                <c:pt idx="1155">
                  <c:v>24858333.333332419</c:v>
                </c:pt>
                <c:pt idx="1156">
                  <c:v>24779166.666665673</c:v>
                </c:pt>
                <c:pt idx="1157">
                  <c:v>24699999.999998987</c:v>
                </c:pt>
                <c:pt idx="1158">
                  <c:v>24620833.333332419</c:v>
                </c:pt>
                <c:pt idx="1159">
                  <c:v>24541666.666665673</c:v>
                </c:pt>
                <c:pt idx="1160">
                  <c:v>24462499.999998987</c:v>
                </c:pt>
                <c:pt idx="1161">
                  <c:v>24383333.333332419</c:v>
                </c:pt>
                <c:pt idx="1162">
                  <c:v>24304166.666665673</c:v>
                </c:pt>
                <c:pt idx="1163">
                  <c:v>24224999.999998987</c:v>
                </c:pt>
                <c:pt idx="1164">
                  <c:v>24145833.333332419</c:v>
                </c:pt>
                <c:pt idx="1165">
                  <c:v>24066666.666665673</c:v>
                </c:pt>
                <c:pt idx="1166">
                  <c:v>23987499.999998987</c:v>
                </c:pt>
                <c:pt idx="1167">
                  <c:v>23908333.333332419</c:v>
                </c:pt>
                <c:pt idx="1168">
                  <c:v>23829166.666665673</c:v>
                </c:pt>
                <c:pt idx="1169">
                  <c:v>23749999.999998987</c:v>
                </c:pt>
                <c:pt idx="1170">
                  <c:v>23670833.333332419</c:v>
                </c:pt>
                <c:pt idx="1171">
                  <c:v>23591666.666665673</c:v>
                </c:pt>
                <c:pt idx="1172">
                  <c:v>23512499.999998987</c:v>
                </c:pt>
                <c:pt idx="1173">
                  <c:v>23433333.3333323</c:v>
                </c:pt>
                <c:pt idx="1174">
                  <c:v>23354166.666665673</c:v>
                </c:pt>
                <c:pt idx="1175">
                  <c:v>23274999.999998987</c:v>
                </c:pt>
                <c:pt idx="1176">
                  <c:v>23195833.3333323</c:v>
                </c:pt>
                <c:pt idx="1177">
                  <c:v>23116666.666665673</c:v>
                </c:pt>
                <c:pt idx="1178">
                  <c:v>23037499.999998987</c:v>
                </c:pt>
                <c:pt idx="1179">
                  <c:v>22958333.3333323</c:v>
                </c:pt>
                <c:pt idx="1180">
                  <c:v>22879166.666665614</c:v>
                </c:pt>
                <c:pt idx="1181">
                  <c:v>22799999.999998927</c:v>
                </c:pt>
                <c:pt idx="1182">
                  <c:v>22720833.3333323</c:v>
                </c:pt>
                <c:pt idx="1183">
                  <c:v>22641666.666665614</c:v>
                </c:pt>
                <c:pt idx="1184">
                  <c:v>22562499.999998927</c:v>
                </c:pt>
                <c:pt idx="1185">
                  <c:v>22483333.3333323</c:v>
                </c:pt>
                <c:pt idx="1186">
                  <c:v>22404166.666665614</c:v>
                </c:pt>
                <c:pt idx="1187">
                  <c:v>22324999.999998927</c:v>
                </c:pt>
                <c:pt idx="1188">
                  <c:v>22245833.333332181</c:v>
                </c:pt>
                <c:pt idx="1189">
                  <c:v>22166666.666665614</c:v>
                </c:pt>
                <c:pt idx="1190">
                  <c:v>22087499.999998927</c:v>
                </c:pt>
                <c:pt idx="1191">
                  <c:v>22008333.333332181</c:v>
                </c:pt>
                <c:pt idx="1192">
                  <c:v>21929166.666665614</c:v>
                </c:pt>
                <c:pt idx="1193">
                  <c:v>21849999.999998927</c:v>
                </c:pt>
                <c:pt idx="1194">
                  <c:v>21770833.333332181</c:v>
                </c:pt>
                <c:pt idx="1195">
                  <c:v>21691666.666665614</c:v>
                </c:pt>
                <c:pt idx="1196">
                  <c:v>21612499.999998927</c:v>
                </c:pt>
                <c:pt idx="1197">
                  <c:v>21533333.333332181</c:v>
                </c:pt>
                <c:pt idx="1198">
                  <c:v>21454166.666665614</c:v>
                </c:pt>
                <c:pt idx="1199">
                  <c:v>21374999.999998927</c:v>
                </c:pt>
                <c:pt idx="1200">
                  <c:v>21295833.333332181</c:v>
                </c:pt>
                <c:pt idx="1201">
                  <c:v>21216666.666665614</c:v>
                </c:pt>
                <c:pt idx="1202">
                  <c:v>21137499.999998927</c:v>
                </c:pt>
                <c:pt idx="1203">
                  <c:v>21058333.333332181</c:v>
                </c:pt>
                <c:pt idx="1204">
                  <c:v>20979166.666665494</c:v>
                </c:pt>
                <c:pt idx="1205">
                  <c:v>20899999.999998808</c:v>
                </c:pt>
                <c:pt idx="1206">
                  <c:v>20820833.333332181</c:v>
                </c:pt>
                <c:pt idx="1207">
                  <c:v>20741666.666665494</c:v>
                </c:pt>
                <c:pt idx="1208">
                  <c:v>20662499.999998808</c:v>
                </c:pt>
                <c:pt idx="1209">
                  <c:v>20583333.333332181</c:v>
                </c:pt>
                <c:pt idx="1210">
                  <c:v>20504166.666665494</c:v>
                </c:pt>
                <c:pt idx="1211">
                  <c:v>20424999.999998808</c:v>
                </c:pt>
                <c:pt idx="1212">
                  <c:v>20345833.333332121</c:v>
                </c:pt>
                <c:pt idx="1213">
                  <c:v>20266666.666665375</c:v>
                </c:pt>
                <c:pt idx="1214">
                  <c:v>20187499.999998808</c:v>
                </c:pt>
                <c:pt idx="1215">
                  <c:v>20108333.333332121</c:v>
                </c:pt>
                <c:pt idx="1216">
                  <c:v>20029166.666665375</c:v>
                </c:pt>
                <c:pt idx="1217">
                  <c:v>19949999.999998808</c:v>
                </c:pt>
                <c:pt idx="1218">
                  <c:v>19870833.333332121</c:v>
                </c:pt>
                <c:pt idx="1219">
                  <c:v>19791666.666665375</c:v>
                </c:pt>
                <c:pt idx="1220">
                  <c:v>19712499.999998689</c:v>
                </c:pt>
                <c:pt idx="1221">
                  <c:v>19633333.333332121</c:v>
                </c:pt>
                <c:pt idx="1222">
                  <c:v>19554166.666665375</c:v>
                </c:pt>
                <c:pt idx="1223">
                  <c:v>19474999.999998689</c:v>
                </c:pt>
                <c:pt idx="1224">
                  <c:v>19395833.333332121</c:v>
                </c:pt>
                <c:pt idx="1225">
                  <c:v>19316666.666665375</c:v>
                </c:pt>
                <c:pt idx="1226">
                  <c:v>19237499.999998689</c:v>
                </c:pt>
                <c:pt idx="1227">
                  <c:v>19158333.333332121</c:v>
                </c:pt>
                <c:pt idx="1228">
                  <c:v>19079166.666665375</c:v>
                </c:pt>
                <c:pt idx="1229">
                  <c:v>18999999.999998689</c:v>
                </c:pt>
                <c:pt idx="1230">
                  <c:v>18920833.333332121</c:v>
                </c:pt>
                <c:pt idx="1231">
                  <c:v>18841666.666665375</c:v>
                </c:pt>
                <c:pt idx="1232">
                  <c:v>18762499.999998689</c:v>
                </c:pt>
                <c:pt idx="1233">
                  <c:v>18683333.333332121</c:v>
                </c:pt>
                <c:pt idx="1234">
                  <c:v>18604166.666665375</c:v>
                </c:pt>
                <c:pt idx="1235">
                  <c:v>18524999.999998689</c:v>
                </c:pt>
                <c:pt idx="1236">
                  <c:v>18445833.333332002</c:v>
                </c:pt>
                <c:pt idx="1237">
                  <c:v>18366666.666665316</c:v>
                </c:pt>
                <c:pt idx="1238">
                  <c:v>18287499.999998689</c:v>
                </c:pt>
                <c:pt idx="1239">
                  <c:v>18208333.333332002</c:v>
                </c:pt>
                <c:pt idx="1240">
                  <c:v>18129166.666665316</c:v>
                </c:pt>
                <c:pt idx="1241">
                  <c:v>18049999.999998689</c:v>
                </c:pt>
                <c:pt idx="1242">
                  <c:v>17970833.333332002</c:v>
                </c:pt>
                <c:pt idx="1243">
                  <c:v>17891666.666665316</c:v>
                </c:pt>
                <c:pt idx="1244">
                  <c:v>17812499.999998629</c:v>
                </c:pt>
                <c:pt idx="1245">
                  <c:v>17733333.333331883</c:v>
                </c:pt>
                <c:pt idx="1246">
                  <c:v>17654166.666665316</c:v>
                </c:pt>
                <c:pt idx="1247">
                  <c:v>17574999.999998629</c:v>
                </c:pt>
                <c:pt idx="1248">
                  <c:v>17495833.333331883</c:v>
                </c:pt>
                <c:pt idx="1249">
                  <c:v>17416666.666665316</c:v>
                </c:pt>
                <c:pt idx="1250">
                  <c:v>17337499.999998629</c:v>
                </c:pt>
                <c:pt idx="1251">
                  <c:v>17258333.333331883</c:v>
                </c:pt>
                <c:pt idx="1252">
                  <c:v>17179166.666665316</c:v>
                </c:pt>
                <c:pt idx="1253">
                  <c:v>17099999.999998629</c:v>
                </c:pt>
                <c:pt idx="1254">
                  <c:v>17020833.333331883</c:v>
                </c:pt>
                <c:pt idx="1255">
                  <c:v>16941666.666665316</c:v>
                </c:pt>
                <c:pt idx="1256">
                  <c:v>16862499.999998629</c:v>
                </c:pt>
                <c:pt idx="1257">
                  <c:v>16783333.333331883</c:v>
                </c:pt>
                <c:pt idx="1258">
                  <c:v>16704166.666665316</c:v>
                </c:pt>
                <c:pt idx="1259">
                  <c:v>16624999.999998629</c:v>
                </c:pt>
                <c:pt idx="1260">
                  <c:v>16545833.333331883</c:v>
                </c:pt>
                <c:pt idx="1261">
                  <c:v>16466666.666665196</c:v>
                </c:pt>
                <c:pt idx="1262">
                  <c:v>16387499.999998629</c:v>
                </c:pt>
                <c:pt idx="1263">
                  <c:v>16308333.333331883</c:v>
                </c:pt>
                <c:pt idx="1264">
                  <c:v>16229166.666665196</c:v>
                </c:pt>
                <c:pt idx="1265">
                  <c:v>16149999.999998629</c:v>
                </c:pt>
                <c:pt idx="1266">
                  <c:v>16070833.333331883</c:v>
                </c:pt>
                <c:pt idx="1267">
                  <c:v>15991666.666665196</c:v>
                </c:pt>
                <c:pt idx="1268">
                  <c:v>15912499.99999851</c:v>
                </c:pt>
                <c:pt idx="1269">
                  <c:v>15833333.333331823</c:v>
                </c:pt>
                <c:pt idx="1270">
                  <c:v>15754166.666665196</c:v>
                </c:pt>
                <c:pt idx="1271">
                  <c:v>15674999.99999851</c:v>
                </c:pt>
                <c:pt idx="1272">
                  <c:v>15595833.333331823</c:v>
                </c:pt>
                <c:pt idx="1273">
                  <c:v>15516666.666665196</c:v>
                </c:pt>
                <c:pt idx="1274">
                  <c:v>15437499.99999851</c:v>
                </c:pt>
                <c:pt idx="1275">
                  <c:v>15358333.333331823</c:v>
                </c:pt>
                <c:pt idx="1276">
                  <c:v>15279166.666665077</c:v>
                </c:pt>
                <c:pt idx="1277">
                  <c:v>15199999.99999851</c:v>
                </c:pt>
                <c:pt idx="1278">
                  <c:v>15120833.333331823</c:v>
                </c:pt>
                <c:pt idx="1279">
                  <c:v>15041666.666665077</c:v>
                </c:pt>
                <c:pt idx="1280">
                  <c:v>14962499.99999851</c:v>
                </c:pt>
                <c:pt idx="1281">
                  <c:v>14883333.333331823</c:v>
                </c:pt>
                <c:pt idx="1282">
                  <c:v>14804166.666665077</c:v>
                </c:pt>
                <c:pt idx="1283">
                  <c:v>14724999.99999851</c:v>
                </c:pt>
                <c:pt idx="1284">
                  <c:v>14645833.333331823</c:v>
                </c:pt>
                <c:pt idx="1285">
                  <c:v>14566666.666665077</c:v>
                </c:pt>
                <c:pt idx="1286">
                  <c:v>14487499.99999851</c:v>
                </c:pt>
                <c:pt idx="1287">
                  <c:v>14408333.333331823</c:v>
                </c:pt>
                <c:pt idx="1288">
                  <c:v>14329166.666665077</c:v>
                </c:pt>
                <c:pt idx="1289">
                  <c:v>14249999.99999851</c:v>
                </c:pt>
                <c:pt idx="1290">
                  <c:v>14170833.333331823</c:v>
                </c:pt>
                <c:pt idx="1291">
                  <c:v>14091666.666665077</c:v>
                </c:pt>
                <c:pt idx="1292">
                  <c:v>14012499.999998391</c:v>
                </c:pt>
                <c:pt idx="1293">
                  <c:v>13933333.333331704</c:v>
                </c:pt>
                <c:pt idx="1294">
                  <c:v>13854166.666665077</c:v>
                </c:pt>
                <c:pt idx="1295">
                  <c:v>13774999.999998391</c:v>
                </c:pt>
                <c:pt idx="1296">
                  <c:v>13695833.333331704</c:v>
                </c:pt>
                <c:pt idx="1297">
                  <c:v>13616666.666665077</c:v>
                </c:pt>
                <c:pt idx="1298">
                  <c:v>13537499.999998391</c:v>
                </c:pt>
                <c:pt idx="1299">
                  <c:v>13458333.333331704</c:v>
                </c:pt>
                <c:pt idx="1300">
                  <c:v>13379166.666665018</c:v>
                </c:pt>
                <c:pt idx="1301">
                  <c:v>13299999.999998271</c:v>
                </c:pt>
                <c:pt idx="1302">
                  <c:v>13220833.333331704</c:v>
                </c:pt>
                <c:pt idx="1303">
                  <c:v>13141666.666665018</c:v>
                </c:pt>
                <c:pt idx="1304">
                  <c:v>13062499.999998271</c:v>
                </c:pt>
                <c:pt idx="1305">
                  <c:v>12983333.333331704</c:v>
                </c:pt>
                <c:pt idx="1306">
                  <c:v>12904166.666665018</c:v>
                </c:pt>
                <c:pt idx="1307">
                  <c:v>12824999.999998271</c:v>
                </c:pt>
                <c:pt idx="1308">
                  <c:v>12745833.333331585</c:v>
                </c:pt>
                <c:pt idx="1309">
                  <c:v>12666666.666665018</c:v>
                </c:pt>
                <c:pt idx="1310">
                  <c:v>12587499.999998271</c:v>
                </c:pt>
                <c:pt idx="1311">
                  <c:v>12508333.333331585</c:v>
                </c:pt>
                <c:pt idx="1312">
                  <c:v>12429166.666665018</c:v>
                </c:pt>
                <c:pt idx="1313">
                  <c:v>12349999.999998271</c:v>
                </c:pt>
                <c:pt idx="1314">
                  <c:v>12270833.333331585</c:v>
                </c:pt>
                <c:pt idx="1315">
                  <c:v>12191666.666665018</c:v>
                </c:pt>
                <c:pt idx="1316">
                  <c:v>12112499.999998271</c:v>
                </c:pt>
                <c:pt idx="1317">
                  <c:v>12033333.333331585</c:v>
                </c:pt>
                <c:pt idx="1318">
                  <c:v>11954166.666665018</c:v>
                </c:pt>
                <c:pt idx="1319">
                  <c:v>11874999.999998271</c:v>
                </c:pt>
                <c:pt idx="1320">
                  <c:v>11795833.333331585</c:v>
                </c:pt>
                <c:pt idx="1321">
                  <c:v>11716666.666665018</c:v>
                </c:pt>
                <c:pt idx="1322">
                  <c:v>11637499.999998271</c:v>
                </c:pt>
                <c:pt idx="1323">
                  <c:v>11558333.333331585</c:v>
                </c:pt>
                <c:pt idx="1324">
                  <c:v>11479166.666664898</c:v>
                </c:pt>
                <c:pt idx="1325">
                  <c:v>11399999.999998212</c:v>
                </c:pt>
                <c:pt idx="1326">
                  <c:v>11320833.333331585</c:v>
                </c:pt>
                <c:pt idx="1327">
                  <c:v>11241666.666664898</c:v>
                </c:pt>
                <c:pt idx="1328">
                  <c:v>11162499.999998212</c:v>
                </c:pt>
                <c:pt idx="1329">
                  <c:v>11083333.333331585</c:v>
                </c:pt>
                <c:pt idx="1330">
                  <c:v>11004166.666664898</c:v>
                </c:pt>
                <c:pt idx="1331">
                  <c:v>10924999.999998212</c:v>
                </c:pt>
                <c:pt idx="1332">
                  <c:v>10845833.333331525</c:v>
                </c:pt>
                <c:pt idx="1333">
                  <c:v>10766666.666664779</c:v>
                </c:pt>
                <c:pt idx="1334">
                  <c:v>10687499.999998212</c:v>
                </c:pt>
                <c:pt idx="1335">
                  <c:v>10608333.333331525</c:v>
                </c:pt>
                <c:pt idx="1336">
                  <c:v>10529166.666664779</c:v>
                </c:pt>
                <c:pt idx="1337">
                  <c:v>10449999.999998212</c:v>
                </c:pt>
                <c:pt idx="1338">
                  <c:v>10370833.333331525</c:v>
                </c:pt>
                <c:pt idx="1339">
                  <c:v>10291666.666664779</c:v>
                </c:pt>
                <c:pt idx="1340">
                  <c:v>10212499.999998212</c:v>
                </c:pt>
                <c:pt idx="1341">
                  <c:v>10133333.333331525</c:v>
                </c:pt>
                <c:pt idx="1342">
                  <c:v>10054166.666664779</c:v>
                </c:pt>
                <c:pt idx="1343">
                  <c:v>9974999.9999982119</c:v>
                </c:pt>
                <c:pt idx="1344">
                  <c:v>9895833.3333315253</c:v>
                </c:pt>
                <c:pt idx="1345">
                  <c:v>9816666.6666647792</c:v>
                </c:pt>
                <c:pt idx="1346">
                  <c:v>9737499.9999982119</c:v>
                </c:pt>
                <c:pt idx="1347">
                  <c:v>9658333.3333315253</c:v>
                </c:pt>
                <c:pt idx="1348">
                  <c:v>9579166.6666647792</c:v>
                </c:pt>
                <c:pt idx="1349">
                  <c:v>9499999.9999980927</c:v>
                </c:pt>
                <c:pt idx="1350">
                  <c:v>9420833.3333315253</c:v>
                </c:pt>
                <c:pt idx="1351">
                  <c:v>9341666.6666647792</c:v>
                </c:pt>
                <c:pt idx="1352">
                  <c:v>9262499.9999980927</c:v>
                </c:pt>
                <c:pt idx="1353">
                  <c:v>9183333.3333315253</c:v>
                </c:pt>
                <c:pt idx="1354">
                  <c:v>9104166.6666647792</c:v>
                </c:pt>
                <c:pt idx="1355">
                  <c:v>9024999.9999980927</c:v>
                </c:pt>
                <c:pt idx="1356">
                  <c:v>8945833.3333314061</c:v>
                </c:pt>
                <c:pt idx="1357">
                  <c:v>8866666.6666647196</c:v>
                </c:pt>
                <c:pt idx="1358">
                  <c:v>8787499.9999980927</c:v>
                </c:pt>
                <c:pt idx="1359">
                  <c:v>8708333.3333314061</c:v>
                </c:pt>
                <c:pt idx="1360">
                  <c:v>8629166.6666647196</c:v>
                </c:pt>
                <c:pt idx="1361">
                  <c:v>8549999.9999980927</c:v>
                </c:pt>
                <c:pt idx="1362">
                  <c:v>8470833.3333314061</c:v>
                </c:pt>
                <c:pt idx="1363">
                  <c:v>8391666.6666647196</c:v>
                </c:pt>
                <c:pt idx="1364">
                  <c:v>8312499.9999979734</c:v>
                </c:pt>
                <c:pt idx="1365">
                  <c:v>8233333.3333312869</c:v>
                </c:pt>
                <c:pt idx="1366">
                  <c:v>8154166.6666647196</c:v>
                </c:pt>
                <c:pt idx="1367">
                  <c:v>8074999.9999979734</c:v>
                </c:pt>
                <c:pt idx="1368">
                  <c:v>7995833.3333312869</c:v>
                </c:pt>
                <c:pt idx="1369">
                  <c:v>7916666.6666647196</c:v>
                </c:pt>
                <c:pt idx="1370">
                  <c:v>7837499.9999979734</c:v>
                </c:pt>
                <c:pt idx="1371">
                  <c:v>7758333.3333312869</c:v>
                </c:pt>
                <c:pt idx="1372">
                  <c:v>7679166.6666647196</c:v>
                </c:pt>
                <c:pt idx="1373">
                  <c:v>7599999.9999979734</c:v>
                </c:pt>
                <c:pt idx="1374">
                  <c:v>7520833.3333312869</c:v>
                </c:pt>
                <c:pt idx="1375">
                  <c:v>7441666.6666647196</c:v>
                </c:pt>
                <c:pt idx="1376">
                  <c:v>7362499.9999979734</c:v>
                </c:pt>
                <c:pt idx="1377">
                  <c:v>7283333.3333312869</c:v>
                </c:pt>
                <c:pt idx="1378">
                  <c:v>7204166.6666647196</c:v>
                </c:pt>
                <c:pt idx="1379">
                  <c:v>7124999.9999979734</c:v>
                </c:pt>
                <c:pt idx="1380">
                  <c:v>7045833.3333312869</c:v>
                </c:pt>
                <c:pt idx="1381">
                  <c:v>6966666.6666646004</c:v>
                </c:pt>
                <c:pt idx="1382">
                  <c:v>6887499.9999979734</c:v>
                </c:pt>
                <c:pt idx="1383">
                  <c:v>6808333.3333312869</c:v>
                </c:pt>
                <c:pt idx="1384">
                  <c:v>6729166.6666646004</c:v>
                </c:pt>
                <c:pt idx="1385">
                  <c:v>6649999.9999979734</c:v>
                </c:pt>
                <c:pt idx="1386">
                  <c:v>6570833.3333312869</c:v>
                </c:pt>
                <c:pt idx="1387">
                  <c:v>6491666.6666646004</c:v>
                </c:pt>
                <c:pt idx="1388">
                  <c:v>6412499.9999979138</c:v>
                </c:pt>
                <c:pt idx="1389">
                  <c:v>6333333.3333312273</c:v>
                </c:pt>
                <c:pt idx="1390">
                  <c:v>6254166.6666646004</c:v>
                </c:pt>
                <c:pt idx="1391">
                  <c:v>6174999.9999979138</c:v>
                </c:pt>
                <c:pt idx="1392">
                  <c:v>6095833.3333312273</c:v>
                </c:pt>
                <c:pt idx="1393">
                  <c:v>6016666.6666646004</c:v>
                </c:pt>
                <c:pt idx="1394">
                  <c:v>5937499.9999979138</c:v>
                </c:pt>
                <c:pt idx="1395">
                  <c:v>5858333.3333312273</c:v>
                </c:pt>
                <c:pt idx="1396">
                  <c:v>5779166.6666644812</c:v>
                </c:pt>
                <c:pt idx="1397">
                  <c:v>5699999.9999979138</c:v>
                </c:pt>
                <c:pt idx="1398">
                  <c:v>5620833.3333312273</c:v>
                </c:pt>
                <c:pt idx="1399">
                  <c:v>5541666.6666644812</c:v>
                </c:pt>
                <c:pt idx="1400">
                  <c:v>5462499.9999979138</c:v>
                </c:pt>
                <c:pt idx="1401">
                  <c:v>5383333.3333312273</c:v>
                </c:pt>
                <c:pt idx="1402">
                  <c:v>5304166.6666644812</c:v>
                </c:pt>
                <c:pt idx="1403">
                  <c:v>5224999.9999979138</c:v>
                </c:pt>
                <c:pt idx="1404">
                  <c:v>5145833.3333312273</c:v>
                </c:pt>
                <c:pt idx="1405">
                  <c:v>5066666.6666644812</c:v>
                </c:pt>
                <c:pt idx="1406">
                  <c:v>4987499.9999979138</c:v>
                </c:pt>
                <c:pt idx="1407">
                  <c:v>4908333.3333312273</c:v>
                </c:pt>
                <c:pt idx="1408">
                  <c:v>4829166.6666644812</c:v>
                </c:pt>
                <c:pt idx="1409">
                  <c:v>4749999.9999979138</c:v>
                </c:pt>
                <c:pt idx="1410">
                  <c:v>4670833.3333312273</c:v>
                </c:pt>
                <c:pt idx="1411">
                  <c:v>4591666.6666644812</c:v>
                </c:pt>
                <c:pt idx="1412">
                  <c:v>4512499.9999977946</c:v>
                </c:pt>
                <c:pt idx="1413">
                  <c:v>4433333.3333311081</c:v>
                </c:pt>
                <c:pt idx="1414">
                  <c:v>4354166.6666644812</c:v>
                </c:pt>
                <c:pt idx="1415">
                  <c:v>4274999.9999977946</c:v>
                </c:pt>
                <c:pt idx="1416">
                  <c:v>4195833.3333311081</c:v>
                </c:pt>
                <c:pt idx="1417">
                  <c:v>4116666.6666644812</c:v>
                </c:pt>
                <c:pt idx="1418">
                  <c:v>4037499.9999977946</c:v>
                </c:pt>
                <c:pt idx="1419">
                  <c:v>3958333.3333311081</c:v>
                </c:pt>
                <c:pt idx="1420">
                  <c:v>3879166.6666644216</c:v>
                </c:pt>
                <c:pt idx="1421">
                  <c:v>3799999.9999976754</c:v>
                </c:pt>
                <c:pt idx="1422">
                  <c:v>3720833.3333311081</c:v>
                </c:pt>
                <c:pt idx="1423">
                  <c:v>3641666.6666644216</c:v>
                </c:pt>
                <c:pt idx="1424">
                  <c:v>3562499.9999976754</c:v>
                </c:pt>
                <c:pt idx="1425">
                  <c:v>3483333.3333311081</c:v>
                </c:pt>
                <c:pt idx="1426">
                  <c:v>3404166.6666644216</c:v>
                </c:pt>
                <c:pt idx="1427">
                  <c:v>3324999.9999976754</c:v>
                </c:pt>
                <c:pt idx="1428">
                  <c:v>3245833.3333309889</c:v>
                </c:pt>
                <c:pt idx="1429">
                  <c:v>3166666.6666644216</c:v>
                </c:pt>
                <c:pt idx="1430">
                  <c:v>3087499.9999976754</c:v>
                </c:pt>
                <c:pt idx="1431">
                  <c:v>3008333.3333309889</c:v>
                </c:pt>
                <c:pt idx="1432">
                  <c:v>2929166.6666644216</c:v>
                </c:pt>
                <c:pt idx="1433">
                  <c:v>2849999.9999976754</c:v>
                </c:pt>
                <c:pt idx="1434">
                  <c:v>2770833.3333309889</c:v>
                </c:pt>
                <c:pt idx="1435">
                  <c:v>2691666.6666644216</c:v>
                </c:pt>
                <c:pt idx="1436">
                  <c:v>2612499.9999976754</c:v>
                </c:pt>
                <c:pt idx="1437">
                  <c:v>2533333.3333309889</c:v>
                </c:pt>
                <c:pt idx="1438">
                  <c:v>2454166.6666644216</c:v>
                </c:pt>
                <c:pt idx="1439">
                  <c:v>2374999.9999976754</c:v>
                </c:pt>
                <c:pt idx="1440">
                  <c:v>2295833.3333309889</c:v>
                </c:pt>
                <c:pt idx="1441">
                  <c:v>2216666.6666644216</c:v>
                </c:pt>
                <c:pt idx="1442">
                  <c:v>2137499.9999976754</c:v>
                </c:pt>
                <c:pt idx="1443">
                  <c:v>2058333.3333309889</c:v>
                </c:pt>
                <c:pt idx="1444">
                  <c:v>1979166.6666643023</c:v>
                </c:pt>
                <c:pt idx="1445">
                  <c:v>1899999.9999976158</c:v>
                </c:pt>
                <c:pt idx="1446">
                  <c:v>1820833.3333309889</c:v>
                </c:pt>
                <c:pt idx="1447">
                  <c:v>1741666.6666643023</c:v>
                </c:pt>
                <c:pt idx="1448">
                  <c:v>1662499.9999976158</c:v>
                </c:pt>
                <c:pt idx="1449">
                  <c:v>1583333.3333309889</c:v>
                </c:pt>
                <c:pt idx="1450">
                  <c:v>1504166.6666643023</c:v>
                </c:pt>
                <c:pt idx="1451">
                  <c:v>1424999.9999976158</c:v>
                </c:pt>
                <c:pt idx="1452">
                  <c:v>1345833.3333309293</c:v>
                </c:pt>
                <c:pt idx="1453">
                  <c:v>1266666.6666641831</c:v>
                </c:pt>
                <c:pt idx="1454">
                  <c:v>1187499.9999976158</c:v>
                </c:pt>
                <c:pt idx="1455">
                  <c:v>1108333.3333309293</c:v>
                </c:pt>
                <c:pt idx="1456">
                  <c:v>1029166.6666641831</c:v>
                </c:pt>
                <c:pt idx="1457">
                  <c:v>949999.99999761581</c:v>
                </c:pt>
                <c:pt idx="1458">
                  <c:v>870833.33333092928</c:v>
                </c:pt>
                <c:pt idx="1459">
                  <c:v>791666.66666418314</c:v>
                </c:pt>
                <c:pt idx="1460">
                  <c:v>712499.99999761581</c:v>
                </c:pt>
                <c:pt idx="1461">
                  <c:v>633333.33333092928</c:v>
                </c:pt>
                <c:pt idx="1462">
                  <c:v>554166.66666418314</c:v>
                </c:pt>
                <c:pt idx="1463">
                  <c:v>474999.99999761581</c:v>
                </c:pt>
                <c:pt idx="1464">
                  <c:v>395833.33333092928</c:v>
                </c:pt>
                <c:pt idx="1465">
                  <c:v>316666.66666418314</c:v>
                </c:pt>
                <c:pt idx="1466">
                  <c:v>237499.99999761581</c:v>
                </c:pt>
                <c:pt idx="1467">
                  <c:v>158333.33333092928</c:v>
                </c:pt>
                <c:pt idx="1468">
                  <c:v>79166.66666418314</c:v>
                </c:pt>
                <c:pt idx="14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55-438C-B0F8-093E2D36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588256"/>
        <c:axId val="1475588736"/>
      </c:lineChart>
      <c:dateAx>
        <c:axId val="503274127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03274607"/>
        <c:crosses val="autoZero"/>
        <c:auto val="1"/>
        <c:lblOffset val="100"/>
        <c:baseTimeUnit val="days"/>
      </c:dateAx>
      <c:valAx>
        <c:axId val="50327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h-TH"/>
          </a:p>
        </c:txPr>
        <c:crossAx val="503274127"/>
        <c:crosses val="autoZero"/>
        <c:crossBetween val="between"/>
      </c:valAx>
      <c:valAx>
        <c:axId val="1475588736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crossAx val="1475588256"/>
        <c:crosses val="max"/>
        <c:crossBetween val="between"/>
      </c:valAx>
      <c:dateAx>
        <c:axId val="1475588256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475588736"/>
        <c:crosses val="autoZero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Remaining supply and confidence indicator   </a:t>
            </a:r>
          </a:p>
        </c:rich>
      </c:tx>
      <c:layout>
        <c:manualLayout>
          <c:xMode val="edge"/>
          <c:yMode val="edge"/>
          <c:x val="0.2114102564102564"/>
          <c:y val="2.81979458450046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400" b="1" i="0" u="none" strike="noStrike" kern="1200" spc="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Release Schedule'!$AA$2</c:f>
              <c:strCache>
                <c:ptCount val="1"/>
                <c:pt idx="0">
                  <c:v> Remaining supply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Schedule'!$AA$3:$AA$50</c:f>
              <c:numCache>
                <c:formatCode>_(* #,##0.00_);_(* \(#,##0.00\);_(* "-"??_);_(@_)</c:formatCode>
                <c:ptCount val="48"/>
                <c:pt idx="0">
                  <c:v>432166666.66666669</c:v>
                </c:pt>
                <c:pt idx="1">
                  <c:v>416458333.33333337</c:v>
                </c:pt>
                <c:pt idx="2">
                  <c:v>400750000</c:v>
                </c:pt>
                <c:pt idx="3">
                  <c:v>393375000</c:v>
                </c:pt>
                <c:pt idx="4">
                  <c:v>382041666.66666669</c:v>
                </c:pt>
                <c:pt idx="5">
                  <c:v>370708333.33333331</c:v>
                </c:pt>
                <c:pt idx="6">
                  <c:v>348944444.44444442</c:v>
                </c:pt>
                <c:pt idx="7">
                  <c:v>327180555.55555546</c:v>
                </c:pt>
                <c:pt idx="8">
                  <c:v>305416666.66666669</c:v>
                </c:pt>
                <c:pt idx="9">
                  <c:v>283652777.77777779</c:v>
                </c:pt>
                <c:pt idx="10">
                  <c:v>261888888.8888889</c:v>
                </c:pt>
                <c:pt idx="11">
                  <c:v>240125000</c:v>
                </c:pt>
                <c:pt idx="12">
                  <c:v>220027777.77777779</c:v>
                </c:pt>
                <c:pt idx="13">
                  <c:v>199930555.55555552</c:v>
                </c:pt>
                <c:pt idx="14">
                  <c:v>179833333.33333331</c:v>
                </c:pt>
                <c:pt idx="15">
                  <c:v>159736111.1111111</c:v>
                </c:pt>
                <c:pt idx="16">
                  <c:v>143597222.22222221</c:v>
                </c:pt>
                <c:pt idx="17">
                  <c:v>127458333.33333331</c:v>
                </c:pt>
                <c:pt idx="18">
                  <c:v>116111111.11111099</c:v>
                </c:pt>
                <c:pt idx="19">
                  <c:v>104763888.88888901</c:v>
                </c:pt>
                <c:pt idx="20">
                  <c:v>93416666.666666627</c:v>
                </c:pt>
                <c:pt idx="21">
                  <c:v>82069444.444444478</c:v>
                </c:pt>
                <c:pt idx="22">
                  <c:v>70722222.222222209</c:v>
                </c:pt>
                <c:pt idx="23">
                  <c:v>59375000</c:v>
                </c:pt>
                <c:pt idx="24">
                  <c:v>57000000</c:v>
                </c:pt>
                <c:pt idx="25">
                  <c:v>54625000</c:v>
                </c:pt>
                <c:pt idx="26">
                  <c:v>52250000</c:v>
                </c:pt>
                <c:pt idx="27">
                  <c:v>49875000</c:v>
                </c:pt>
                <c:pt idx="28">
                  <c:v>47500000</c:v>
                </c:pt>
                <c:pt idx="29">
                  <c:v>45125000</c:v>
                </c:pt>
                <c:pt idx="30">
                  <c:v>42750000</c:v>
                </c:pt>
                <c:pt idx="31">
                  <c:v>40375000</c:v>
                </c:pt>
                <c:pt idx="32">
                  <c:v>38000000</c:v>
                </c:pt>
                <c:pt idx="33">
                  <c:v>35625000</c:v>
                </c:pt>
                <c:pt idx="34">
                  <c:v>33250000</c:v>
                </c:pt>
                <c:pt idx="35">
                  <c:v>30875000</c:v>
                </c:pt>
                <c:pt idx="36">
                  <c:v>28500000</c:v>
                </c:pt>
                <c:pt idx="37">
                  <c:v>26125000</c:v>
                </c:pt>
                <c:pt idx="38">
                  <c:v>23750000</c:v>
                </c:pt>
                <c:pt idx="39">
                  <c:v>21375000</c:v>
                </c:pt>
                <c:pt idx="40">
                  <c:v>19000000</c:v>
                </c:pt>
                <c:pt idx="41">
                  <c:v>16625000</c:v>
                </c:pt>
                <c:pt idx="42">
                  <c:v>14250000</c:v>
                </c:pt>
                <c:pt idx="43">
                  <c:v>11875000</c:v>
                </c:pt>
                <c:pt idx="44">
                  <c:v>9500000</c:v>
                </c:pt>
                <c:pt idx="45">
                  <c:v>7125000</c:v>
                </c:pt>
                <c:pt idx="46">
                  <c:v>4750000</c:v>
                </c:pt>
                <c:pt idx="47">
                  <c:v>2375000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5-4D74-950F-47FD094E6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797600"/>
        <c:axId val="624794240"/>
      </c:barChart>
      <c:barChart>
        <c:barDir val="col"/>
        <c:grouping val="clustered"/>
        <c:varyColors val="0"/>
        <c:ser>
          <c:idx val="1"/>
          <c:order val="1"/>
          <c:tx>
            <c:strRef>
              <c:f>'Monthly Release Schedule'!$AB$2</c:f>
              <c:strCache>
                <c:ptCount val="1"/>
                <c:pt idx="0">
                  <c:v>Confidence indicator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Schedule'!$AB$3:$AB$50</c:f>
              <c:numCache>
                <c:formatCode>0.00%</c:formatCode>
                <c:ptCount val="48"/>
                <c:pt idx="0">
                  <c:v>3.0852294639413799E-2</c:v>
                </c:pt>
                <c:pt idx="1">
                  <c:v>3.7718859429714847E-2</c:v>
                </c:pt>
                <c:pt idx="2">
                  <c:v>3.9197338323975872E-2</c:v>
                </c:pt>
                <c:pt idx="3">
                  <c:v>1.874801398156975E-2</c:v>
                </c:pt>
                <c:pt idx="4">
                  <c:v>2.9665176136983305E-2</c:v>
                </c:pt>
                <c:pt idx="5">
                  <c:v>3.0572102956052595E-2</c:v>
                </c:pt>
                <c:pt idx="6">
                  <c:v>6.2370641617576834E-2</c:v>
                </c:pt>
                <c:pt idx="7">
                  <c:v>6.6519505879356483E-2</c:v>
                </c:pt>
                <c:pt idx="8">
                  <c:v>7.1259663483401556E-2</c:v>
                </c:pt>
                <c:pt idx="9">
                  <c:v>7.6727219311560499E-2</c:v>
                </c:pt>
                <c:pt idx="10">
                  <c:v>8.3103521425540949E-2</c:v>
                </c:pt>
                <c:pt idx="11">
                  <c:v>9.063566429521662E-2</c:v>
                </c:pt>
                <c:pt idx="12">
                  <c:v>9.1339477338719846E-2</c:v>
                </c:pt>
                <c:pt idx="13">
                  <c:v>0.10052101424105593</c:v>
                </c:pt>
                <c:pt idx="14">
                  <c:v>0.11175471115230151</c:v>
                </c:pt>
                <c:pt idx="15">
                  <c:v>0.12581514650899922</c:v>
                </c:pt>
                <c:pt idx="16">
                  <c:v>0.11238997968855791</c:v>
                </c:pt>
                <c:pt idx="17">
                  <c:v>0.12662090007627769</c:v>
                </c:pt>
                <c:pt idx="18">
                  <c:v>9.7727272727272815E-2</c:v>
                </c:pt>
                <c:pt idx="19">
                  <c:v>0.10831234256926937</c:v>
                </c:pt>
                <c:pt idx="20">
                  <c:v>0.12146892655367235</c:v>
                </c:pt>
                <c:pt idx="21">
                  <c:v>0.13826366559485523</c:v>
                </c:pt>
                <c:pt idx="22">
                  <c:v>0.16044776119402984</c:v>
                </c:pt>
                <c:pt idx="23">
                  <c:v>0.19111111111111106</c:v>
                </c:pt>
                <c:pt idx="24">
                  <c:v>4.1666666666666664E-2</c:v>
                </c:pt>
                <c:pt idx="25">
                  <c:v>4.3478260869565216E-2</c:v>
                </c:pt>
                <c:pt idx="26">
                  <c:v>4.5454545454545456E-2</c:v>
                </c:pt>
                <c:pt idx="27">
                  <c:v>4.7619047619047616E-2</c:v>
                </c:pt>
                <c:pt idx="28">
                  <c:v>0.05</c:v>
                </c:pt>
                <c:pt idx="29">
                  <c:v>5.2631578947368418E-2</c:v>
                </c:pt>
                <c:pt idx="30">
                  <c:v>5.5555555555555552E-2</c:v>
                </c:pt>
                <c:pt idx="31">
                  <c:v>5.8823529411764705E-2</c:v>
                </c:pt>
                <c:pt idx="32">
                  <c:v>6.25E-2</c:v>
                </c:pt>
                <c:pt idx="33">
                  <c:v>6.6666666666666666E-2</c:v>
                </c:pt>
                <c:pt idx="34">
                  <c:v>7.1428571428571425E-2</c:v>
                </c:pt>
                <c:pt idx="35">
                  <c:v>7.6923076923076927E-2</c:v>
                </c:pt>
                <c:pt idx="36">
                  <c:v>8.3333333333333329E-2</c:v>
                </c:pt>
                <c:pt idx="37">
                  <c:v>9.0909090909090912E-2</c:v>
                </c:pt>
                <c:pt idx="38">
                  <c:v>0.1</c:v>
                </c:pt>
                <c:pt idx="39">
                  <c:v>0.1111111111111111</c:v>
                </c:pt>
                <c:pt idx="40">
                  <c:v>0.125</c:v>
                </c:pt>
                <c:pt idx="41">
                  <c:v>0.14285714285714285</c:v>
                </c:pt>
                <c:pt idx="42">
                  <c:v>0.16666666666666666</c:v>
                </c:pt>
                <c:pt idx="43">
                  <c:v>0.2</c:v>
                </c:pt>
                <c:pt idx="44">
                  <c:v>0.25</c:v>
                </c:pt>
                <c:pt idx="45">
                  <c:v>0.33333333333333331</c:v>
                </c:pt>
                <c:pt idx="46">
                  <c:v>0.5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5-4D74-950F-47FD094E6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5336688"/>
        <c:axId val="1485352048"/>
      </c:barChart>
      <c:dateAx>
        <c:axId val="62479760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24794240"/>
        <c:crosses val="autoZero"/>
        <c:auto val="1"/>
        <c:lblOffset val="100"/>
        <c:baseTimeUnit val="months"/>
      </c:dateAx>
      <c:valAx>
        <c:axId val="6247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24797600"/>
        <c:crosses val="autoZero"/>
        <c:crossBetween val="between"/>
      </c:valAx>
      <c:valAx>
        <c:axId val="148535204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85336688"/>
        <c:crosses val="max"/>
        <c:crossBetween val="between"/>
      </c:valAx>
      <c:dateAx>
        <c:axId val="14853366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485352048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Remaining supply and LPR </a:t>
            </a:r>
          </a:p>
        </c:rich>
      </c:tx>
      <c:layout>
        <c:manualLayout>
          <c:xMode val="edge"/>
          <c:yMode val="edge"/>
          <c:x val="0.3282074270419168"/>
          <c:y val="2.3529411764705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Release Schedule'!$AA$2</c:f>
              <c:strCache>
                <c:ptCount val="1"/>
                <c:pt idx="0">
                  <c:v> Remaining supply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Schedule'!$AA$3:$AA$50</c:f>
              <c:numCache>
                <c:formatCode>_(* #,##0.00_);_(* \(#,##0.00\);_(* "-"??_);_(@_)</c:formatCode>
                <c:ptCount val="48"/>
                <c:pt idx="0">
                  <c:v>432166666.66666669</c:v>
                </c:pt>
                <c:pt idx="1">
                  <c:v>416458333.33333337</c:v>
                </c:pt>
                <c:pt idx="2">
                  <c:v>400750000</c:v>
                </c:pt>
                <c:pt idx="3">
                  <c:v>393375000</c:v>
                </c:pt>
                <c:pt idx="4">
                  <c:v>382041666.66666669</c:v>
                </c:pt>
                <c:pt idx="5">
                  <c:v>370708333.33333331</c:v>
                </c:pt>
                <c:pt idx="6">
                  <c:v>348944444.44444442</c:v>
                </c:pt>
                <c:pt idx="7">
                  <c:v>327180555.55555546</c:v>
                </c:pt>
                <c:pt idx="8">
                  <c:v>305416666.66666669</c:v>
                </c:pt>
                <c:pt idx="9">
                  <c:v>283652777.77777779</c:v>
                </c:pt>
                <c:pt idx="10">
                  <c:v>261888888.8888889</c:v>
                </c:pt>
                <c:pt idx="11">
                  <c:v>240125000</c:v>
                </c:pt>
                <c:pt idx="12">
                  <c:v>220027777.77777779</c:v>
                </c:pt>
                <c:pt idx="13">
                  <c:v>199930555.55555552</c:v>
                </c:pt>
                <c:pt idx="14">
                  <c:v>179833333.33333331</c:v>
                </c:pt>
                <c:pt idx="15">
                  <c:v>159736111.1111111</c:v>
                </c:pt>
                <c:pt idx="16">
                  <c:v>143597222.22222221</c:v>
                </c:pt>
                <c:pt idx="17">
                  <c:v>127458333.33333331</c:v>
                </c:pt>
                <c:pt idx="18">
                  <c:v>116111111.11111099</c:v>
                </c:pt>
                <c:pt idx="19">
                  <c:v>104763888.88888901</c:v>
                </c:pt>
                <c:pt idx="20">
                  <c:v>93416666.666666627</c:v>
                </c:pt>
                <c:pt idx="21">
                  <c:v>82069444.444444478</c:v>
                </c:pt>
                <c:pt idx="22">
                  <c:v>70722222.222222209</c:v>
                </c:pt>
                <c:pt idx="23">
                  <c:v>59375000</c:v>
                </c:pt>
                <c:pt idx="24">
                  <c:v>57000000</c:v>
                </c:pt>
                <c:pt idx="25">
                  <c:v>54625000</c:v>
                </c:pt>
                <c:pt idx="26">
                  <c:v>52250000</c:v>
                </c:pt>
                <c:pt idx="27">
                  <c:v>49875000</c:v>
                </c:pt>
                <c:pt idx="28">
                  <c:v>47500000</c:v>
                </c:pt>
                <c:pt idx="29">
                  <c:v>45125000</c:v>
                </c:pt>
                <c:pt idx="30">
                  <c:v>42750000</c:v>
                </c:pt>
                <c:pt idx="31">
                  <c:v>40375000</c:v>
                </c:pt>
                <c:pt idx="32">
                  <c:v>38000000</c:v>
                </c:pt>
                <c:pt idx="33">
                  <c:v>35625000</c:v>
                </c:pt>
                <c:pt idx="34">
                  <c:v>33250000</c:v>
                </c:pt>
                <c:pt idx="35">
                  <c:v>30875000</c:v>
                </c:pt>
                <c:pt idx="36">
                  <c:v>28500000</c:v>
                </c:pt>
                <c:pt idx="37">
                  <c:v>26125000</c:v>
                </c:pt>
                <c:pt idx="38">
                  <c:v>23750000</c:v>
                </c:pt>
                <c:pt idx="39">
                  <c:v>21375000</c:v>
                </c:pt>
                <c:pt idx="40">
                  <c:v>19000000</c:v>
                </c:pt>
                <c:pt idx="41">
                  <c:v>16625000</c:v>
                </c:pt>
                <c:pt idx="42">
                  <c:v>14250000</c:v>
                </c:pt>
                <c:pt idx="43">
                  <c:v>11875000</c:v>
                </c:pt>
                <c:pt idx="44">
                  <c:v>9500000</c:v>
                </c:pt>
                <c:pt idx="45">
                  <c:v>7125000</c:v>
                </c:pt>
                <c:pt idx="46">
                  <c:v>4750000</c:v>
                </c:pt>
                <c:pt idx="47">
                  <c:v>2375000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2-4A4A-95EA-0993D642D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797600"/>
        <c:axId val="624794240"/>
      </c:barChart>
      <c:lineChart>
        <c:grouping val="standard"/>
        <c:varyColors val="0"/>
        <c:ser>
          <c:idx val="1"/>
          <c:order val="1"/>
          <c:tx>
            <c:strRef>
              <c:f>'Monthly Release Schedule'!$Z$2</c:f>
              <c:strCache>
                <c:ptCount val="1"/>
                <c:pt idx="0">
                  <c:v>Incremental % Drop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Schedule'!$Z$3:$Z$51</c:f>
              <c:numCache>
                <c:formatCode>0.00%</c:formatCode>
                <c:ptCount val="49"/>
                <c:pt idx="1">
                  <c:v>0.23157248157248153</c:v>
                </c:pt>
                <c:pt idx="2">
                  <c:v>0.1880299251870324</c:v>
                </c:pt>
                <c:pt idx="3">
                  <c:v>7.4307304785894202E-2</c:v>
                </c:pt>
                <c:pt idx="4">
                  <c:v>0.10629152012504882</c:v>
                </c:pt>
                <c:pt idx="5">
                  <c:v>9.6079123984457795E-2</c:v>
                </c:pt>
                <c:pt idx="6">
                  <c:v>0.16833172198947252</c:v>
                </c:pt>
                <c:pt idx="7">
                  <c:v>0.14407870540639939</c:v>
                </c:pt>
                <c:pt idx="8">
                  <c:v>0.12593426022663343</c:v>
                </c:pt>
                <c:pt idx="9">
                  <c:v>0.11184867951463243</c:v>
                </c:pt>
                <c:pt idx="10">
                  <c:v>0.10059703408872057</c:v>
                </c:pt>
                <c:pt idx="11">
                  <c:v>9.1402239850676636E-2</c:v>
                </c:pt>
                <c:pt idx="12">
                  <c:v>7.7334188445299545E-2</c:v>
                </c:pt>
                <c:pt idx="13">
                  <c:v>7.1782914971723386E-2</c:v>
                </c:pt>
                <c:pt idx="14">
                  <c:v>6.6975237213607944E-2</c:v>
                </c:pt>
                <c:pt idx="15">
                  <c:v>6.2771126149574863E-2</c:v>
                </c:pt>
                <c:pt idx="16">
                  <c:v>4.7430507367647659E-2</c:v>
                </c:pt>
                <c:pt idx="17">
                  <c:v>4.5282724757413975E-2</c:v>
                </c:pt>
                <c:pt idx="18">
                  <c:v>3.0458934496514177E-2</c:v>
                </c:pt>
                <c:pt idx="19">
                  <c:v>2.9558610709117205E-2</c:v>
                </c:pt>
                <c:pt idx="20">
                  <c:v>2.8709983483852834E-2</c:v>
                </c:pt>
                <c:pt idx="21">
                  <c:v>2.7908724465395905E-2</c:v>
                </c:pt>
                <c:pt idx="22">
                  <c:v>2.715097537469675E-2</c:v>
                </c:pt>
                <c:pt idx="23">
                  <c:v>2.6433285880678135E-2</c:v>
                </c:pt>
                <c:pt idx="24">
                  <c:v>5.3900709219858152E-3</c:v>
                </c:pt>
                <c:pt idx="25">
                  <c:v>5.3611738148984199E-3</c:v>
                </c:pt>
                <c:pt idx="26">
                  <c:v>5.3325849003648612E-3</c:v>
                </c:pt>
                <c:pt idx="27">
                  <c:v>5.30429927414852E-3</c:v>
                </c:pt>
                <c:pt idx="28">
                  <c:v>5.276312135517912E-3</c:v>
                </c:pt>
                <c:pt idx="29">
                  <c:v>5.2486187845303869E-3</c:v>
                </c:pt>
                <c:pt idx="30">
                  <c:v>5.2212146194009343E-3</c:v>
                </c:pt>
                <c:pt idx="31">
                  <c:v>5.1940951339529799E-3</c:v>
                </c:pt>
                <c:pt idx="32">
                  <c:v>5.1672559151482184E-3</c:v>
                </c:pt>
                <c:pt idx="33">
                  <c:v>5.140692640692641E-3</c:v>
                </c:pt>
                <c:pt idx="34">
                  <c:v>5.1144010767160165E-3</c:v>
                </c:pt>
                <c:pt idx="35">
                  <c:v>5.0883770755222281E-3</c:v>
                </c:pt>
                <c:pt idx="36">
                  <c:v>5.0626165734079407E-3</c:v>
                </c:pt>
                <c:pt idx="37">
                  <c:v>5.0371155885471901E-3</c:v>
                </c:pt>
                <c:pt idx="38">
                  <c:v>5.0118702189395938E-3</c:v>
                </c:pt>
                <c:pt idx="39">
                  <c:v>4.9868766404199474E-3</c:v>
                </c:pt>
                <c:pt idx="40">
                  <c:v>4.9621311047270827E-3</c:v>
                </c:pt>
                <c:pt idx="41">
                  <c:v>4.9376299376299379E-3</c:v>
                </c:pt>
                <c:pt idx="42">
                  <c:v>4.9133695371088703E-3</c:v>
                </c:pt>
                <c:pt idx="43">
                  <c:v>4.8893463715903246E-3</c:v>
                </c:pt>
                <c:pt idx="44">
                  <c:v>4.8655569782330346E-3</c:v>
                </c:pt>
                <c:pt idx="45">
                  <c:v>4.8419979612640161E-3</c:v>
                </c:pt>
                <c:pt idx="46">
                  <c:v>4.8186659903626684E-3</c:v>
                </c:pt>
                <c:pt idx="47">
                  <c:v>4.7955577990913684E-3</c:v>
                </c:pt>
                <c:pt idx="48">
                  <c:v>4.7726701833710125E-3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C2-4A4A-95EA-0993D642D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448640"/>
        <c:axId val="761448160"/>
      </c:lineChart>
      <c:dateAx>
        <c:axId val="62479760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24794240"/>
        <c:crosses val="autoZero"/>
        <c:auto val="1"/>
        <c:lblOffset val="100"/>
        <c:baseTimeUnit val="months"/>
      </c:dateAx>
      <c:valAx>
        <c:axId val="6247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24797600"/>
        <c:crosses val="autoZero"/>
        <c:crossBetween val="between"/>
      </c:valAx>
      <c:valAx>
        <c:axId val="7614481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61448640"/>
        <c:crosses val="max"/>
        <c:crossBetween val="between"/>
      </c:valAx>
      <c:dateAx>
        <c:axId val="76144864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761448160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  <a:latin typeface="Consolas" panose="020B0609020204030204" pitchFamily="49" charset="0"/>
              </a:rPr>
              <a:t>Supply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explosion val="5"/>
            <c:spPr>
              <a:solidFill>
                <a:srgbClr val="00FF0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3B-48D8-8EA9-41548937F6FD}"/>
              </c:ext>
            </c:extLst>
          </c:dPt>
          <c:dPt>
            <c:idx val="1"/>
            <c:bubble3D val="0"/>
            <c:spPr>
              <a:solidFill>
                <a:srgbClr val="FFCC0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E3B-48D8-8EA9-41548937F6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A6-4BEA-8C8E-2E49AE050879}"/>
              </c:ext>
            </c:extLst>
          </c:dPt>
          <c:dPt>
            <c:idx val="3"/>
            <c:bubble3D val="0"/>
            <c:spPr>
              <a:solidFill>
                <a:srgbClr val="CCCCFF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3B-48D8-8EA9-41548937F6FD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E3B-48D8-8EA9-41548937F6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'indicators '!$L$2:$P$2</c:f>
              <c:strCache>
                <c:ptCount val="5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'indicators '!$L$4:$P$4</c:f>
              <c:numCache>
                <c:formatCode>#,##0.00</c:formatCode>
                <c:ptCount val="5"/>
                <c:pt idx="0">
                  <c:v>17114583.333333336</c:v>
                </c:pt>
                <c:pt idx="1">
                  <c:v>15062499.999999994</c:v>
                </c:pt>
                <c:pt idx="2">
                  <c:v>2375000</c:v>
                </c:pt>
                <c:pt idx="3">
                  <c:v>2375000</c:v>
                </c:pt>
                <c:pt idx="4">
                  <c:v>2375000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B-48D8-8EA9-41548937F6F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solidFill>
            <a:srgbClr val="CCCCFF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20987513844007"/>
          <c:y val="0.24947582712702498"/>
          <c:w val="0.54774854732753786"/>
          <c:h val="0.73315666296065019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FFCC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560-4AE4-8D3C-DA8ACB4459BB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60-4AE4-8D3C-DA8ACB4459BB}"/>
              </c:ext>
            </c:extLst>
          </c:dPt>
          <c:dPt>
            <c:idx val="2"/>
            <c:bubble3D val="0"/>
            <c:spPr>
              <a:solidFill>
                <a:srgbClr val="00FF00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560-4AE4-8D3C-DA8ACB4459BB}"/>
              </c:ext>
            </c:extLst>
          </c:dPt>
          <c:dPt>
            <c:idx val="3"/>
            <c:bubble3D val="0"/>
            <c:spPr>
              <a:solidFill>
                <a:srgbClr val="CCCCFF"/>
              </a:solidFill>
              <a:ln w="1905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60-4AE4-8D3C-DA8ACB4459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'indicators '!$H$2:$K$2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'indicators '!$H$4:$K$4</c:f>
              <c:numCache>
                <c:formatCode>#,##0.00</c:formatCode>
                <c:ptCount val="4"/>
                <c:pt idx="0">
                  <c:v>14916666.666666664</c:v>
                </c:pt>
                <c:pt idx="1">
                  <c:v>10013888.888888886</c:v>
                </c:pt>
                <c:pt idx="2">
                  <c:v>21763888.888888892</c:v>
                </c:pt>
                <c:pt idx="3">
                  <c:v>21763888.888888892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0-4AE4-8D3C-DA8ACB4459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'indicators '!$G$7</c:f>
              <c:strCache>
                <c:ptCount val="1"/>
                <c:pt idx="0">
                  <c:v>% Max supply(Total Release)</c:v>
                </c:pt>
              </c:strCache>
            </c:strRef>
          </c:tx>
          <c:spPr>
            <a:solidFill>
              <a:srgbClr val="CCCCFF"/>
            </a:solidFill>
            <a:ln>
              <a:solidFill>
                <a:schemeClr val="tx2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'indicators '!$L$7:$P$7</c:f>
              <c:numCache>
                <c:formatCode>0.00%</c:formatCode>
                <c:ptCount val="5"/>
                <c:pt idx="0">
                  <c:v>0.41075000000000006</c:v>
                </c:pt>
                <c:pt idx="1">
                  <c:v>0.36149999999999988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4.7499999999999999E-3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592-48B8-96BB-AA92C4F92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65104511"/>
        <c:axId val="1565097791"/>
      </c:barChart>
      <c:lineChart>
        <c:grouping val="standard"/>
        <c:varyColors val="0"/>
        <c:ser>
          <c:idx val="0"/>
          <c:order val="0"/>
          <c:tx>
            <c:strRef>
              <c:f>'indicators '!$G$5</c:f>
              <c:strCache>
                <c:ptCount val="1"/>
                <c:pt idx="0">
                  <c:v>Total Release </c:v>
                </c:pt>
              </c:strCache>
            </c:strRef>
          </c:tx>
          <c:spPr>
            <a:ln w="34925" cap="rnd">
              <a:solidFill>
                <a:srgbClr val="00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'indicators '!$L$5:$P$5</c:f>
              <c:numCache>
                <c:formatCode>#,##0.00</c:formatCode>
                <c:ptCount val="5"/>
                <c:pt idx="0">
                  <c:v>205375000.00000003</c:v>
                </c:pt>
                <c:pt idx="1">
                  <c:v>180749999.99999994</c:v>
                </c:pt>
                <c:pt idx="2">
                  <c:v>28500000</c:v>
                </c:pt>
                <c:pt idx="3">
                  <c:v>28500000</c:v>
                </c:pt>
                <c:pt idx="4">
                  <c:v>2375000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2-48B8-96BB-AA92C4F92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381359"/>
        <c:axId val="1007381839"/>
      </c:lineChart>
      <c:catAx>
        <c:axId val="1007381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07381839"/>
        <c:crosses val="autoZero"/>
        <c:auto val="1"/>
        <c:lblAlgn val="ctr"/>
        <c:lblOffset val="100"/>
        <c:noMultiLvlLbl val="0"/>
      </c:catAx>
      <c:valAx>
        <c:axId val="100738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FF00"/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7AB07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1007381359"/>
        <c:crosses val="autoZero"/>
        <c:crossBetween val="between"/>
      </c:valAx>
      <c:valAx>
        <c:axId val="156509779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1565104511"/>
        <c:crosses val="max"/>
        <c:crossBetween val="between"/>
      </c:valAx>
      <c:catAx>
        <c:axId val="1565104511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097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'Monthly Release Schedule'!$V$2</c:f>
              <c:strCache>
                <c:ptCount val="1"/>
                <c:pt idx="0">
                  <c:v> Total Cumulative 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ysClr val="windowText" lastClr="000000"/>
              </a:solidFill>
            </a:ln>
            <a:effectLst/>
          </c:spPr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Schedule'!$V$3:$V$51</c:f>
              <c:numCache>
                <c:formatCode>_(* #,##0.00_);_(* \(#,##0.00\);_(* "-"??_);_(@_)</c:formatCode>
                <c:ptCount val="49"/>
                <c:pt idx="0">
                  <c:v>67833333.333333328</c:v>
                </c:pt>
                <c:pt idx="1">
                  <c:v>83541666.666666657</c:v>
                </c:pt>
                <c:pt idx="2">
                  <c:v>99250000</c:v>
                </c:pt>
                <c:pt idx="3">
                  <c:v>106625000</c:v>
                </c:pt>
                <c:pt idx="4">
                  <c:v>117958333.3333333</c:v>
                </c:pt>
                <c:pt idx="5">
                  <c:v>129291666.6666667</c:v>
                </c:pt>
                <c:pt idx="6">
                  <c:v>151055555.55555561</c:v>
                </c:pt>
                <c:pt idx="7">
                  <c:v>172819444.44444451</c:v>
                </c:pt>
                <c:pt idx="8">
                  <c:v>194583333.33333331</c:v>
                </c:pt>
                <c:pt idx="9">
                  <c:v>216347222.22222221</c:v>
                </c:pt>
                <c:pt idx="10">
                  <c:v>238111111.1111111</c:v>
                </c:pt>
                <c:pt idx="11">
                  <c:v>259875000</c:v>
                </c:pt>
                <c:pt idx="12">
                  <c:v>279972222.22222221</c:v>
                </c:pt>
                <c:pt idx="13">
                  <c:v>300069444.44444448</c:v>
                </c:pt>
                <c:pt idx="14">
                  <c:v>320166666.66666669</c:v>
                </c:pt>
                <c:pt idx="15">
                  <c:v>340263888.8888889</c:v>
                </c:pt>
                <c:pt idx="16">
                  <c:v>356402777.77777779</c:v>
                </c:pt>
                <c:pt idx="17">
                  <c:v>372541666.66666669</c:v>
                </c:pt>
                <c:pt idx="18">
                  <c:v>383888888.88888901</c:v>
                </c:pt>
                <c:pt idx="19">
                  <c:v>395236111.11111099</c:v>
                </c:pt>
                <c:pt idx="20">
                  <c:v>406583333.33333337</c:v>
                </c:pt>
                <c:pt idx="21">
                  <c:v>417930555.55555552</c:v>
                </c:pt>
                <c:pt idx="22">
                  <c:v>429277777.77777779</c:v>
                </c:pt>
                <c:pt idx="23">
                  <c:v>440625000</c:v>
                </c:pt>
                <c:pt idx="24">
                  <c:v>443000000</c:v>
                </c:pt>
                <c:pt idx="25">
                  <c:v>445375000</c:v>
                </c:pt>
                <c:pt idx="26">
                  <c:v>447750000</c:v>
                </c:pt>
                <c:pt idx="27">
                  <c:v>450125000</c:v>
                </c:pt>
                <c:pt idx="28">
                  <c:v>452500000</c:v>
                </c:pt>
                <c:pt idx="29">
                  <c:v>454875000</c:v>
                </c:pt>
                <c:pt idx="30">
                  <c:v>457250000</c:v>
                </c:pt>
                <c:pt idx="31">
                  <c:v>459625000</c:v>
                </c:pt>
                <c:pt idx="32">
                  <c:v>462000000</c:v>
                </c:pt>
                <c:pt idx="33">
                  <c:v>464375000</c:v>
                </c:pt>
                <c:pt idx="34">
                  <c:v>466750000</c:v>
                </c:pt>
                <c:pt idx="35">
                  <c:v>469125000</c:v>
                </c:pt>
                <c:pt idx="36">
                  <c:v>471500000</c:v>
                </c:pt>
                <c:pt idx="37">
                  <c:v>473875000</c:v>
                </c:pt>
                <c:pt idx="38">
                  <c:v>476250000</c:v>
                </c:pt>
                <c:pt idx="39">
                  <c:v>478625000</c:v>
                </c:pt>
                <c:pt idx="40">
                  <c:v>481000000</c:v>
                </c:pt>
                <c:pt idx="41">
                  <c:v>483375000</c:v>
                </c:pt>
                <c:pt idx="42">
                  <c:v>485750000</c:v>
                </c:pt>
                <c:pt idx="43">
                  <c:v>488125000</c:v>
                </c:pt>
                <c:pt idx="44">
                  <c:v>490500000</c:v>
                </c:pt>
                <c:pt idx="45">
                  <c:v>492875000</c:v>
                </c:pt>
                <c:pt idx="46">
                  <c:v>495250000</c:v>
                </c:pt>
                <c:pt idx="47">
                  <c:v>497625000</c:v>
                </c:pt>
                <c:pt idx="48">
                  <c:v>500000000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4-4E40-9535-06D302AA1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703840"/>
        <c:axId val="539703360"/>
      </c:areaChart>
      <c:lineChart>
        <c:grouping val="standard"/>
        <c:varyColors val="0"/>
        <c:ser>
          <c:idx val="1"/>
          <c:order val="1"/>
          <c:tx>
            <c:strRef>
              <c:f>'Monthly Release Schedule'!$W$2</c:f>
              <c:strCache>
                <c:ptCount val="1"/>
                <c:pt idx="0">
                  <c:v> Total Monthly </c:v>
                </c:pt>
              </c:strCache>
            </c:strRef>
          </c:tx>
          <c:spPr>
            <a:ln w="60325" cap="rnd" cmpd="sng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18D8-496C-8882-DA1D11075E55}"/>
              </c:ext>
            </c:extLst>
          </c:dPt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Schedule'!$W$3:$W$51</c:f>
              <c:numCache>
                <c:formatCode>_(* #,##0.00_);_(* \(#,##0.00\);_(* "-"??_);_(@_)</c:formatCode>
                <c:ptCount val="49"/>
                <c:pt idx="0">
                  <c:v>13333333.33333333</c:v>
                </c:pt>
                <c:pt idx="1">
                  <c:v>15708333.33333333</c:v>
                </c:pt>
                <c:pt idx="2">
                  <c:v>15708333.33333333</c:v>
                </c:pt>
                <c:pt idx="3">
                  <c:v>7375000</c:v>
                </c:pt>
                <c:pt idx="4">
                  <c:v>11333333.33333333</c:v>
                </c:pt>
                <c:pt idx="5">
                  <c:v>11333333.33333333</c:v>
                </c:pt>
                <c:pt idx="6">
                  <c:v>21763888.888888892</c:v>
                </c:pt>
                <c:pt idx="7">
                  <c:v>21763888.888888892</c:v>
                </c:pt>
                <c:pt idx="8">
                  <c:v>21763888.888888892</c:v>
                </c:pt>
                <c:pt idx="9">
                  <c:v>21763888.888888892</c:v>
                </c:pt>
                <c:pt idx="10">
                  <c:v>21763888.888888892</c:v>
                </c:pt>
                <c:pt idx="11">
                  <c:v>21763888.888888892</c:v>
                </c:pt>
                <c:pt idx="12">
                  <c:v>20097222.22222222</c:v>
                </c:pt>
                <c:pt idx="13">
                  <c:v>20097222.22222222</c:v>
                </c:pt>
                <c:pt idx="14">
                  <c:v>20097222.22222222</c:v>
                </c:pt>
                <c:pt idx="15">
                  <c:v>20097222.22222222</c:v>
                </c:pt>
                <c:pt idx="16">
                  <c:v>16138888.88888889</c:v>
                </c:pt>
                <c:pt idx="17">
                  <c:v>16138888.88888889</c:v>
                </c:pt>
                <c:pt idx="18">
                  <c:v>11347222.22222222</c:v>
                </c:pt>
                <c:pt idx="19">
                  <c:v>11347222.22222222</c:v>
                </c:pt>
                <c:pt idx="20">
                  <c:v>11347222.22222222</c:v>
                </c:pt>
                <c:pt idx="21">
                  <c:v>11347222.22222222</c:v>
                </c:pt>
                <c:pt idx="22">
                  <c:v>11347222.22222222</c:v>
                </c:pt>
                <c:pt idx="23">
                  <c:v>11347222.22222222</c:v>
                </c:pt>
                <c:pt idx="24">
                  <c:v>2375000</c:v>
                </c:pt>
                <c:pt idx="25">
                  <c:v>2375000</c:v>
                </c:pt>
                <c:pt idx="26">
                  <c:v>2375000</c:v>
                </c:pt>
                <c:pt idx="27">
                  <c:v>2375000</c:v>
                </c:pt>
                <c:pt idx="28">
                  <c:v>2375000</c:v>
                </c:pt>
                <c:pt idx="29">
                  <c:v>2375000</c:v>
                </c:pt>
                <c:pt idx="30">
                  <c:v>2375000</c:v>
                </c:pt>
                <c:pt idx="31">
                  <c:v>2375000</c:v>
                </c:pt>
                <c:pt idx="32">
                  <c:v>2375000</c:v>
                </c:pt>
                <c:pt idx="33">
                  <c:v>2375000</c:v>
                </c:pt>
                <c:pt idx="34">
                  <c:v>2375000</c:v>
                </c:pt>
                <c:pt idx="35">
                  <c:v>2375000</c:v>
                </c:pt>
                <c:pt idx="36">
                  <c:v>2375000</c:v>
                </c:pt>
                <c:pt idx="37">
                  <c:v>2375000</c:v>
                </c:pt>
                <c:pt idx="38">
                  <c:v>2375000</c:v>
                </c:pt>
                <c:pt idx="39">
                  <c:v>2375000</c:v>
                </c:pt>
                <c:pt idx="40">
                  <c:v>2375000</c:v>
                </c:pt>
                <c:pt idx="41">
                  <c:v>2375000</c:v>
                </c:pt>
                <c:pt idx="42">
                  <c:v>2375000</c:v>
                </c:pt>
                <c:pt idx="43">
                  <c:v>2375000</c:v>
                </c:pt>
                <c:pt idx="44">
                  <c:v>2375000</c:v>
                </c:pt>
                <c:pt idx="45">
                  <c:v>2375000</c:v>
                </c:pt>
                <c:pt idx="46">
                  <c:v>2375000</c:v>
                </c:pt>
                <c:pt idx="47">
                  <c:v>2375000</c:v>
                </c:pt>
                <c:pt idx="48">
                  <c:v>2375000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B4-4E40-9535-06D302AA1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4797600"/>
        <c:axId val="624794240"/>
      </c:lineChart>
      <c:dateAx>
        <c:axId val="62479760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24794240"/>
        <c:crosses val="autoZero"/>
        <c:auto val="1"/>
        <c:lblOffset val="100"/>
        <c:baseTimeUnit val="months"/>
      </c:dateAx>
      <c:valAx>
        <c:axId val="6247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6600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624797600"/>
        <c:crosses val="autoZero"/>
        <c:crossBetween val="between"/>
      </c:valAx>
      <c:valAx>
        <c:axId val="539703360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539703840"/>
        <c:crosses val="max"/>
        <c:crossBetween val="between"/>
      </c:valAx>
      <c:dateAx>
        <c:axId val="53970384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539703360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FF0000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0000"/>
                </a:solidFill>
                <a:latin typeface="Consolas" panose="020B0609020204030204" pitchFamily="49" charset="0"/>
                <a:ea typeface="+mn-ea"/>
                <a:cs typeface="+mn-cs"/>
              </a:rPr>
              <a:t>Montly Release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FF0000"/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Release Schedule'!$B$2</c:f>
              <c:strCache>
                <c:ptCount val="1"/>
                <c:pt idx="0">
                  <c:v>Seed(Cumulative)</c:v>
                </c:pt>
              </c:strCache>
            </c:strRef>
          </c:tx>
          <c:spPr>
            <a:solidFill>
              <a:srgbClr val="006600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Schedule'!$B$3:$B$51</c:f>
              <c:numCache>
                <c:formatCode>_(* #,##0.00_);_(* \(#,##0.00\);_(* "-"??_);_(@_)</c:formatCode>
                <c:ptCount val="49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2055555.555555556</c:v>
                </c:pt>
                <c:pt idx="7">
                  <c:v>3111111.111111111</c:v>
                </c:pt>
                <c:pt idx="8">
                  <c:v>4166666.666666667</c:v>
                </c:pt>
                <c:pt idx="9">
                  <c:v>5222222.222222222</c:v>
                </c:pt>
                <c:pt idx="10">
                  <c:v>6277777.777777778</c:v>
                </c:pt>
                <c:pt idx="11">
                  <c:v>7333333.333333334</c:v>
                </c:pt>
                <c:pt idx="12">
                  <c:v>8388888.8888888899</c:v>
                </c:pt>
                <c:pt idx="13">
                  <c:v>9444444.4444444459</c:v>
                </c:pt>
                <c:pt idx="14">
                  <c:v>10500000</c:v>
                </c:pt>
                <c:pt idx="15">
                  <c:v>11555555.55555556</c:v>
                </c:pt>
                <c:pt idx="16">
                  <c:v>12611111.11111111</c:v>
                </c:pt>
                <c:pt idx="17">
                  <c:v>13666666.66666667</c:v>
                </c:pt>
                <c:pt idx="18">
                  <c:v>14722222.222222229</c:v>
                </c:pt>
                <c:pt idx="19">
                  <c:v>15777777.77777778</c:v>
                </c:pt>
                <c:pt idx="20">
                  <c:v>16833333.33333334</c:v>
                </c:pt>
                <c:pt idx="21">
                  <c:v>17888888.888888892</c:v>
                </c:pt>
                <c:pt idx="22">
                  <c:v>18944444.444444451</c:v>
                </c:pt>
                <c:pt idx="23">
                  <c:v>20000000</c:v>
                </c:pt>
                <c:pt idx="24">
                  <c:v>20000000</c:v>
                </c:pt>
                <c:pt idx="25">
                  <c:v>20000000</c:v>
                </c:pt>
                <c:pt idx="26">
                  <c:v>20000000</c:v>
                </c:pt>
                <c:pt idx="27">
                  <c:v>20000000</c:v>
                </c:pt>
                <c:pt idx="28">
                  <c:v>20000000</c:v>
                </c:pt>
                <c:pt idx="29">
                  <c:v>20000000</c:v>
                </c:pt>
                <c:pt idx="30">
                  <c:v>20000000</c:v>
                </c:pt>
                <c:pt idx="31">
                  <c:v>20000000</c:v>
                </c:pt>
                <c:pt idx="32">
                  <c:v>20000000</c:v>
                </c:pt>
                <c:pt idx="33">
                  <c:v>20000000</c:v>
                </c:pt>
                <c:pt idx="34">
                  <c:v>20000000</c:v>
                </c:pt>
                <c:pt idx="35">
                  <c:v>20000000</c:v>
                </c:pt>
                <c:pt idx="36">
                  <c:v>20000000</c:v>
                </c:pt>
                <c:pt idx="37">
                  <c:v>20000000</c:v>
                </c:pt>
                <c:pt idx="38">
                  <c:v>20000000</c:v>
                </c:pt>
                <c:pt idx="39">
                  <c:v>20000000</c:v>
                </c:pt>
                <c:pt idx="40">
                  <c:v>20000000</c:v>
                </c:pt>
                <c:pt idx="41">
                  <c:v>20000000</c:v>
                </c:pt>
                <c:pt idx="42">
                  <c:v>20000000</c:v>
                </c:pt>
                <c:pt idx="43">
                  <c:v>20000000</c:v>
                </c:pt>
                <c:pt idx="44">
                  <c:v>20000000</c:v>
                </c:pt>
                <c:pt idx="45">
                  <c:v>20000000</c:v>
                </c:pt>
                <c:pt idx="46">
                  <c:v>20000000</c:v>
                </c:pt>
                <c:pt idx="47">
                  <c:v>20000000</c:v>
                </c:pt>
                <c:pt idx="48">
                  <c:v>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B-40AB-8B0D-4AC9EC1BBC77}"/>
            </c:ext>
          </c:extLst>
        </c:ser>
        <c:ser>
          <c:idx val="2"/>
          <c:order val="1"/>
          <c:tx>
            <c:strRef>
              <c:f>'Monthly Release Schedule'!$D$2</c:f>
              <c:strCache>
                <c:ptCount val="1"/>
                <c:pt idx="0">
                  <c:v>Private(Cumulative)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Schedule'!$D$3:$D$51</c:f>
              <c:numCache>
                <c:formatCode>_(* #,##0.00_);_(* \(#,##0.00\);_(* "-"??_);_(@_)</c:formatCode>
                <c:ptCount val="49"/>
                <c:pt idx="0">
                  <c:v>2500000</c:v>
                </c:pt>
                <c:pt idx="1">
                  <c:v>2500000</c:v>
                </c:pt>
                <c:pt idx="2">
                  <c:v>2500000</c:v>
                </c:pt>
                <c:pt idx="3">
                  <c:v>2500000</c:v>
                </c:pt>
                <c:pt idx="4">
                  <c:v>2500000</c:v>
                </c:pt>
                <c:pt idx="5">
                  <c:v>2500000</c:v>
                </c:pt>
                <c:pt idx="6">
                  <c:v>6458333.333333334</c:v>
                </c:pt>
                <c:pt idx="7">
                  <c:v>10416666.66666667</c:v>
                </c:pt>
                <c:pt idx="8">
                  <c:v>14375000</c:v>
                </c:pt>
                <c:pt idx="9">
                  <c:v>18333333.33333334</c:v>
                </c:pt>
                <c:pt idx="10">
                  <c:v>22291666.666666672</c:v>
                </c:pt>
                <c:pt idx="11">
                  <c:v>26250000</c:v>
                </c:pt>
                <c:pt idx="12">
                  <c:v>30208333.333333328</c:v>
                </c:pt>
                <c:pt idx="13">
                  <c:v>34166666.666666657</c:v>
                </c:pt>
                <c:pt idx="14">
                  <c:v>38125000</c:v>
                </c:pt>
                <c:pt idx="15">
                  <c:v>42083333.333333343</c:v>
                </c:pt>
                <c:pt idx="16">
                  <c:v>46041666.666666672</c:v>
                </c:pt>
                <c:pt idx="17">
                  <c:v>50000000</c:v>
                </c:pt>
                <c:pt idx="18">
                  <c:v>50000000</c:v>
                </c:pt>
                <c:pt idx="19">
                  <c:v>50000000</c:v>
                </c:pt>
                <c:pt idx="20">
                  <c:v>50000000</c:v>
                </c:pt>
                <c:pt idx="21">
                  <c:v>50000000</c:v>
                </c:pt>
                <c:pt idx="22">
                  <c:v>50000000</c:v>
                </c:pt>
                <c:pt idx="23">
                  <c:v>50000000</c:v>
                </c:pt>
                <c:pt idx="24">
                  <c:v>50000000</c:v>
                </c:pt>
                <c:pt idx="25">
                  <c:v>50000000</c:v>
                </c:pt>
                <c:pt idx="26">
                  <c:v>50000000</c:v>
                </c:pt>
                <c:pt idx="27">
                  <c:v>50000000</c:v>
                </c:pt>
                <c:pt idx="28">
                  <c:v>50000000</c:v>
                </c:pt>
                <c:pt idx="29">
                  <c:v>50000000</c:v>
                </c:pt>
                <c:pt idx="30">
                  <c:v>50000000</c:v>
                </c:pt>
                <c:pt idx="31">
                  <c:v>50000000</c:v>
                </c:pt>
                <c:pt idx="32">
                  <c:v>50000000</c:v>
                </c:pt>
                <c:pt idx="33">
                  <c:v>50000000</c:v>
                </c:pt>
                <c:pt idx="34">
                  <c:v>50000000</c:v>
                </c:pt>
                <c:pt idx="35">
                  <c:v>50000000</c:v>
                </c:pt>
                <c:pt idx="36">
                  <c:v>50000000</c:v>
                </c:pt>
                <c:pt idx="37">
                  <c:v>50000000</c:v>
                </c:pt>
                <c:pt idx="38">
                  <c:v>50000000</c:v>
                </c:pt>
                <c:pt idx="39">
                  <c:v>50000000</c:v>
                </c:pt>
                <c:pt idx="40">
                  <c:v>50000000</c:v>
                </c:pt>
                <c:pt idx="41">
                  <c:v>50000000</c:v>
                </c:pt>
                <c:pt idx="42">
                  <c:v>50000000</c:v>
                </c:pt>
                <c:pt idx="43">
                  <c:v>50000000</c:v>
                </c:pt>
                <c:pt idx="44">
                  <c:v>50000000</c:v>
                </c:pt>
                <c:pt idx="45">
                  <c:v>50000000</c:v>
                </c:pt>
                <c:pt idx="46">
                  <c:v>50000000</c:v>
                </c:pt>
                <c:pt idx="47">
                  <c:v>50000000</c:v>
                </c:pt>
                <c:pt idx="48">
                  <c:v>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2B-40AB-8B0D-4AC9EC1BBC77}"/>
            </c:ext>
          </c:extLst>
        </c:ser>
        <c:ser>
          <c:idx val="4"/>
          <c:order val="2"/>
          <c:tx>
            <c:strRef>
              <c:f>'Monthly Release Schedule'!$F$2</c:f>
              <c:strCache>
                <c:ptCount val="1"/>
                <c:pt idx="0">
                  <c:v>Pre-Sale(Cumulative)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Schedule'!$F$3:$F$51</c:f>
              <c:numCache>
                <c:formatCode>_(* #,##0.00_);_(* \(#,##0.00\);_(* "-"??_);_(@_)</c:formatCode>
                <c:ptCount val="49"/>
                <c:pt idx="0">
                  <c:v>2500000</c:v>
                </c:pt>
                <c:pt idx="1">
                  <c:v>2500000</c:v>
                </c:pt>
                <c:pt idx="2">
                  <c:v>2500000</c:v>
                </c:pt>
                <c:pt idx="3">
                  <c:v>2500000</c:v>
                </c:pt>
                <c:pt idx="4">
                  <c:v>6458333.333333334</c:v>
                </c:pt>
                <c:pt idx="5">
                  <c:v>10416666.66666667</c:v>
                </c:pt>
                <c:pt idx="6">
                  <c:v>14375000</c:v>
                </c:pt>
                <c:pt idx="7">
                  <c:v>18333333.33333334</c:v>
                </c:pt>
                <c:pt idx="8">
                  <c:v>22291666.666666672</c:v>
                </c:pt>
                <c:pt idx="9">
                  <c:v>26250000</c:v>
                </c:pt>
                <c:pt idx="10">
                  <c:v>30208333.333333328</c:v>
                </c:pt>
                <c:pt idx="11">
                  <c:v>34166666.666666657</c:v>
                </c:pt>
                <c:pt idx="12">
                  <c:v>38125000</c:v>
                </c:pt>
                <c:pt idx="13">
                  <c:v>42083333.333333343</c:v>
                </c:pt>
                <c:pt idx="14">
                  <c:v>46041666.666666672</c:v>
                </c:pt>
                <c:pt idx="15">
                  <c:v>50000000</c:v>
                </c:pt>
                <c:pt idx="16">
                  <c:v>50000000</c:v>
                </c:pt>
                <c:pt idx="17">
                  <c:v>50000000</c:v>
                </c:pt>
                <c:pt idx="18">
                  <c:v>50000000</c:v>
                </c:pt>
                <c:pt idx="19">
                  <c:v>50000000</c:v>
                </c:pt>
                <c:pt idx="20">
                  <c:v>50000000</c:v>
                </c:pt>
                <c:pt idx="21">
                  <c:v>50000000</c:v>
                </c:pt>
                <c:pt idx="22">
                  <c:v>50000000</c:v>
                </c:pt>
                <c:pt idx="23">
                  <c:v>50000000</c:v>
                </c:pt>
                <c:pt idx="24">
                  <c:v>50000000</c:v>
                </c:pt>
                <c:pt idx="25">
                  <c:v>50000000</c:v>
                </c:pt>
                <c:pt idx="26">
                  <c:v>50000000</c:v>
                </c:pt>
                <c:pt idx="27">
                  <c:v>50000000</c:v>
                </c:pt>
                <c:pt idx="28">
                  <c:v>50000000</c:v>
                </c:pt>
                <c:pt idx="29">
                  <c:v>50000000</c:v>
                </c:pt>
                <c:pt idx="30">
                  <c:v>50000000</c:v>
                </c:pt>
                <c:pt idx="31">
                  <c:v>50000000</c:v>
                </c:pt>
                <c:pt idx="32">
                  <c:v>50000000</c:v>
                </c:pt>
                <c:pt idx="33">
                  <c:v>50000000</c:v>
                </c:pt>
                <c:pt idx="34">
                  <c:v>50000000</c:v>
                </c:pt>
                <c:pt idx="35">
                  <c:v>50000000</c:v>
                </c:pt>
                <c:pt idx="36">
                  <c:v>50000000</c:v>
                </c:pt>
                <c:pt idx="37">
                  <c:v>50000000</c:v>
                </c:pt>
                <c:pt idx="38">
                  <c:v>50000000</c:v>
                </c:pt>
                <c:pt idx="39">
                  <c:v>50000000</c:v>
                </c:pt>
                <c:pt idx="40">
                  <c:v>50000000</c:v>
                </c:pt>
                <c:pt idx="41">
                  <c:v>50000000</c:v>
                </c:pt>
                <c:pt idx="42">
                  <c:v>50000000</c:v>
                </c:pt>
                <c:pt idx="43">
                  <c:v>50000000</c:v>
                </c:pt>
                <c:pt idx="44">
                  <c:v>50000000</c:v>
                </c:pt>
                <c:pt idx="45">
                  <c:v>50000000</c:v>
                </c:pt>
                <c:pt idx="46">
                  <c:v>50000000</c:v>
                </c:pt>
                <c:pt idx="47">
                  <c:v>50000000</c:v>
                </c:pt>
                <c:pt idx="48">
                  <c:v>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2B-40AB-8B0D-4AC9EC1BBC77}"/>
            </c:ext>
          </c:extLst>
        </c:ser>
        <c:ser>
          <c:idx val="6"/>
          <c:order val="3"/>
          <c:tx>
            <c:strRef>
              <c:f>'Monthly Release Schedule'!$H$2</c:f>
              <c:strCache>
                <c:ptCount val="1"/>
                <c:pt idx="0">
                  <c:v>Public(Cumulative)</c:v>
                </c:pt>
              </c:strCache>
            </c:strRef>
          </c:tx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Schedule'!$H$3:$H$51</c:f>
              <c:numCache>
                <c:formatCode>_(* #,##0.00_);_(* \(#,##0.00\);_(* "-"??_);_(@_)</c:formatCode>
                <c:ptCount val="49"/>
                <c:pt idx="0">
                  <c:v>33333333.333333328</c:v>
                </c:pt>
                <c:pt idx="1">
                  <c:v>41666666.666666657</c:v>
                </c:pt>
                <c:pt idx="2">
                  <c:v>50000000</c:v>
                </c:pt>
                <c:pt idx="3">
                  <c:v>50000000</c:v>
                </c:pt>
                <c:pt idx="4">
                  <c:v>50000000</c:v>
                </c:pt>
                <c:pt idx="5">
                  <c:v>50000000</c:v>
                </c:pt>
                <c:pt idx="6">
                  <c:v>50000000</c:v>
                </c:pt>
                <c:pt idx="7">
                  <c:v>50000000</c:v>
                </c:pt>
                <c:pt idx="8">
                  <c:v>50000000</c:v>
                </c:pt>
                <c:pt idx="9">
                  <c:v>50000000</c:v>
                </c:pt>
                <c:pt idx="10">
                  <c:v>50000000</c:v>
                </c:pt>
                <c:pt idx="11">
                  <c:v>50000000</c:v>
                </c:pt>
                <c:pt idx="12">
                  <c:v>50000000</c:v>
                </c:pt>
                <c:pt idx="13">
                  <c:v>50000000</c:v>
                </c:pt>
                <c:pt idx="14">
                  <c:v>50000000</c:v>
                </c:pt>
                <c:pt idx="15">
                  <c:v>50000000</c:v>
                </c:pt>
                <c:pt idx="16">
                  <c:v>50000000</c:v>
                </c:pt>
                <c:pt idx="17">
                  <c:v>50000000</c:v>
                </c:pt>
                <c:pt idx="18">
                  <c:v>50000000</c:v>
                </c:pt>
                <c:pt idx="19">
                  <c:v>50000000</c:v>
                </c:pt>
                <c:pt idx="20">
                  <c:v>50000000</c:v>
                </c:pt>
                <c:pt idx="21">
                  <c:v>50000000</c:v>
                </c:pt>
                <c:pt idx="22">
                  <c:v>50000000</c:v>
                </c:pt>
                <c:pt idx="23">
                  <c:v>50000000</c:v>
                </c:pt>
                <c:pt idx="24">
                  <c:v>50000000</c:v>
                </c:pt>
                <c:pt idx="25">
                  <c:v>50000000</c:v>
                </c:pt>
                <c:pt idx="26">
                  <c:v>50000000</c:v>
                </c:pt>
                <c:pt idx="27">
                  <c:v>50000000</c:v>
                </c:pt>
                <c:pt idx="28">
                  <c:v>50000000</c:v>
                </c:pt>
                <c:pt idx="29">
                  <c:v>50000000</c:v>
                </c:pt>
                <c:pt idx="30">
                  <c:v>50000000</c:v>
                </c:pt>
                <c:pt idx="31">
                  <c:v>50000000</c:v>
                </c:pt>
                <c:pt idx="32">
                  <c:v>50000000</c:v>
                </c:pt>
                <c:pt idx="33">
                  <c:v>50000000</c:v>
                </c:pt>
                <c:pt idx="34">
                  <c:v>50000000</c:v>
                </c:pt>
                <c:pt idx="35">
                  <c:v>50000000</c:v>
                </c:pt>
                <c:pt idx="36">
                  <c:v>50000000</c:v>
                </c:pt>
                <c:pt idx="37">
                  <c:v>50000000</c:v>
                </c:pt>
                <c:pt idx="38">
                  <c:v>50000000</c:v>
                </c:pt>
                <c:pt idx="39">
                  <c:v>50000000</c:v>
                </c:pt>
                <c:pt idx="40">
                  <c:v>50000000</c:v>
                </c:pt>
                <c:pt idx="41">
                  <c:v>50000000</c:v>
                </c:pt>
                <c:pt idx="42">
                  <c:v>50000000</c:v>
                </c:pt>
                <c:pt idx="43">
                  <c:v>50000000</c:v>
                </c:pt>
                <c:pt idx="44">
                  <c:v>50000000</c:v>
                </c:pt>
                <c:pt idx="45">
                  <c:v>50000000</c:v>
                </c:pt>
                <c:pt idx="46">
                  <c:v>50000000</c:v>
                </c:pt>
                <c:pt idx="47">
                  <c:v>50000000</c:v>
                </c:pt>
                <c:pt idx="48">
                  <c:v>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2B-40AB-8B0D-4AC9EC1BBC77}"/>
            </c:ext>
          </c:extLst>
        </c:ser>
        <c:ser>
          <c:idx val="8"/>
          <c:order val="4"/>
          <c:tx>
            <c:strRef>
              <c:f>'Monthly Release Schedule'!$J$2</c:f>
              <c:strCache>
                <c:ptCount val="1"/>
                <c:pt idx="0">
                  <c:v>Team(Cumulative)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Schedule'!$J$3:$J$51</c:f>
              <c:numCache>
                <c:formatCode>_(* #,##0.00_);_(* \(#,##0.00\);_(* "-"??_);_(@_)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3333333.333333333</c:v>
                </c:pt>
                <c:pt idx="13">
                  <c:v>6666666.666666667</c:v>
                </c:pt>
                <c:pt idx="14">
                  <c:v>10000000</c:v>
                </c:pt>
                <c:pt idx="15">
                  <c:v>13333333.33333333</c:v>
                </c:pt>
                <c:pt idx="16">
                  <c:v>16666666.66666667</c:v>
                </c:pt>
                <c:pt idx="17">
                  <c:v>20000000</c:v>
                </c:pt>
                <c:pt idx="18">
                  <c:v>23333333.333333328</c:v>
                </c:pt>
                <c:pt idx="19">
                  <c:v>26666666.66666666</c:v>
                </c:pt>
                <c:pt idx="20">
                  <c:v>30000000</c:v>
                </c:pt>
                <c:pt idx="21">
                  <c:v>33333333.333333328</c:v>
                </c:pt>
                <c:pt idx="22">
                  <c:v>36666666.666666657</c:v>
                </c:pt>
                <c:pt idx="23">
                  <c:v>40000000</c:v>
                </c:pt>
                <c:pt idx="24">
                  <c:v>40000000</c:v>
                </c:pt>
                <c:pt idx="25">
                  <c:v>40000000</c:v>
                </c:pt>
                <c:pt idx="26">
                  <c:v>40000000</c:v>
                </c:pt>
                <c:pt idx="27">
                  <c:v>40000000</c:v>
                </c:pt>
                <c:pt idx="28">
                  <c:v>40000000</c:v>
                </c:pt>
                <c:pt idx="29">
                  <c:v>40000000</c:v>
                </c:pt>
                <c:pt idx="30">
                  <c:v>40000000</c:v>
                </c:pt>
                <c:pt idx="31">
                  <c:v>40000000</c:v>
                </c:pt>
                <c:pt idx="32">
                  <c:v>40000000</c:v>
                </c:pt>
                <c:pt idx="33">
                  <c:v>40000000</c:v>
                </c:pt>
                <c:pt idx="34">
                  <c:v>40000000</c:v>
                </c:pt>
                <c:pt idx="35">
                  <c:v>40000000</c:v>
                </c:pt>
                <c:pt idx="36">
                  <c:v>40000000</c:v>
                </c:pt>
                <c:pt idx="37">
                  <c:v>40000000</c:v>
                </c:pt>
                <c:pt idx="38">
                  <c:v>40000000</c:v>
                </c:pt>
                <c:pt idx="39">
                  <c:v>40000000</c:v>
                </c:pt>
                <c:pt idx="40">
                  <c:v>40000000</c:v>
                </c:pt>
                <c:pt idx="41">
                  <c:v>40000000</c:v>
                </c:pt>
                <c:pt idx="42">
                  <c:v>40000000</c:v>
                </c:pt>
                <c:pt idx="43">
                  <c:v>40000000</c:v>
                </c:pt>
                <c:pt idx="44">
                  <c:v>40000000</c:v>
                </c:pt>
                <c:pt idx="45">
                  <c:v>40000000</c:v>
                </c:pt>
                <c:pt idx="46">
                  <c:v>40000000</c:v>
                </c:pt>
                <c:pt idx="47">
                  <c:v>40000000</c:v>
                </c:pt>
                <c:pt idx="48">
                  <c:v>40000000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2B-40AB-8B0D-4AC9EC1BBC77}"/>
            </c:ext>
          </c:extLst>
        </c:ser>
        <c:ser>
          <c:idx val="10"/>
          <c:order val="5"/>
          <c:tx>
            <c:strRef>
              <c:f>'Monthly Release Schedule'!$L$2</c:f>
              <c:strCache>
                <c:ptCount val="1"/>
                <c:pt idx="0">
                  <c:v>Advisors(Cumulative)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Schedule'!$L$3:$L$51</c:f>
              <c:numCache>
                <c:formatCode>_(* #,##0.00_);_(* \(#,##0.00\);_(* "-"??_);_(@_)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833333.33333333337</c:v>
                </c:pt>
                <c:pt idx="7">
                  <c:v>1666666.666666667</c:v>
                </c:pt>
                <c:pt idx="8">
                  <c:v>2500000</c:v>
                </c:pt>
                <c:pt idx="9">
                  <c:v>3333333.333333333</c:v>
                </c:pt>
                <c:pt idx="10">
                  <c:v>4166666.666666667</c:v>
                </c:pt>
                <c:pt idx="11">
                  <c:v>5000000</c:v>
                </c:pt>
                <c:pt idx="12">
                  <c:v>5833333.333333333</c:v>
                </c:pt>
                <c:pt idx="13">
                  <c:v>6666666.666666666</c:v>
                </c:pt>
                <c:pt idx="14">
                  <c:v>7499999.9999999991</c:v>
                </c:pt>
                <c:pt idx="15">
                  <c:v>8333333.3333333321</c:v>
                </c:pt>
                <c:pt idx="16">
                  <c:v>9166666.666666666</c:v>
                </c:pt>
                <c:pt idx="17">
                  <c:v>10000000</c:v>
                </c:pt>
                <c:pt idx="18">
                  <c:v>10000000</c:v>
                </c:pt>
                <c:pt idx="19">
                  <c:v>10000000</c:v>
                </c:pt>
                <c:pt idx="20">
                  <c:v>10000000</c:v>
                </c:pt>
                <c:pt idx="21">
                  <c:v>10000000</c:v>
                </c:pt>
                <c:pt idx="22">
                  <c:v>10000000</c:v>
                </c:pt>
                <c:pt idx="23">
                  <c:v>10000000</c:v>
                </c:pt>
                <c:pt idx="24">
                  <c:v>10000000</c:v>
                </c:pt>
                <c:pt idx="25">
                  <c:v>10000000</c:v>
                </c:pt>
                <c:pt idx="26">
                  <c:v>10000000</c:v>
                </c:pt>
                <c:pt idx="27">
                  <c:v>10000000</c:v>
                </c:pt>
                <c:pt idx="28">
                  <c:v>10000000</c:v>
                </c:pt>
                <c:pt idx="29">
                  <c:v>10000000</c:v>
                </c:pt>
                <c:pt idx="30">
                  <c:v>10000000</c:v>
                </c:pt>
                <c:pt idx="31">
                  <c:v>10000000</c:v>
                </c:pt>
                <c:pt idx="32">
                  <c:v>10000000</c:v>
                </c:pt>
                <c:pt idx="33">
                  <c:v>10000000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2B-40AB-8B0D-4AC9EC1BBC77}"/>
            </c:ext>
          </c:extLst>
        </c:ser>
        <c:ser>
          <c:idx val="12"/>
          <c:order val="6"/>
          <c:tx>
            <c:strRef>
              <c:f>'Monthly Release Schedule'!$N$2</c:f>
              <c:strCache>
                <c:ptCount val="1"/>
                <c:pt idx="0">
                  <c:v>Rewards(Cumulative)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Schedule'!$N$3:$N$51</c:f>
              <c:numCache>
                <c:formatCode>_(* #,##0.00_);_(* \(#,##0.00\);_(* "-"??_);_(@_)</c:formatCode>
                <c:ptCount val="49"/>
                <c:pt idx="0">
                  <c:v>6000000</c:v>
                </c:pt>
                <c:pt idx="1">
                  <c:v>8375000</c:v>
                </c:pt>
                <c:pt idx="2">
                  <c:v>10750000</c:v>
                </c:pt>
                <c:pt idx="3">
                  <c:v>13125000</c:v>
                </c:pt>
                <c:pt idx="4">
                  <c:v>15500000</c:v>
                </c:pt>
                <c:pt idx="5">
                  <c:v>17875000</c:v>
                </c:pt>
                <c:pt idx="6">
                  <c:v>20250000</c:v>
                </c:pt>
                <c:pt idx="7">
                  <c:v>22625000</c:v>
                </c:pt>
                <c:pt idx="8">
                  <c:v>25000000</c:v>
                </c:pt>
                <c:pt idx="9">
                  <c:v>27375000</c:v>
                </c:pt>
                <c:pt idx="10">
                  <c:v>29750000</c:v>
                </c:pt>
                <c:pt idx="11">
                  <c:v>32125000</c:v>
                </c:pt>
                <c:pt idx="12">
                  <c:v>34500000</c:v>
                </c:pt>
                <c:pt idx="13">
                  <c:v>36875000</c:v>
                </c:pt>
                <c:pt idx="14">
                  <c:v>39250000</c:v>
                </c:pt>
                <c:pt idx="15">
                  <c:v>41625000</c:v>
                </c:pt>
                <c:pt idx="16">
                  <c:v>44000000</c:v>
                </c:pt>
                <c:pt idx="17">
                  <c:v>46375000</c:v>
                </c:pt>
                <c:pt idx="18">
                  <c:v>48750000</c:v>
                </c:pt>
                <c:pt idx="19">
                  <c:v>51125000</c:v>
                </c:pt>
                <c:pt idx="20">
                  <c:v>53500000</c:v>
                </c:pt>
                <c:pt idx="21">
                  <c:v>55875000</c:v>
                </c:pt>
                <c:pt idx="22">
                  <c:v>58250000</c:v>
                </c:pt>
                <c:pt idx="23">
                  <c:v>60625000</c:v>
                </c:pt>
                <c:pt idx="24">
                  <c:v>63000000</c:v>
                </c:pt>
                <c:pt idx="25">
                  <c:v>65375000</c:v>
                </c:pt>
                <c:pt idx="26">
                  <c:v>67750000</c:v>
                </c:pt>
                <c:pt idx="27">
                  <c:v>70125000</c:v>
                </c:pt>
                <c:pt idx="28">
                  <c:v>72500000</c:v>
                </c:pt>
                <c:pt idx="29">
                  <c:v>74875000</c:v>
                </c:pt>
                <c:pt idx="30">
                  <c:v>77250000</c:v>
                </c:pt>
                <c:pt idx="31">
                  <c:v>79625000</c:v>
                </c:pt>
                <c:pt idx="32">
                  <c:v>82000000</c:v>
                </c:pt>
                <c:pt idx="33">
                  <c:v>84375000</c:v>
                </c:pt>
                <c:pt idx="34">
                  <c:v>86750000</c:v>
                </c:pt>
                <c:pt idx="35">
                  <c:v>89125000</c:v>
                </c:pt>
                <c:pt idx="36">
                  <c:v>91500000</c:v>
                </c:pt>
                <c:pt idx="37">
                  <c:v>93875000</c:v>
                </c:pt>
                <c:pt idx="38">
                  <c:v>96250000</c:v>
                </c:pt>
                <c:pt idx="39">
                  <c:v>98625000</c:v>
                </c:pt>
                <c:pt idx="40">
                  <c:v>101000000</c:v>
                </c:pt>
                <c:pt idx="41">
                  <c:v>103375000</c:v>
                </c:pt>
                <c:pt idx="42">
                  <c:v>105750000</c:v>
                </c:pt>
                <c:pt idx="43">
                  <c:v>108125000</c:v>
                </c:pt>
                <c:pt idx="44">
                  <c:v>110500000</c:v>
                </c:pt>
                <c:pt idx="45">
                  <c:v>112875000</c:v>
                </c:pt>
                <c:pt idx="46">
                  <c:v>115250000</c:v>
                </c:pt>
                <c:pt idx="47">
                  <c:v>117625000</c:v>
                </c:pt>
                <c:pt idx="48">
                  <c:v>120000000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2B-40AB-8B0D-4AC9EC1BBC77}"/>
            </c:ext>
          </c:extLst>
        </c:ser>
        <c:ser>
          <c:idx val="14"/>
          <c:order val="7"/>
          <c:tx>
            <c:strRef>
              <c:f>'Monthly Release Schedule'!$P$2</c:f>
              <c:strCache>
                <c:ptCount val="1"/>
                <c:pt idx="0">
                  <c:v>Liquidity(Cumulative)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Schedule'!$P$3:$P$51</c:f>
              <c:numCache>
                <c:formatCode>_(* #,##0.00_);_(* \(#,##0.00\);_(* "-"??_);_(@_)</c:formatCode>
                <c:ptCount val="49"/>
                <c:pt idx="0">
                  <c:v>20000000</c:v>
                </c:pt>
                <c:pt idx="1">
                  <c:v>25000000</c:v>
                </c:pt>
                <c:pt idx="2">
                  <c:v>30000000</c:v>
                </c:pt>
                <c:pt idx="3">
                  <c:v>35000000</c:v>
                </c:pt>
                <c:pt idx="4">
                  <c:v>40000000</c:v>
                </c:pt>
                <c:pt idx="5">
                  <c:v>45000000</c:v>
                </c:pt>
                <c:pt idx="6">
                  <c:v>50000000</c:v>
                </c:pt>
                <c:pt idx="7">
                  <c:v>55000000</c:v>
                </c:pt>
                <c:pt idx="8">
                  <c:v>60000000</c:v>
                </c:pt>
                <c:pt idx="9">
                  <c:v>65000000</c:v>
                </c:pt>
                <c:pt idx="10">
                  <c:v>70000000</c:v>
                </c:pt>
                <c:pt idx="11">
                  <c:v>75000000</c:v>
                </c:pt>
                <c:pt idx="12">
                  <c:v>75000000</c:v>
                </c:pt>
                <c:pt idx="13">
                  <c:v>75000000</c:v>
                </c:pt>
                <c:pt idx="14">
                  <c:v>75000000</c:v>
                </c:pt>
                <c:pt idx="15">
                  <c:v>75000000</c:v>
                </c:pt>
                <c:pt idx="16">
                  <c:v>75000000</c:v>
                </c:pt>
                <c:pt idx="17">
                  <c:v>75000000</c:v>
                </c:pt>
                <c:pt idx="18">
                  <c:v>75000000</c:v>
                </c:pt>
                <c:pt idx="19">
                  <c:v>75000000</c:v>
                </c:pt>
                <c:pt idx="20">
                  <c:v>75000000</c:v>
                </c:pt>
                <c:pt idx="21">
                  <c:v>75000000</c:v>
                </c:pt>
                <c:pt idx="22">
                  <c:v>75000000</c:v>
                </c:pt>
                <c:pt idx="23">
                  <c:v>75000000</c:v>
                </c:pt>
                <c:pt idx="24">
                  <c:v>75000000</c:v>
                </c:pt>
                <c:pt idx="25">
                  <c:v>75000000</c:v>
                </c:pt>
                <c:pt idx="26">
                  <c:v>75000000</c:v>
                </c:pt>
                <c:pt idx="27">
                  <c:v>75000000</c:v>
                </c:pt>
                <c:pt idx="28">
                  <c:v>75000000</c:v>
                </c:pt>
                <c:pt idx="29">
                  <c:v>75000000</c:v>
                </c:pt>
                <c:pt idx="30">
                  <c:v>75000000</c:v>
                </c:pt>
                <c:pt idx="31">
                  <c:v>75000000</c:v>
                </c:pt>
                <c:pt idx="32">
                  <c:v>75000000</c:v>
                </c:pt>
                <c:pt idx="33">
                  <c:v>75000000</c:v>
                </c:pt>
                <c:pt idx="34">
                  <c:v>75000000</c:v>
                </c:pt>
                <c:pt idx="35">
                  <c:v>75000000</c:v>
                </c:pt>
                <c:pt idx="36">
                  <c:v>75000000</c:v>
                </c:pt>
                <c:pt idx="37">
                  <c:v>75000000</c:v>
                </c:pt>
                <c:pt idx="38">
                  <c:v>75000000</c:v>
                </c:pt>
                <c:pt idx="39">
                  <c:v>75000000</c:v>
                </c:pt>
                <c:pt idx="40">
                  <c:v>75000000</c:v>
                </c:pt>
                <c:pt idx="41">
                  <c:v>75000000</c:v>
                </c:pt>
                <c:pt idx="42">
                  <c:v>75000000</c:v>
                </c:pt>
                <c:pt idx="43">
                  <c:v>75000000</c:v>
                </c:pt>
                <c:pt idx="44">
                  <c:v>75000000</c:v>
                </c:pt>
                <c:pt idx="45">
                  <c:v>75000000</c:v>
                </c:pt>
                <c:pt idx="46">
                  <c:v>75000000</c:v>
                </c:pt>
                <c:pt idx="47">
                  <c:v>75000000</c:v>
                </c:pt>
                <c:pt idx="48">
                  <c:v>75000000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2B-40AB-8B0D-4AC9EC1BBC77}"/>
            </c:ext>
          </c:extLst>
        </c:ser>
        <c:ser>
          <c:idx val="16"/>
          <c:order val="8"/>
          <c:tx>
            <c:strRef>
              <c:f>'Monthly Release Schedule'!$R$2</c:f>
              <c:strCache>
                <c:ptCount val="1"/>
                <c:pt idx="0">
                  <c:v>Treasury(Cumulative)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Schedule'!$R$3:$R$51</c:f>
              <c:numCache>
                <c:formatCode>_(* #,##0.00_);_(* \(#,##0.00\);_(* "-"??_);_(@_)</c:formatCode>
                <c:ptCount val="49"/>
                <c:pt idx="0">
                  <c:v>2500000</c:v>
                </c:pt>
                <c:pt idx="1">
                  <c:v>2500000</c:v>
                </c:pt>
                <c:pt idx="2">
                  <c:v>2500000</c:v>
                </c:pt>
                <c:pt idx="3">
                  <c:v>2500000</c:v>
                </c:pt>
                <c:pt idx="4">
                  <c:v>2500000</c:v>
                </c:pt>
                <c:pt idx="5">
                  <c:v>2500000</c:v>
                </c:pt>
                <c:pt idx="6">
                  <c:v>5138888.888888889</c:v>
                </c:pt>
                <c:pt idx="7">
                  <c:v>7777777.777777778</c:v>
                </c:pt>
                <c:pt idx="8">
                  <c:v>10416666.66666667</c:v>
                </c:pt>
                <c:pt idx="9">
                  <c:v>13055555.55555556</c:v>
                </c:pt>
                <c:pt idx="10">
                  <c:v>15694444.44444444</c:v>
                </c:pt>
                <c:pt idx="11">
                  <c:v>18333333.333333328</c:v>
                </c:pt>
                <c:pt idx="12">
                  <c:v>20972222.22222222</c:v>
                </c:pt>
                <c:pt idx="13">
                  <c:v>23611111.111111108</c:v>
                </c:pt>
                <c:pt idx="14">
                  <c:v>26250000</c:v>
                </c:pt>
                <c:pt idx="15">
                  <c:v>28888888.888888881</c:v>
                </c:pt>
                <c:pt idx="16">
                  <c:v>31527777.777777769</c:v>
                </c:pt>
                <c:pt idx="17">
                  <c:v>34166666.666666657</c:v>
                </c:pt>
                <c:pt idx="18">
                  <c:v>36805555.555555552</c:v>
                </c:pt>
                <c:pt idx="19">
                  <c:v>39444444.44444444</c:v>
                </c:pt>
                <c:pt idx="20">
                  <c:v>42083333.333333328</c:v>
                </c:pt>
                <c:pt idx="21">
                  <c:v>44722222.222222216</c:v>
                </c:pt>
                <c:pt idx="22">
                  <c:v>47361111.111111097</c:v>
                </c:pt>
                <c:pt idx="23">
                  <c:v>49999999.999999993</c:v>
                </c:pt>
                <c:pt idx="24">
                  <c:v>50000000</c:v>
                </c:pt>
                <c:pt idx="25">
                  <c:v>50000000</c:v>
                </c:pt>
                <c:pt idx="26">
                  <c:v>50000000</c:v>
                </c:pt>
                <c:pt idx="27">
                  <c:v>50000000</c:v>
                </c:pt>
                <c:pt idx="28">
                  <c:v>50000000</c:v>
                </c:pt>
                <c:pt idx="29">
                  <c:v>50000000</c:v>
                </c:pt>
                <c:pt idx="30">
                  <c:v>50000000</c:v>
                </c:pt>
                <c:pt idx="31">
                  <c:v>50000000</c:v>
                </c:pt>
                <c:pt idx="32">
                  <c:v>50000000</c:v>
                </c:pt>
                <c:pt idx="33">
                  <c:v>50000000</c:v>
                </c:pt>
                <c:pt idx="34">
                  <c:v>50000000</c:v>
                </c:pt>
                <c:pt idx="35">
                  <c:v>50000000</c:v>
                </c:pt>
                <c:pt idx="36">
                  <c:v>50000000</c:v>
                </c:pt>
                <c:pt idx="37">
                  <c:v>50000000</c:v>
                </c:pt>
                <c:pt idx="38">
                  <c:v>50000000</c:v>
                </c:pt>
                <c:pt idx="39">
                  <c:v>50000000</c:v>
                </c:pt>
                <c:pt idx="40">
                  <c:v>50000000</c:v>
                </c:pt>
                <c:pt idx="41">
                  <c:v>50000000</c:v>
                </c:pt>
                <c:pt idx="42">
                  <c:v>50000000</c:v>
                </c:pt>
                <c:pt idx="43">
                  <c:v>50000000</c:v>
                </c:pt>
                <c:pt idx="44">
                  <c:v>50000000</c:v>
                </c:pt>
                <c:pt idx="45">
                  <c:v>50000000</c:v>
                </c:pt>
                <c:pt idx="46">
                  <c:v>50000000</c:v>
                </c:pt>
                <c:pt idx="47">
                  <c:v>50000000</c:v>
                </c:pt>
                <c:pt idx="48">
                  <c:v>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2B-40AB-8B0D-4AC9EC1BBC77}"/>
            </c:ext>
          </c:extLst>
        </c:ser>
        <c:ser>
          <c:idx val="18"/>
          <c:order val="9"/>
          <c:tx>
            <c:strRef>
              <c:f>'Monthly Release Schedule'!$T$2</c:f>
              <c:strCache>
                <c:ptCount val="1"/>
                <c:pt idx="0">
                  <c:v>Reserve(Cumulative)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Schedule'!$T$3:$T$51</c:f>
              <c:numCache>
                <c:formatCode>_(* #,##0.00_);_(* \(#,##0.00\);_(* "-"??_);_(@_)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1944444.444444444</c:v>
                </c:pt>
                <c:pt idx="7">
                  <c:v>3888888.888888889</c:v>
                </c:pt>
                <c:pt idx="8">
                  <c:v>5833333.333333334</c:v>
                </c:pt>
                <c:pt idx="9">
                  <c:v>7777777.777777778</c:v>
                </c:pt>
                <c:pt idx="10">
                  <c:v>9722222.222222222</c:v>
                </c:pt>
                <c:pt idx="11">
                  <c:v>11666666.66666667</c:v>
                </c:pt>
                <c:pt idx="12">
                  <c:v>13611111.11111111</c:v>
                </c:pt>
                <c:pt idx="13">
                  <c:v>15555555.55555555</c:v>
                </c:pt>
                <c:pt idx="14">
                  <c:v>17500000</c:v>
                </c:pt>
                <c:pt idx="15">
                  <c:v>19444444.44444444</c:v>
                </c:pt>
                <c:pt idx="16">
                  <c:v>21388888.888888892</c:v>
                </c:pt>
                <c:pt idx="17">
                  <c:v>23333333.333333328</c:v>
                </c:pt>
                <c:pt idx="18">
                  <c:v>25277777.77777778</c:v>
                </c:pt>
                <c:pt idx="19">
                  <c:v>27222222.22222222</c:v>
                </c:pt>
                <c:pt idx="20">
                  <c:v>29166666.66666666</c:v>
                </c:pt>
                <c:pt idx="21">
                  <c:v>31111111.111111108</c:v>
                </c:pt>
                <c:pt idx="22">
                  <c:v>33055555.555555549</c:v>
                </c:pt>
                <c:pt idx="23">
                  <c:v>35000000</c:v>
                </c:pt>
                <c:pt idx="24">
                  <c:v>35000000</c:v>
                </c:pt>
                <c:pt idx="25">
                  <c:v>35000000</c:v>
                </c:pt>
                <c:pt idx="26">
                  <c:v>35000000</c:v>
                </c:pt>
                <c:pt idx="27">
                  <c:v>35000000</c:v>
                </c:pt>
                <c:pt idx="28">
                  <c:v>35000000</c:v>
                </c:pt>
                <c:pt idx="29">
                  <c:v>35000000</c:v>
                </c:pt>
                <c:pt idx="30">
                  <c:v>35000000</c:v>
                </c:pt>
                <c:pt idx="31">
                  <c:v>35000000</c:v>
                </c:pt>
                <c:pt idx="32">
                  <c:v>35000000</c:v>
                </c:pt>
                <c:pt idx="33">
                  <c:v>35000000</c:v>
                </c:pt>
                <c:pt idx="34">
                  <c:v>35000000</c:v>
                </c:pt>
                <c:pt idx="35">
                  <c:v>35000000</c:v>
                </c:pt>
                <c:pt idx="36">
                  <c:v>35000000</c:v>
                </c:pt>
                <c:pt idx="37">
                  <c:v>35000000</c:v>
                </c:pt>
                <c:pt idx="38">
                  <c:v>35000000</c:v>
                </c:pt>
                <c:pt idx="39">
                  <c:v>35000000</c:v>
                </c:pt>
                <c:pt idx="40">
                  <c:v>35000000</c:v>
                </c:pt>
                <c:pt idx="41">
                  <c:v>35000000</c:v>
                </c:pt>
                <c:pt idx="42">
                  <c:v>35000000</c:v>
                </c:pt>
                <c:pt idx="43">
                  <c:v>35000000</c:v>
                </c:pt>
                <c:pt idx="44">
                  <c:v>35000000</c:v>
                </c:pt>
                <c:pt idx="45">
                  <c:v>35000000</c:v>
                </c:pt>
                <c:pt idx="46">
                  <c:v>35000000</c:v>
                </c:pt>
                <c:pt idx="47">
                  <c:v>35000000</c:v>
                </c:pt>
                <c:pt idx="48">
                  <c:v>35000000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2B-40AB-8B0D-4AC9EC1BB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9098048"/>
        <c:axId val="1119102368"/>
      </c:barChart>
      <c:dateAx>
        <c:axId val="111909804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19102368"/>
        <c:crosses val="autoZero"/>
        <c:auto val="1"/>
        <c:lblOffset val="100"/>
        <c:baseTimeUnit val="months"/>
      </c:dateAx>
      <c:valAx>
        <c:axId val="111910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genial" panose="02000503040000020004" pitchFamily="2" charset="0"/>
                <a:ea typeface="+mn-ea"/>
                <a:cs typeface="+mn-cs"/>
              </a:defRPr>
            </a:pPr>
            <a:endParaRPr lang="th-TH"/>
          </a:p>
        </c:txPr>
        <c:crossAx val="111909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'indicators '!$C$20:$C$22</c:f>
              <c:strCache>
                <c:ptCount val="3"/>
                <c:pt idx="0">
                  <c:v>Realized Profit on TGE ($)</c:v>
                </c:pt>
              </c:strCache>
            </c:strRef>
          </c:tx>
          <c:spPr>
            <a:solidFill>
              <a:srgbClr val="07AB07"/>
            </a:solidFill>
            <a:ln>
              <a:solidFill>
                <a:srgbClr val="33CC33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val>
            <c:numRef>
              <c:f>'indicators '!$E$20:$E$22</c:f>
              <c:numCache>
                <c:formatCode>"$"#,##0.00</c:formatCode>
                <c:ptCount val="3"/>
                <c:pt idx="0">
                  <c:v>90000</c:v>
                </c:pt>
                <c:pt idx="1">
                  <c:v>150000</c:v>
                </c:pt>
                <c:pt idx="2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32-470F-9FD7-4C2018E6B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34720"/>
        <c:axId val="515625600"/>
      </c:areaChart>
      <c:barChart>
        <c:barDir val="col"/>
        <c:grouping val="clustered"/>
        <c:varyColors val="0"/>
        <c:ser>
          <c:idx val="0"/>
          <c:order val="0"/>
          <c:tx>
            <c:strRef>
              <c:f>'indicators '!$C$17:$C$19</c:f>
              <c:strCache>
                <c:ptCount val="3"/>
                <c:pt idx="0">
                  <c:v>ROI</c:v>
                </c:pt>
              </c:strCache>
            </c:strRef>
          </c:tx>
          <c:spPr>
            <a:solidFill>
              <a:srgbClr val="CCCCFF"/>
            </a:solidFill>
            <a:ln>
              <a:solidFill>
                <a:schemeClr val="tx1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'indicators '!$D$17:$D$19</c:f>
              <c:strCache>
                <c:ptCount val="3"/>
                <c:pt idx="0">
                  <c:v>seed:</c:v>
                </c:pt>
                <c:pt idx="1">
                  <c:v>private:</c:v>
                </c:pt>
                <c:pt idx="2">
                  <c:v>pre-sale:</c:v>
                </c:pt>
              </c:strCache>
            </c:strRef>
          </c:cat>
          <c:val>
            <c:numRef>
              <c:f>'indicators '!$E$17:$E$19</c:f>
              <c:numCache>
                <c:formatCode>0%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0.33333333333333326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32-470F-9FD7-4C2018E6B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07381359"/>
        <c:axId val="1007381839"/>
      </c:barChart>
      <c:catAx>
        <c:axId val="100738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1007381839"/>
        <c:crosses val="autoZero"/>
        <c:auto val="1"/>
        <c:lblAlgn val="ctr"/>
        <c:lblOffset val="100"/>
        <c:noMultiLvlLbl val="0"/>
      </c:catAx>
      <c:valAx>
        <c:axId val="100738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1007381359"/>
        <c:crosses val="autoZero"/>
        <c:crossBetween val="between"/>
      </c:valAx>
      <c:valAx>
        <c:axId val="515625600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7AB07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15634720"/>
        <c:crosses val="max"/>
        <c:crossBetween val="between"/>
      </c:valAx>
      <c:catAx>
        <c:axId val="515634720"/>
        <c:scaling>
          <c:orientation val="minMax"/>
        </c:scaling>
        <c:delete val="1"/>
        <c:axPos val="b"/>
        <c:majorTickMark val="out"/>
        <c:minorTickMark val="none"/>
        <c:tickLblPos val="nextTo"/>
        <c:crossAx val="51562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Sale Pressure 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'indicators '!$C$23:$C$25</c:f>
              <c:strCache>
                <c:ptCount val="3"/>
                <c:pt idx="0">
                  <c:v>Sale Pressure Indicator on TGE</c:v>
                </c:pt>
              </c:strCache>
            </c:strRef>
          </c:tx>
          <c:spPr>
            <a:pattFill prst="sphere">
              <a:fgClr>
                <a:srgbClr val="00FF0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'indicators '!$D$17:$D$19</c:f>
              <c:strCache>
                <c:ptCount val="3"/>
                <c:pt idx="0">
                  <c:v>seed:</c:v>
                </c:pt>
                <c:pt idx="1">
                  <c:v>private:</c:v>
                </c:pt>
                <c:pt idx="2">
                  <c:v>pre-sale:</c:v>
                </c:pt>
              </c:strCache>
            </c:strRef>
          </c:cat>
          <c:val>
            <c:numRef>
              <c:f>'indicators '!$E$23:$E$25</c:f>
              <c:numCache>
                <c:formatCode>0.0%</c:formatCode>
                <c:ptCount val="3"/>
                <c:pt idx="0">
                  <c:v>1.8987341772151899E-2</c:v>
                </c:pt>
                <c:pt idx="1">
                  <c:v>3.1645569620253167E-2</c:v>
                </c:pt>
                <c:pt idx="2">
                  <c:v>1.5822784810126583E-2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0A-4972-B1E5-B3B45AC0C838}"/>
            </c:ext>
          </c:extLst>
        </c:ser>
        <c:ser>
          <c:idx val="1"/>
          <c:order val="1"/>
          <c:tx>
            <c:strRef>
              <c:f>'indicators '!$C$29:$C$31</c:f>
              <c:strCache>
                <c:ptCount val="3"/>
                <c:pt idx="0">
                  <c:v> Total Sale Pressure</c:v>
                </c:pt>
              </c:strCache>
            </c:strRef>
          </c:tx>
          <c:spPr>
            <a:pattFill prst="dkVert">
              <a:fgClr>
                <a:srgbClr val="FFCC00"/>
              </a:fgClr>
              <a:bgClr>
                <a:srgbClr val="CCCCFF"/>
              </a:bgClr>
            </a:patt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'indicators '!$E$29:$E$31</c:f>
              <c:numCache>
                <c:formatCode>0.0%</c:formatCode>
                <c:ptCount val="3"/>
                <c:pt idx="0">
                  <c:v>0.03</c:v>
                </c:pt>
                <c:pt idx="1">
                  <c:v>0.05</c:v>
                </c:pt>
                <c:pt idx="2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0A-4972-B1E5-B3B45AC0C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007381359"/>
        <c:axId val="1007381839"/>
      </c:barChart>
      <c:catAx>
        <c:axId val="100738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1007381839"/>
        <c:crosses val="autoZero"/>
        <c:auto val="1"/>
        <c:lblAlgn val="ctr"/>
        <c:lblOffset val="100"/>
        <c:noMultiLvlLbl val="0"/>
      </c:catAx>
      <c:valAx>
        <c:axId val="100738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100738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268563373466091E-2"/>
          <c:y val="0.84994996344634999"/>
          <c:w val="0.80456240565119741"/>
          <c:h val="0.14831741776958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Infaltion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'indicators '!$G$30:$G$32</c:f>
              <c:strCache>
                <c:ptCount val="1"/>
                <c:pt idx="0">
                  <c:v>Avg. D</c:v>
                </c:pt>
              </c:strCache>
            </c:strRef>
          </c:tx>
          <c:spPr>
            <a:solidFill>
              <a:srgbClr val="CCCCFF"/>
            </a:solidFill>
            <a:ln cmpd="thinThick">
              <a:solidFill>
                <a:schemeClr val="tx1">
                  <a:lumMod val="95000"/>
                  <a:lumOff val="5000"/>
                </a:schemeClr>
              </a:solidFill>
              <a:headEnd w="lg" len="me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CCCCFF"/>
              </a:solidFill>
              <a:ln cmpd="sng">
                <a:solidFill>
                  <a:schemeClr val="tx1">
                    <a:lumMod val="95000"/>
                    <a:lumOff val="5000"/>
                  </a:schemeClr>
                </a:solidFill>
                <a:headEnd w="lg" len="med"/>
              </a:ln>
            </c:spPr>
            <c:extLst>
              <c:ext xmlns:c16="http://schemas.microsoft.com/office/drawing/2014/chart" uri="{C3380CC4-5D6E-409C-BE32-E72D297353CC}">
                <c16:uniqueId val="{0000000B-F474-4601-BBEB-F7FC21F93B9B}"/>
              </c:ext>
            </c:extLst>
          </c:dPt>
          <c:cat>
            <c:strRef>
              <c:f>'indicators '!$M$29:$Q$29</c:f>
              <c:strCache>
                <c:ptCount val="5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'indicators '!$M$30:$Q$30</c:f>
              <c:numCache>
                <c:formatCode>0.00%</c:formatCode>
                <c:ptCount val="5"/>
                <c:pt idx="0">
                  <c:v>4.3145723079582223E-3</c:v>
                </c:pt>
                <c:pt idx="1">
                  <c:v>1.4175816615449712E-3</c:v>
                </c:pt>
                <c:pt idx="2">
                  <c:v>1.7373596011490834E-4</c:v>
                </c:pt>
                <c:pt idx="3">
                  <c:v>1.6335956090404659E-4</c:v>
                </c:pt>
                <c:pt idx="4">
                  <c:v>1.5845880639254082E-4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74-4601-BBEB-F7FC21F93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86313600"/>
        <c:axId val="586316960"/>
      </c:barChart>
      <c:lineChart>
        <c:grouping val="standard"/>
        <c:varyColors val="0"/>
        <c:ser>
          <c:idx val="0"/>
          <c:order val="1"/>
          <c:tx>
            <c:strRef>
              <c:f>'indicators '!$G$33:$G$35</c:f>
              <c:strCache>
                <c:ptCount val="1"/>
                <c:pt idx="0">
                  <c:v>Avg. M</c:v>
                </c:pt>
              </c:strCache>
            </c:strRef>
          </c:tx>
          <c:spPr>
            <a:ln w="53975">
              <a:solidFill>
                <a:srgbClr val="00FF00"/>
              </a:solidFill>
            </a:ln>
          </c:spPr>
          <c:marker>
            <c:symbol val="none"/>
          </c:marker>
          <c:val>
            <c:numRef>
              <c:f>'indicators '!$M$33:$Q$33</c:f>
              <c:numCache>
                <c:formatCode>0%</c:formatCode>
                <c:ptCount val="5"/>
                <c:pt idx="0">
                  <c:v>0.13077027243013181</c:v>
                </c:pt>
                <c:pt idx="1">
                  <c:v>4.514976777629353E-2</c:v>
                </c:pt>
                <c:pt idx="2">
                  <c:v>5.2365913577399103E-3</c:v>
                </c:pt>
                <c:pt idx="3" formatCode="0.0%">
                  <c:v>4.9268945584434974E-3</c:v>
                </c:pt>
                <c:pt idx="4" formatCode="0.0%">
                  <c:v>4.7726701833710125E-3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74-4601-BBEB-F7FC21F93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819168"/>
        <c:axId val="998822528"/>
      </c:lineChart>
      <c:catAx>
        <c:axId val="5863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Congenial" panose="02000503040000020004" pitchFamily="2" charset="0"/>
                <a:ea typeface="+mn-ea"/>
                <a:cs typeface="+mn-cs"/>
              </a:defRPr>
            </a:pPr>
            <a:endParaRPr lang="th-TH"/>
          </a:p>
        </c:txPr>
        <c:crossAx val="586316960"/>
        <c:crosses val="autoZero"/>
        <c:auto val="1"/>
        <c:lblAlgn val="ctr"/>
        <c:lblOffset val="100"/>
        <c:noMultiLvlLbl val="0"/>
      </c:catAx>
      <c:valAx>
        <c:axId val="58631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53F95F"/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Congenial" panose="02000503040000020004" pitchFamily="2" charset="0"/>
                <a:ea typeface="+mn-ea"/>
                <a:cs typeface="+mn-cs"/>
              </a:defRPr>
            </a:pPr>
            <a:endParaRPr lang="th-TH"/>
          </a:p>
        </c:txPr>
        <c:crossAx val="586313600"/>
        <c:crosses val="autoZero"/>
        <c:crossBetween val="between"/>
      </c:valAx>
      <c:valAx>
        <c:axId val="99882252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rgbClr val="33CC33"/>
                </a:solidFill>
              </a:defRPr>
            </a:pPr>
            <a:endParaRPr lang="th-TH"/>
          </a:p>
        </c:txPr>
        <c:crossAx val="998819168"/>
        <c:crosses val="max"/>
        <c:crossBetween val="between"/>
      </c:valAx>
      <c:catAx>
        <c:axId val="998819168"/>
        <c:scaling>
          <c:orientation val="minMax"/>
        </c:scaling>
        <c:delete val="1"/>
        <c:axPos val="b"/>
        <c:majorTickMark val="out"/>
        <c:minorTickMark val="none"/>
        <c:tickLblPos val="nextTo"/>
        <c:crossAx val="998822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Confidence</a:t>
            </a:r>
            <a:r>
              <a:rPr lang="en-US" baseline="0"/>
              <a:t> indicator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'indicators '!$G$30:$G$32</c:f>
              <c:strCache>
                <c:ptCount val="1"/>
                <c:pt idx="0">
                  <c:v>Avg. D</c:v>
                </c:pt>
              </c:strCache>
            </c:strRef>
          </c:tx>
          <c:spPr>
            <a:solidFill>
              <a:srgbClr val="CCCCFF"/>
            </a:solidFill>
            <a:ln cmpd="thinThick">
              <a:solidFill>
                <a:sysClr val="windowText" lastClr="000000"/>
              </a:solidFill>
              <a:headEnd w="lg" len="me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CCCCFF"/>
              </a:solidFill>
              <a:ln cmpd="sng">
                <a:solidFill>
                  <a:sysClr val="windowText" lastClr="000000"/>
                </a:solidFill>
                <a:headEnd w="lg" len="med"/>
              </a:ln>
            </c:spPr>
            <c:extLst>
              <c:ext xmlns:c16="http://schemas.microsoft.com/office/drawing/2014/chart" uri="{C3380CC4-5D6E-409C-BE32-E72D297353CC}">
                <c16:uniqueId val="{00000001-B91F-4D13-89AF-C0D474890792}"/>
              </c:ext>
            </c:extLst>
          </c:dPt>
          <c:cat>
            <c:strRef>
              <c:f>'indicators '!$M$29:$Q$29</c:f>
              <c:strCache>
                <c:ptCount val="5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'indicators '!$M$31:$Q$31</c:f>
              <c:numCache>
                <c:formatCode>0.00%</c:formatCode>
                <c:ptCount val="5"/>
                <c:pt idx="0">
                  <c:v>1.733521372670109E-3</c:v>
                </c:pt>
                <c:pt idx="1">
                  <c:v>3.8342058833547047E-3</c:v>
                </c:pt>
                <c:pt idx="2">
                  <c:v>1.8640609816395993E-3</c:v>
                </c:pt>
                <c:pt idx="3">
                  <c:v>1.0341395142329653E-2</c:v>
                </c:pt>
                <c:pt idx="4">
                  <c:v>0.3397321428630723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F-4D13-89AF-C0D474890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86313600"/>
        <c:axId val="586316960"/>
      </c:barChart>
      <c:lineChart>
        <c:grouping val="standard"/>
        <c:varyColors val="0"/>
        <c:ser>
          <c:idx val="0"/>
          <c:order val="1"/>
          <c:tx>
            <c:strRef>
              <c:f>'indicators '!$G$33:$G$35</c:f>
              <c:strCache>
                <c:ptCount val="1"/>
                <c:pt idx="0">
                  <c:v>Avg. M</c:v>
                </c:pt>
              </c:strCache>
            </c:strRef>
          </c:tx>
          <c:spPr>
            <a:ln w="53975">
              <a:solidFill>
                <a:srgbClr val="00FF00"/>
              </a:solidFill>
            </a:ln>
            <a:effectLst>
              <a:glow>
                <a:srgbClr val="00FF00"/>
              </a:glow>
            </a:effectLst>
          </c:spPr>
          <c:marker>
            <c:symbol val="none"/>
          </c:marker>
          <c:cat>
            <c:strRef>
              <c:f>'indicators '!$M$29:$Q$29</c:f>
              <c:strCache>
                <c:ptCount val="5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'indicators '!$M$34:$Q$34</c:f>
              <c:numCache>
                <c:formatCode>0%</c:formatCode>
                <c:ptCount val="5"/>
                <c:pt idx="0">
                  <c:v>5.3114166790030261E-2</c:v>
                </c:pt>
                <c:pt idx="1">
                  <c:v>0.12381435906301021</c:v>
                </c:pt>
                <c:pt idx="2">
                  <c:v>5.6062291628569051E-2</c:v>
                </c:pt>
                <c:pt idx="3" formatCode="0.0%">
                  <c:v>0.25860088985088986</c:v>
                </c:pt>
                <c:pt idx="4" formatCode="0.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1F-4D13-89AF-C0D474890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231616"/>
        <c:axId val="1039261376"/>
      </c:lineChart>
      <c:catAx>
        <c:axId val="5863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Congenial" panose="02000503040000020004" pitchFamily="2" charset="0"/>
                <a:ea typeface="+mn-ea"/>
                <a:cs typeface="+mn-cs"/>
              </a:defRPr>
            </a:pPr>
            <a:endParaRPr lang="th-TH"/>
          </a:p>
        </c:txPr>
        <c:crossAx val="586316960"/>
        <c:crosses val="autoZero"/>
        <c:auto val="1"/>
        <c:lblAlgn val="ctr"/>
        <c:lblOffset val="100"/>
        <c:noMultiLvlLbl val="0"/>
      </c:catAx>
      <c:valAx>
        <c:axId val="58631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53F95F"/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Congenial" panose="02000503040000020004" pitchFamily="2" charset="0"/>
                <a:ea typeface="+mn-ea"/>
                <a:cs typeface="+mn-cs"/>
              </a:defRPr>
            </a:pPr>
            <a:endParaRPr lang="th-TH"/>
          </a:p>
        </c:txPr>
        <c:crossAx val="586313600"/>
        <c:crosses val="autoZero"/>
        <c:crossBetween val="between"/>
      </c:valAx>
      <c:valAx>
        <c:axId val="10392613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rgbClr val="33CC33"/>
                </a:solidFill>
              </a:defRPr>
            </a:pPr>
            <a:endParaRPr lang="th-TH"/>
          </a:p>
        </c:txPr>
        <c:crossAx val="1039231616"/>
        <c:crosses val="max"/>
        <c:crossBetween val="between"/>
      </c:valAx>
      <c:catAx>
        <c:axId val="1039231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9261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LPR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'indicators '!$G$30:$G$32</c:f>
              <c:strCache>
                <c:ptCount val="1"/>
                <c:pt idx="0">
                  <c:v>Avg. D</c:v>
                </c:pt>
              </c:strCache>
            </c:strRef>
          </c:tx>
          <c:spPr>
            <a:solidFill>
              <a:srgbClr val="CCCCFF"/>
            </a:solidFill>
            <a:ln cmpd="thinThick">
              <a:solidFill>
                <a:sysClr val="windowText" lastClr="000000"/>
              </a:solidFill>
              <a:headEnd w="lg" len="me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CCCCFF"/>
              </a:solidFill>
              <a:ln cmpd="sng">
                <a:solidFill>
                  <a:sysClr val="windowText" lastClr="000000"/>
                </a:solidFill>
                <a:headEnd w="lg" len="med"/>
              </a:ln>
            </c:spPr>
            <c:extLst>
              <c:ext xmlns:c16="http://schemas.microsoft.com/office/drawing/2014/chart" uri="{C3380CC4-5D6E-409C-BE32-E72D297353CC}">
                <c16:uniqueId val="{00000001-9DCF-4205-A89A-FDD0BF4F5FA1}"/>
              </c:ext>
            </c:extLst>
          </c:dPt>
          <c:cat>
            <c:strRef>
              <c:f>'indicators '!$M$29:$Q$29</c:f>
              <c:strCache>
                <c:ptCount val="5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'indicators '!$M$32:$Q$32</c:f>
              <c:numCache>
                <c:formatCode>0.00%</c:formatCode>
                <c:ptCount val="5"/>
                <c:pt idx="0">
                  <c:v>0.45426145821800873</c:v>
                </c:pt>
                <c:pt idx="1">
                  <c:v>0.26638270530494856</c:v>
                </c:pt>
                <c:pt idx="2">
                  <c:v>0.19699442957770136</c:v>
                </c:pt>
                <c:pt idx="3">
                  <c:v>0.18307470874478654</c:v>
                </c:pt>
                <c:pt idx="4">
                  <c:v>0.17660221508179202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F-4205-A89A-FDD0BF4F5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86313600"/>
        <c:axId val="586316960"/>
      </c:barChart>
      <c:lineChart>
        <c:grouping val="standard"/>
        <c:varyColors val="0"/>
        <c:ser>
          <c:idx val="0"/>
          <c:order val="1"/>
          <c:tx>
            <c:strRef>
              <c:f>'indicators '!$G$33:$G$35</c:f>
              <c:strCache>
                <c:ptCount val="1"/>
                <c:pt idx="0">
                  <c:v>Avg. M</c:v>
                </c:pt>
              </c:strCache>
            </c:strRef>
          </c:tx>
          <c:spPr>
            <a:ln w="53975">
              <a:solidFill>
                <a:srgbClr val="00FF00"/>
              </a:solidFill>
            </a:ln>
            <a:effectLst>
              <a:glow>
                <a:srgbClr val="00FF00"/>
              </a:glow>
            </a:effectLst>
          </c:spPr>
          <c:marker>
            <c:symbol val="none"/>
          </c:marker>
          <c:cat>
            <c:strRef>
              <c:f>'indicators '!$M$29:$Q$29</c:f>
              <c:strCache>
                <c:ptCount val="5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'indicators '!$M$35:$Q$35</c:f>
              <c:numCache>
                <c:formatCode>0%</c:formatCode>
                <c:ptCount val="5"/>
                <c:pt idx="0">
                  <c:v>0.456079140573658</c:v>
                </c:pt>
                <c:pt idx="1">
                  <c:v>0.26209149259190884</c:v>
                </c:pt>
                <c:pt idx="2">
                  <c:v>0.19690929015267966</c:v>
                </c:pt>
                <c:pt idx="3" formatCode="0.0%">
                  <c:v>0.18319566741946433</c:v>
                </c:pt>
                <c:pt idx="4" formatCode="0.0%">
                  <c:v>0.17696643874941281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CF-4205-A89A-FDD0BF4F5FA1}"/>
            </c:ext>
          </c:extLst>
        </c:ser>
        <c:ser>
          <c:idx val="2"/>
          <c:order val="2"/>
          <c:tx>
            <c:strRef>
              <c:f>'indicators '!$H$36</c:f>
              <c:strCache>
                <c:ptCount val="1"/>
                <c:pt idx="0">
                  <c:v>Threthold liquidify </c:v>
                </c:pt>
              </c:strCache>
            </c:strRef>
          </c:tx>
          <c:spPr>
            <a:ln w="44450">
              <a:solidFill>
                <a:srgbClr val="FF0000">
                  <a:alpha val="97000"/>
                </a:srgbClr>
              </a:solidFill>
            </a:ln>
          </c:spPr>
          <c:marker>
            <c:symbol val="none"/>
          </c:marker>
          <c:cat>
            <c:strRef>
              <c:f>'indicators '!$M$29:$Q$29</c:f>
              <c:strCache>
                <c:ptCount val="5"/>
                <c:pt idx="0">
                  <c:v>Y1</c:v>
                </c:pt>
                <c:pt idx="1">
                  <c:v>Y2 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'indicators '!$M$36:$Q$36</c:f>
              <c:numCache>
                <c:formatCode>0.0%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CF-4205-A89A-FDD0BF4F5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231616"/>
        <c:axId val="1039261376"/>
      </c:lineChart>
      <c:catAx>
        <c:axId val="5863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Congenial" panose="02000503040000020004" pitchFamily="2" charset="0"/>
                <a:ea typeface="+mn-ea"/>
                <a:cs typeface="+mn-cs"/>
              </a:defRPr>
            </a:pPr>
            <a:endParaRPr lang="th-TH"/>
          </a:p>
        </c:txPr>
        <c:crossAx val="586316960"/>
        <c:crosses val="autoZero"/>
        <c:auto val="1"/>
        <c:lblAlgn val="ctr"/>
        <c:lblOffset val="100"/>
        <c:noMultiLvlLbl val="0"/>
      </c:catAx>
      <c:valAx>
        <c:axId val="58631696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Congenial" panose="02000503040000020004" pitchFamily="2" charset="0"/>
                <a:ea typeface="+mn-ea"/>
                <a:cs typeface="+mn-cs"/>
              </a:defRPr>
            </a:pPr>
            <a:endParaRPr lang="th-TH"/>
          </a:p>
        </c:txPr>
        <c:crossAx val="586313600"/>
        <c:crosses val="autoZero"/>
        <c:crossBetween val="between"/>
      </c:valAx>
      <c:valAx>
        <c:axId val="10392613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rgbClr val="33CC33"/>
                </a:solidFill>
              </a:defRPr>
            </a:pPr>
            <a:endParaRPr lang="th-TH"/>
          </a:p>
        </c:txPr>
        <c:crossAx val="1039231616"/>
        <c:crosses val="max"/>
        <c:crossBetween val="between"/>
      </c:valAx>
      <c:catAx>
        <c:axId val="1039231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9261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1F497D"/>
                </a:solidFill>
                <a:latin typeface="+mn-lt"/>
                <a:ea typeface="+mn-ea"/>
                <a:cs typeface="+mn-cs"/>
              </a:rPr>
              <a:t>Remaining supply and confidence indicator   </a:t>
            </a:r>
          </a:p>
        </c:rich>
      </c:tx>
      <c:layout>
        <c:manualLayout>
          <c:xMode val="edge"/>
          <c:yMode val="edge"/>
          <c:x val="0.2114102564102564"/>
          <c:y val="2.81979458450046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Release Schedule'!$AA$2</c:f>
              <c:strCache>
                <c:ptCount val="1"/>
                <c:pt idx="0">
                  <c:v> Remaining supply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Schedule'!$AA$3:$AA$50</c:f>
              <c:numCache>
                <c:formatCode>_(* #,##0.00_);_(* \(#,##0.00\);_(* "-"??_);_(@_)</c:formatCode>
                <c:ptCount val="48"/>
                <c:pt idx="0">
                  <c:v>432166666.66666669</c:v>
                </c:pt>
                <c:pt idx="1">
                  <c:v>416458333.33333337</c:v>
                </c:pt>
                <c:pt idx="2">
                  <c:v>400750000</c:v>
                </c:pt>
                <c:pt idx="3">
                  <c:v>393375000</c:v>
                </c:pt>
                <c:pt idx="4">
                  <c:v>382041666.66666669</c:v>
                </c:pt>
                <c:pt idx="5">
                  <c:v>370708333.33333331</c:v>
                </c:pt>
                <c:pt idx="6">
                  <c:v>348944444.44444442</c:v>
                </c:pt>
                <c:pt idx="7">
                  <c:v>327180555.55555546</c:v>
                </c:pt>
                <c:pt idx="8">
                  <c:v>305416666.66666669</c:v>
                </c:pt>
                <c:pt idx="9">
                  <c:v>283652777.77777779</c:v>
                </c:pt>
                <c:pt idx="10">
                  <c:v>261888888.8888889</c:v>
                </c:pt>
                <c:pt idx="11">
                  <c:v>240125000</c:v>
                </c:pt>
                <c:pt idx="12">
                  <c:v>220027777.77777779</c:v>
                </c:pt>
                <c:pt idx="13">
                  <c:v>199930555.55555552</c:v>
                </c:pt>
                <c:pt idx="14">
                  <c:v>179833333.33333331</c:v>
                </c:pt>
                <c:pt idx="15">
                  <c:v>159736111.1111111</c:v>
                </c:pt>
                <c:pt idx="16">
                  <c:v>143597222.22222221</c:v>
                </c:pt>
                <c:pt idx="17">
                  <c:v>127458333.33333331</c:v>
                </c:pt>
                <c:pt idx="18">
                  <c:v>116111111.11111099</c:v>
                </c:pt>
                <c:pt idx="19">
                  <c:v>104763888.88888901</c:v>
                </c:pt>
                <c:pt idx="20">
                  <c:v>93416666.666666627</c:v>
                </c:pt>
                <c:pt idx="21">
                  <c:v>82069444.444444478</c:v>
                </c:pt>
                <c:pt idx="22">
                  <c:v>70722222.222222209</c:v>
                </c:pt>
                <c:pt idx="23">
                  <c:v>59375000</c:v>
                </c:pt>
                <c:pt idx="24">
                  <c:v>57000000</c:v>
                </c:pt>
                <c:pt idx="25">
                  <c:v>54625000</c:v>
                </c:pt>
                <c:pt idx="26">
                  <c:v>52250000</c:v>
                </c:pt>
                <c:pt idx="27">
                  <c:v>49875000</c:v>
                </c:pt>
                <c:pt idx="28">
                  <c:v>47500000</c:v>
                </c:pt>
                <c:pt idx="29">
                  <c:v>45125000</c:v>
                </c:pt>
                <c:pt idx="30">
                  <c:v>42750000</c:v>
                </c:pt>
                <c:pt idx="31">
                  <c:v>40375000</c:v>
                </c:pt>
                <c:pt idx="32">
                  <c:v>38000000</c:v>
                </c:pt>
                <c:pt idx="33">
                  <c:v>35625000</c:v>
                </c:pt>
                <c:pt idx="34">
                  <c:v>33250000</c:v>
                </c:pt>
                <c:pt idx="35">
                  <c:v>30875000</c:v>
                </c:pt>
                <c:pt idx="36">
                  <c:v>28500000</c:v>
                </c:pt>
                <c:pt idx="37">
                  <c:v>26125000</c:v>
                </c:pt>
                <c:pt idx="38">
                  <c:v>23750000</c:v>
                </c:pt>
                <c:pt idx="39">
                  <c:v>21375000</c:v>
                </c:pt>
                <c:pt idx="40">
                  <c:v>19000000</c:v>
                </c:pt>
                <c:pt idx="41">
                  <c:v>16625000</c:v>
                </c:pt>
                <c:pt idx="42">
                  <c:v>14250000</c:v>
                </c:pt>
                <c:pt idx="43">
                  <c:v>11875000</c:v>
                </c:pt>
                <c:pt idx="44">
                  <c:v>9500000</c:v>
                </c:pt>
                <c:pt idx="45">
                  <c:v>7125000</c:v>
                </c:pt>
                <c:pt idx="46">
                  <c:v>4750000</c:v>
                </c:pt>
                <c:pt idx="47">
                  <c:v>2375000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4-4EED-8E45-43AB53CA7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797600"/>
        <c:axId val="624794240"/>
      </c:barChart>
      <c:barChart>
        <c:barDir val="col"/>
        <c:grouping val="clustered"/>
        <c:varyColors val="0"/>
        <c:ser>
          <c:idx val="1"/>
          <c:order val="1"/>
          <c:tx>
            <c:strRef>
              <c:f>'Monthly Release Schedule'!$AB$2</c:f>
              <c:strCache>
                <c:ptCount val="1"/>
                <c:pt idx="0">
                  <c:v>Confidence indicator </c:v>
                </c:pt>
              </c:strCache>
            </c:strRef>
          </c:tx>
          <c:spPr>
            <a:solidFill>
              <a:srgbClr val="00FF00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Schedule'!$AB$3:$AB$50</c:f>
              <c:numCache>
                <c:formatCode>0.00%</c:formatCode>
                <c:ptCount val="48"/>
                <c:pt idx="0">
                  <c:v>3.0852294639413799E-2</c:v>
                </c:pt>
                <c:pt idx="1">
                  <c:v>3.7718859429714847E-2</c:v>
                </c:pt>
                <c:pt idx="2">
                  <c:v>3.9197338323975872E-2</c:v>
                </c:pt>
                <c:pt idx="3">
                  <c:v>1.874801398156975E-2</c:v>
                </c:pt>
                <c:pt idx="4">
                  <c:v>2.9665176136983305E-2</c:v>
                </c:pt>
                <c:pt idx="5">
                  <c:v>3.0572102956052595E-2</c:v>
                </c:pt>
                <c:pt idx="6">
                  <c:v>6.2370641617576834E-2</c:v>
                </c:pt>
                <c:pt idx="7">
                  <c:v>6.6519505879356483E-2</c:v>
                </c:pt>
                <c:pt idx="8">
                  <c:v>7.1259663483401556E-2</c:v>
                </c:pt>
                <c:pt idx="9">
                  <c:v>7.6727219311560499E-2</c:v>
                </c:pt>
                <c:pt idx="10">
                  <c:v>8.3103521425540949E-2</c:v>
                </c:pt>
                <c:pt idx="11">
                  <c:v>9.063566429521662E-2</c:v>
                </c:pt>
                <c:pt idx="12">
                  <c:v>9.1339477338719846E-2</c:v>
                </c:pt>
                <c:pt idx="13">
                  <c:v>0.10052101424105593</c:v>
                </c:pt>
                <c:pt idx="14">
                  <c:v>0.11175471115230151</c:v>
                </c:pt>
                <c:pt idx="15">
                  <c:v>0.12581514650899922</c:v>
                </c:pt>
                <c:pt idx="16">
                  <c:v>0.11238997968855791</c:v>
                </c:pt>
                <c:pt idx="17">
                  <c:v>0.12662090007627769</c:v>
                </c:pt>
                <c:pt idx="18">
                  <c:v>9.7727272727272815E-2</c:v>
                </c:pt>
                <c:pt idx="19">
                  <c:v>0.10831234256926937</c:v>
                </c:pt>
                <c:pt idx="20">
                  <c:v>0.12146892655367235</c:v>
                </c:pt>
                <c:pt idx="21">
                  <c:v>0.13826366559485523</c:v>
                </c:pt>
                <c:pt idx="22">
                  <c:v>0.16044776119402984</c:v>
                </c:pt>
                <c:pt idx="23">
                  <c:v>0.19111111111111106</c:v>
                </c:pt>
                <c:pt idx="24">
                  <c:v>4.1666666666666664E-2</c:v>
                </c:pt>
                <c:pt idx="25">
                  <c:v>4.3478260869565216E-2</c:v>
                </c:pt>
                <c:pt idx="26">
                  <c:v>4.5454545454545456E-2</c:v>
                </c:pt>
                <c:pt idx="27">
                  <c:v>4.7619047619047616E-2</c:v>
                </c:pt>
                <c:pt idx="28">
                  <c:v>0.05</c:v>
                </c:pt>
                <c:pt idx="29">
                  <c:v>5.2631578947368418E-2</c:v>
                </c:pt>
                <c:pt idx="30">
                  <c:v>5.5555555555555552E-2</c:v>
                </c:pt>
                <c:pt idx="31">
                  <c:v>5.8823529411764705E-2</c:v>
                </c:pt>
                <c:pt idx="32">
                  <c:v>6.25E-2</c:v>
                </c:pt>
                <c:pt idx="33">
                  <c:v>6.6666666666666666E-2</c:v>
                </c:pt>
                <c:pt idx="34">
                  <c:v>7.1428571428571425E-2</c:v>
                </c:pt>
                <c:pt idx="35">
                  <c:v>7.6923076923076927E-2</c:v>
                </c:pt>
                <c:pt idx="36">
                  <c:v>8.3333333333333329E-2</c:v>
                </c:pt>
                <c:pt idx="37">
                  <c:v>9.0909090909090912E-2</c:v>
                </c:pt>
                <c:pt idx="38">
                  <c:v>0.1</c:v>
                </c:pt>
                <c:pt idx="39">
                  <c:v>0.1111111111111111</c:v>
                </c:pt>
                <c:pt idx="40">
                  <c:v>0.125</c:v>
                </c:pt>
                <c:pt idx="41">
                  <c:v>0.14285714285714285</c:v>
                </c:pt>
                <c:pt idx="42">
                  <c:v>0.16666666666666666</c:v>
                </c:pt>
                <c:pt idx="43">
                  <c:v>0.2</c:v>
                </c:pt>
                <c:pt idx="44">
                  <c:v>0.25</c:v>
                </c:pt>
                <c:pt idx="45">
                  <c:v>0.33333333333333331</c:v>
                </c:pt>
                <c:pt idx="46">
                  <c:v>0.5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C4-4EED-8E45-43AB53CA7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5336688"/>
        <c:axId val="1485352048"/>
      </c:barChart>
      <c:dateAx>
        <c:axId val="62479760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624794240"/>
        <c:crosses val="autoZero"/>
        <c:auto val="1"/>
        <c:lblOffset val="100"/>
        <c:baseTimeUnit val="months"/>
      </c:dateAx>
      <c:valAx>
        <c:axId val="6247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624797600"/>
        <c:crosses val="autoZero"/>
        <c:crossBetween val="between"/>
      </c:valAx>
      <c:valAx>
        <c:axId val="148535204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6600"/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th-TH"/>
          </a:p>
        </c:txPr>
        <c:crossAx val="1485336688"/>
        <c:crosses val="max"/>
        <c:crossBetween val="between"/>
      </c:valAx>
      <c:dateAx>
        <c:axId val="14853366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485352048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rPr>
              <a:t>Remaining supply &amp; Incremental drop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Release Schedule'!$AA$2</c:f>
              <c:strCache>
                <c:ptCount val="1"/>
                <c:pt idx="0">
                  <c:v> Remaining supply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Schedule'!$AA$3:$AA$50</c:f>
              <c:numCache>
                <c:formatCode>_(* #,##0.00_);_(* \(#,##0.00\);_(* "-"??_);_(@_)</c:formatCode>
                <c:ptCount val="48"/>
                <c:pt idx="0">
                  <c:v>432166666.66666669</c:v>
                </c:pt>
                <c:pt idx="1">
                  <c:v>416458333.33333337</c:v>
                </c:pt>
                <c:pt idx="2">
                  <c:v>400750000</c:v>
                </c:pt>
                <c:pt idx="3">
                  <c:v>393375000</c:v>
                </c:pt>
                <c:pt idx="4">
                  <c:v>382041666.66666669</c:v>
                </c:pt>
                <c:pt idx="5">
                  <c:v>370708333.33333331</c:v>
                </c:pt>
                <c:pt idx="6">
                  <c:v>348944444.44444442</c:v>
                </c:pt>
                <c:pt idx="7">
                  <c:v>327180555.55555546</c:v>
                </c:pt>
                <c:pt idx="8">
                  <c:v>305416666.66666669</c:v>
                </c:pt>
                <c:pt idx="9">
                  <c:v>283652777.77777779</c:v>
                </c:pt>
                <c:pt idx="10">
                  <c:v>261888888.8888889</c:v>
                </c:pt>
                <c:pt idx="11">
                  <c:v>240125000</c:v>
                </c:pt>
                <c:pt idx="12">
                  <c:v>220027777.77777779</c:v>
                </c:pt>
                <c:pt idx="13">
                  <c:v>199930555.55555552</c:v>
                </c:pt>
                <c:pt idx="14">
                  <c:v>179833333.33333331</c:v>
                </c:pt>
                <c:pt idx="15">
                  <c:v>159736111.1111111</c:v>
                </c:pt>
                <c:pt idx="16">
                  <c:v>143597222.22222221</c:v>
                </c:pt>
                <c:pt idx="17">
                  <c:v>127458333.33333331</c:v>
                </c:pt>
                <c:pt idx="18">
                  <c:v>116111111.11111099</c:v>
                </c:pt>
                <c:pt idx="19">
                  <c:v>104763888.88888901</c:v>
                </c:pt>
                <c:pt idx="20">
                  <c:v>93416666.666666627</c:v>
                </c:pt>
                <c:pt idx="21">
                  <c:v>82069444.444444478</c:v>
                </c:pt>
                <c:pt idx="22">
                  <c:v>70722222.222222209</c:v>
                </c:pt>
                <c:pt idx="23">
                  <c:v>59375000</c:v>
                </c:pt>
                <c:pt idx="24">
                  <c:v>57000000</c:v>
                </c:pt>
                <c:pt idx="25">
                  <c:v>54625000</c:v>
                </c:pt>
                <c:pt idx="26">
                  <c:v>52250000</c:v>
                </c:pt>
                <c:pt idx="27">
                  <c:v>49875000</c:v>
                </c:pt>
                <c:pt idx="28">
                  <c:v>47500000</c:v>
                </c:pt>
                <c:pt idx="29">
                  <c:v>45125000</c:v>
                </c:pt>
                <c:pt idx="30">
                  <c:v>42750000</c:v>
                </c:pt>
                <c:pt idx="31">
                  <c:v>40375000</c:v>
                </c:pt>
                <c:pt idx="32">
                  <c:v>38000000</c:v>
                </c:pt>
                <c:pt idx="33">
                  <c:v>35625000</c:v>
                </c:pt>
                <c:pt idx="34">
                  <c:v>33250000</c:v>
                </c:pt>
                <c:pt idx="35">
                  <c:v>30875000</c:v>
                </c:pt>
                <c:pt idx="36">
                  <c:v>28500000</c:v>
                </c:pt>
                <c:pt idx="37">
                  <c:v>26125000</c:v>
                </c:pt>
                <c:pt idx="38">
                  <c:v>23750000</c:v>
                </c:pt>
                <c:pt idx="39">
                  <c:v>21375000</c:v>
                </c:pt>
                <c:pt idx="40">
                  <c:v>19000000</c:v>
                </c:pt>
                <c:pt idx="41">
                  <c:v>16625000</c:v>
                </c:pt>
                <c:pt idx="42">
                  <c:v>14250000</c:v>
                </c:pt>
                <c:pt idx="43">
                  <c:v>11875000</c:v>
                </c:pt>
                <c:pt idx="44">
                  <c:v>9500000</c:v>
                </c:pt>
                <c:pt idx="45">
                  <c:v>7125000</c:v>
                </c:pt>
                <c:pt idx="46">
                  <c:v>4750000</c:v>
                </c:pt>
                <c:pt idx="47">
                  <c:v>2375000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5-4784-AE15-62309DF71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24797600"/>
        <c:axId val="624794240"/>
      </c:barChart>
      <c:lineChart>
        <c:grouping val="standard"/>
        <c:varyColors val="0"/>
        <c:ser>
          <c:idx val="1"/>
          <c:order val="1"/>
          <c:tx>
            <c:strRef>
              <c:f>'Monthly Release Schedule'!$Z$2</c:f>
              <c:strCache>
                <c:ptCount val="1"/>
                <c:pt idx="0">
                  <c:v>Incremental % Drop </c:v>
                </c:pt>
              </c:strCache>
            </c:strRef>
          </c:tx>
          <c:spPr>
            <a:ln w="5080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numRef>
              <c:f>'Monthly Release Schedule'!$A$3:$A$51</c:f>
              <c:numCache>
                <c:formatCode>yyyy\-mm\-dd</c:formatCode>
                <c:ptCount val="4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  <c:pt idx="19">
                  <c:v>46265</c:v>
                </c:pt>
                <c:pt idx="20">
                  <c:v>46295</c:v>
                </c:pt>
                <c:pt idx="21">
                  <c:v>46326</c:v>
                </c:pt>
                <c:pt idx="22">
                  <c:v>46356</c:v>
                </c:pt>
                <c:pt idx="23">
                  <c:v>46387</c:v>
                </c:pt>
                <c:pt idx="24">
                  <c:v>46418</c:v>
                </c:pt>
                <c:pt idx="25">
                  <c:v>46446</c:v>
                </c:pt>
                <c:pt idx="26">
                  <c:v>46477</c:v>
                </c:pt>
                <c:pt idx="27">
                  <c:v>46507</c:v>
                </c:pt>
                <c:pt idx="28">
                  <c:v>46538</c:v>
                </c:pt>
                <c:pt idx="29">
                  <c:v>46568</c:v>
                </c:pt>
                <c:pt idx="30">
                  <c:v>46599</c:v>
                </c:pt>
                <c:pt idx="31">
                  <c:v>46630</c:v>
                </c:pt>
                <c:pt idx="32">
                  <c:v>46660</c:v>
                </c:pt>
                <c:pt idx="33">
                  <c:v>46691</c:v>
                </c:pt>
                <c:pt idx="34">
                  <c:v>46721</c:v>
                </c:pt>
                <c:pt idx="35">
                  <c:v>46752</c:v>
                </c:pt>
                <c:pt idx="36">
                  <c:v>46783</c:v>
                </c:pt>
                <c:pt idx="37">
                  <c:v>46812</c:v>
                </c:pt>
                <c:pt idx="38">
                  <c:v>46843</c:v>
                </c:pt>
                <c:pt idx="39">
                  <c:v>46873</c:v>
                </c:pt>
                <c:pt idx="40">
                  <c:v>46904</c:v>
                </c:pt>
                <c:pt idx="41">
                  <c:v>46934</c:v>
                </c:pt>
                <c:pt idx="42">
                  <c:v>46965</c:v>
                </c:pt>
                <c:pt idx="43">
                  <c:v>46996</c:v>
                </c:pt>
                <c:pt idx="44">
                  <c:v>47026</c:v>
                </c:pt>
                <c:pt idx="45">
                  <c:v>47057</c:v>
                </c:pt>
                <c:pt idx="46">
                  <c:v>47087</c:v>
                </c:pt>
                <c:pt idx="47">
                  <c:v>47118</c:v>
                </c:pt>
                <c:pt idx="48">
                  <c:v>47149</c:v>
                </c:pt>
              </c:numCache>
            </c:numRef>
          </c:cat>
          <c:val>
            <c:numRef>
              <c:f>'Monthly Release Schedule'!$Z$3:$Z$51</c:f>
              <c:numCache>
                <c:formatCode>0.00%</c:formatCode>
                <c:ptCount val="49"/>
                <c:pt idx="1">
                  <c:v>0.23157248157248153</c:v>
                </c:pt>
                <c:pt idx="2">
                  <c:v>0.1880299251870324</c:v>
                </c:pt>
                <c:pt idx="3">
                  <c:v>7.4307304785894202E-2</c:v>
                </c:pt>
                <c:pt idx="4">
                  <c:v>0.10629152012504882</c:v>
                </c:pt>
                <c:pt idx="5">
                  <c:v>9.6079123984457795E-2</c:v>
                </c:pt>
                <c:pt idx="6">
                  <c:v>0.16833172198947252</c:v>
                </c:pt>
                <c:pt idx="7">
                  <c:v>0.14407870540639939</c:v>
                </c:pt>
                <c:pt idx="8">
                  <c:v>0.12593426022663343</c:v>
                </c:pt>
                <c:pt idx="9">
                  <c:v>0.11184867951463243</c:v>
                </c:pt>
                <c:pt idx="10">
                  <c:v>0.10059703408872057</c:v>
                </c:pt>
                <c:pt idx="11">
                  <c:v>9.1402239850676636E-2</c:v>
                </c:pt>
                <c:pt idx="12">
                  <c:v>7.7334188445299545E-2</c:v>
                </c:pt>
                <c:pt idx="13">
                  <c:v>7.1782914971723386E-2</c:v>
                </c:pt>
                <c:pt idx="14">
                  <c:v>6.6975237213607944E-2</c:v>
                </c:pt>
                <c:pt idx="15">
                  <c:v>6.2771126149574863E-2</c:v>
                </c:pt>
                <c:pt idx="16">
                  <c:v>4.7430507367647659E-2</c:v>
                </c:pt>
                <c:pt idx="17">
                  <c:v>4.5282724757413975E-2</c:v>
                </c:pt>
                <c:pt idx="18">
                  <c:v>3.0458934496514177E-2</c:v>
                </c:pt>
                <c:pt idx="19">
                  <c:v>2.9558610709117205E-2</c:v>
                </c:pt>
                <c:pt idx="20">
                  <c:v>2.8709983483852834E-2</c:v>
                </c:pt>
                <c:pt idx="21">
                  <c:v>2.7908724465395905E-2</c:v>
                </c:pt>
                <c:pt idx="22">
                  <c:v>2.715097537469675E-2</c:v>
                </c:pt>
                <c:pt idx="23">
                  <c:v>2.6433285880678135E-2</c:v>
                </c:pt>
                <c:pt idx="24">
                  <c:v>5.3900709219858152E-3</c:v>
                </c:pt>
                <c:pt idx="25">
                  <c:v>5.3611738148984199E-3</c:v>
                </c:pt>
                <c:pt idx="26">
                  <c:v>5.3325849003648612E-3</c:v>
                </c:pt>
                <c:pt idx="27">
                  <c:v>5.30429927414852E-3</c:v>
                </c:pt>
                <c:pt idx="28">
                  <c:v>5.276312135517912E-3</c:v>
                </c:pt>
                <c:pt idx="29">
                  <c:v>5.2486187845303869E-3</c:v>
                </c:pt>
                <c:pt idx="30">
                  <c:v>5.2212146194009343E-3</c:v>
                </c:pt>
                <c:pt idx="31">
                  <c:v>5.1940951339529799E-3</c:v>
                </c:pt>
                <c:pt idx="32">
                  <c:v>5.1672559151482184E-3</c:v>
                </c:pt>
                <c:pt idx="33">
                  <c:v>5.140692640692641E-3</c:v>
                </c:pt>
                <c:pt idx="34">
                  <c:v>5.1144010767160165E-3</c:v>
                </c:pt>
                <c:pt idx="35">
                  <c:v>5.0883770755222281E-3</c:v>
                </c:pt>
                <c:pt idx="36">
                  <c:v>5.0626165734079407E-3</c:v>
                </c:pt>
                <c:pt idx="37">
                  <c:v>5.0371155885471901E-3</c:v>
                </c:pt>
                <c:pt idx="38">
                  <c:v>5.0118702189395938E-3</c:v>
                </c:pt>
                <c:pt idx="39">
                  <c:v>4.9868766404199474E-3</c:v>
                </c:pt>
                <c:pt idx="40">
                  <c:v>4.9621311047270827E-3</c:v>
                </c:pt>
                <c:pt idx="41">
                  <c:v>4.9376299376299379E-3</c:v>
                </c:pt>
                <c:pt idx="42">
                  <c:v>4.9133695371088703E-3</c:v>
                </c:pt>
                <c:pt idx="43">
                  <c:v>4.8893463715903246E-3</c:v>
                </c:pt>
                <c:pt idx="44">
                  <c:v>4.8655569782330346E-3</c:v>
                </c:pt>
                <c:pt idx="45">
                  <c:v>4.8419979612640161E-3</c:v>
                </c:pt>
                <c:pt idx="46">
                  <c:v>4.8186659903626684E-3</c:v>
                </c:pt>
                <c:pt idx="47">
                  <c:v>4.7955577990913684E-3</c:v>
                </c:pt>
                <c:pt idx="48">
                  <c:v>4.7726701833710125E-3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5-4784-AE15-62309DF71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448640"/>
        <c:axId val="761448160"/>
      </c:lineChart>
      <c:dateAx>
        <c:axId val="62479760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24794240"/>
        <c:crosses val="autoZero"/>
        <c:auto val="1"/>
        <c:lblOffset val="100"/>
        <c:baseTimeUnit val="months"/>
      </c:dateAx>
      <c:valAx>
        <c:axId val="6247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24797600"/>
        <c:crosses val="autoZero"/>
        <c:crossBetween val="between"/>
      </c:valAx>
      <c:valAx>
        <c:axId val="7614481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66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61448640"/>
        <c:crosses val="max"/>
        <c:crossBetween val="between"/>
      </c:valAx>
      <c:dateAx>
        <c:axId val="76144864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761448160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2385060</xdr:colOff>
      <xdr:row>0</xdr:row>
      <xdr:rowOff>53340</xdr:rowOff>
    </xdr:from>
    <xdr:to>
      <xdr:col>39</xdr:col>
      <xdr:colOff>495300</xdr:colOff>
      <xdr:row>19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C9D30F-8DFE-42D1-A334-F6B47617D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91440</xdr:colOff>
      <xdr:row>42</xdr:row>
      <xdr:rowOff>0</xdr:rowOff>
    </xdr:from>
    <xdr:to>
      <xdr:col>40</xdr:col>
      <xdr:colOff>373380</xdr:colOff>
      <xdr:row>58</xdr:row>
      <xdr:rowOff>83820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15D1620-E504-41DE-B12F-95CE1EAE4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502920</xdr:colOff>
      <xdr:row>42</xdr:row>
      <xdr:rowOff>114300</xdr:rowOff>
    </xdr:from>
    <xdr:to>
      <xdr:col>48</xdr:col>
      <xdr:colOff>266700</xdr:colOff>
      <xdr:row>59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18826C0-B968-454A-B1D1-838D2B75E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2076453</xdr:colOff>
      <xdr:row>9</xdr:row>
      <xdr:rowOff>53340</xdr:rowOff>
    </xdr:from>
    <xdr:to>
      <xdr:col>8</xdr:col>
      <xdr:colOff>883920</xdr:colOff>
      <xdr:row>23</xdr:row>
      <xdr:rowOff>125730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ED0E53AC-A537-5E92-13A8-C710BDA67839}"/>
            </a:ext>
          </a:extLst>
        </xdr:cNvPr>
        <xdr:cNvGrpSpPr/>
      </xdr:nvGrpSpPr>
      <xdr:grpSpPr>
        <a:xfrm>
          <a:off x="9749793" y="2119207"/>
          <a:ext cx="7474794" cy="2959523"/>
          <a:chOff x="11774945" y="1219200"/>
          <a:chExt cx="5477706" cy="3021330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0431AF0A-6388-2612-4179-35282A37F32A}"/>
              </a:ext>
            </a:extLst>
          </xdr:cNvPr>
          <xdr:cNvGraphicFramePr/>
        </xdr:nvGraphicFramePr>
        <xdr:xfrm>
          <a:off x="11774945" y="1219200"/>
          <a:ext cx="4812030" cy="30213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9DE37A88-4814-B96D-5DB5-854A92D8D8EF}"/>
              </a:ext>
            </a:extLst>
          </xdr:cNvPr>
          <xdr:cNvGraphicFramePr/>
        </xdr:nvGraphicFramePr>
        <xdr:xfrm>
          <a:off x="14616131" y="1699260"/>
          <a:ext cx="2636520" cy="19697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8" name="Arrow: Right 47">
            <a:extLst>
              <a:ext uri="{FF2B5EF4-FFF2-40B4-BE49-F238E27FC236}">
                <a16:creationId xmlns:a16="http://schemas.microsoft.com/office/drawing/2014/main" id="{1F1ABFC7-4FD4-7C9E-97F0-8D8CA1303E32}"/>
              </a:ext>
            </a:extLst>
          </xdr:cNvPr>
          <xdr:cNvSpPr/>
        </xdr:nvSpPr>
        <xdr:spPr>
          <a:xfrm>
            <a:off x="15194280" y="2720340"/>
            <a:ext cx="342900" cy="236220"/>
          </a:xfrm>
          <a:prstGeom prst="rightArrow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 kern="1200"/>
          </a:p>
        </xdr:txBody>
      </xdr:sp>
    </xdr:grpSp>
    <xdr:clientData/>
  </xdr:twoCellAnchor>
  <xdr:twoCellAnchor>
    <xdr:from>
      <xdr:col>8</xdr:col>
      <xdr:colOff>864870</xdr:colOff>
      <xdr:row>9</xdr:row>
      <xdr:rowOff>68580</xdr:rowOff>
    </xdr:from>
    <xdr:to>
      <xdr:col>13</xdr:col>
      <xdr:colOff>60960</xdr:colOff>
      <xdr:row>24</xdr:row>
      <xdr:rowOff>133350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31373D97-25CF-C31A-5BFB-57B1DB2C3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481753</xdr:colOff>
      <xdr:row>8</xdr:row>
      <xdr:rowOff>143932</xdr:rowOff>
    </xdr:from>
    <xdr:to>
      <xdr:col>32</xdr:col>
      <xdr:colOff>203200</xdr:colOff>
      <xdr:row>33</xdr:row>
      <xdr:rowOff>1014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48B4E45B-FF00-4309-98E2-832E3FD61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190500</xdr:colOff>
      <xdr:row>8</xdr:row>
      <xdr:rowOff>127000</xdr:rowOff>
    </xdr:from>
    <xdr:to>
      <xdr:col>20</xdr:col>
      <xdr:colOff>618066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4AAD55-EF46-4906-858B-4EBFEAA21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640080</xdr:colOff>
      <xdr:row>31</xdr:row>
      <xdr:rowOff>129540</xdr:rowOff>
    </xdr:from>
    <xdr:to>
      <xdr:col>3</xdr:col>
      <xdr:colOff>190500</xdr:colOff>
      <xdr:row>45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E2F419-3D61-4AEE-A60B-8624A0577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381000</xdr:colOff>
      <xdr:row>31</xdr:row>
      <xdr:rowOff>60960</xdr:rowOff>
    </xdr:from>
    <xdr:to>
      <xdr:col>5</xdr:col>
      <xdr:colOff>944880</xdr:colOff>
      <xdr:row>47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A026D8-06A9-4406-ACA7-6FF4A87A0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1100244</xdr:colOff>
      <xdr:row>38</xdr:row>
      <xdr:rowOff>100754</xdr:rowOff>
    </xdr:from>
    <xdr:to>
      <xdr:col>15</xdr:col>
      <xdr:colOff>909743</xdr:colOff>
      <xdr:row>54</xdr:row>
      <xdr:rowOff>16934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36393A-AC63-5AEC-B001-2BC371ADB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1991206</xdr:colOff>
      <xdr:row>38</xdr:row>
      <xdr:rowOff>81586</xdr:rowOff>
    </xdr:from>
    <xdr:to>
      <xdr:col>11</xdr:col>
      <xdr:colOff>838200</xdr:colOff>
      <xdr:row>53</xdr:row>
      <xdr:rowOff>84665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E06EAC-ACC1-45E1-AF54-A047A876C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558800</xdr:colOff>
      <xdr:row>38</xdr:row>
      <xdr:rowOff>25400</xdr:rowOff>
    </xdr:from>
    <xdr:to>
      <xdr:col>7</xdr:col>
      <xdr:colOff>1820333</xdr:colOff>
      <xdr:row>53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FAC46D1-3214-4939-8A65-C03132DA9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406400</xdr:colOff>
      <xdr:row>57</xdr:row>
      <xdr:rowOff>110067</xdr:rowOff>
    </xdr:from>
    <xdr:to>
      <xdr:col>8</xdr:col>
      <xdr:colOff>1007534</xdr:colOff>
      <xdr:row>82</xdr:row>
      <xdr:rowOff>59266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9C7CA9-E6AC-44FC-BCEC-3E1902EDC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1159931</xdr:colOff>
      <xdr:row>56</xdr:row>
      <xdr:rowOff>33867</xdr:rowOff>
    </xdr:from>
    <xdr:to>
      <xdr:col>16</xdr:col>
      <xdr:colOff>253999</xdr:colOff>
      <xdr:row>82</xdr:row>
      <xdr:rowOff>110067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0E7706-B187-46AD-9C06-7F55479F3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JTABA SAFARI" id="{F4F9D196-2637-49A2-8D72-C6ABDD330F4E}" userId="S::mojtaba_safari@cmu.ac.th::f2c62d51-fea2-4524-9c68-289eeb2c245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0" dT="2024-12-11T05:26:53.50" personId="{F4F9D196-2637-49A2-8D72-C6ABDD330F4E}" id="{27ACF675-9812-48AF-A33B-C2317229CBA2}">
    <text xml:space="preserve">Shows how much of the max supply is locked up post-TGE, reflecting potential long-term stability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E52" dT="2024-12-11T05:40:55.16" personId="{F4F9D196-2637-49A2-8D72-C6ABDD330F4E}" id="{CE922A06-9DA4-4AD6-89E9-1463B2663029}">
    <text xml:space="preserve">WAUT is a measure of how gradually or abruptly tokens unlock over time. </text>
  </threadedComment>
  <threadedComment ref="AE52" dT="2024-12-11T05:41:22.96" personId="{F4F9D196-2637-49A2-8D72-C6ABDD330F4E}" id="{E33FD784-505C-4365-8568-51708D82E4B3}" parentId="{CE922A06-9DA4-4AD6-89E9-1463B2663029}">
    <text xml:space="preserve">A WAUT of 6 months means tokens are, on average, released 6 months after the TGE. 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8" dT="2024-12-17T04:30:59.92" personId="{F4F9D196-2637-49A2-8D72-C6ABDD330F4E}" id="{28009BB9-A881-4ABB-826E-A8624F633DCD}">
    <text xml:space="preserve">Shows how much of the max supply is locked up post-TGE, reflecting potential long-term stability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92"/>
  <sheetViews>
    <sheetView topLeftCell="C1" zoomScale="130" zoomScaleNormal="130" workbookViewId="0">
      <selection activeCell="E12" sqref="E12"/>
    </sheetView>
  </sheetViews>
  <sheetFormatPr defaultRowHeight="13.8" x14ac:dyDescent="0.25"/>
  <cols>
    <col min="1" max="1" width="24" customWidth="1"/>
    <col min="2" max="2" width="20" customWidth="1"/>
    <col min="3" max="3" width="19" customWidth="1"/>
    <col min="4" max="4" width="21" customWidth="1"/>
    <col min="5" max="5" width="20" customWidth="1"/>
    <col min="6" max="6" width="22" customWidth="1"/>
    <col min="7" max="8" width="20" customWidth="1"/>
    <col min="9" max="9" width="26.5" bestFit="1" customWidth="1"/>
    <col min="10" max="10" width="16.59765625" bestFit="1" customWidth="1"/>
    <col min="11" max="11" width="20" customWidth="1"/>
    <col min="12" max="12" width="36" bestFit="1" customWidth="1"/>
    <col min="13" max="13" width="13.5" customWidth="1"/>
    <col min="14" max="14" width="40.8984375" bestFit="1" customWidth="1"/>
    <col min="15" max="15" width="19" customWidth="1"/>
    <col min="16" max="16" width="23" customWidth="1"/>
    <col min="17" max="17" width="20" customWidth="1"/>
    <col min="18" max="18" width="22" customWidth="1"/>
    <col min="19" max="19" width="19" customWidth="1"/>
    <col min="20" max="20" width="21" customWidth="1"/>
    <col min="21" max="21" width="19" customWidth="1"/>
    <col min="22" max="23" width="20" customWidth="1"/>
    <col min="24" max="24" width="23.19921875" style="3" bestFit="1" customWidth="1"/>
    <col min="25" max="25" width="18.19921875" style="4" bestFit="1" customWidth="1"/>
    <col min="26" max="26" width="23.59765625" style="4" bestFit="1" customWidth="1"/>
    <col min="27" max="27" width="24.796875" customWidth="1"/>
    <col min="28" max="28" width="17.69921875" style="4" bestFit="1" customWidth="1"/>
    <col min="29" max="29" width="25.296875" style="3" bestFit="1" customWidth="1"/>
    <col min="30" max="30" width="31.69921875" bestFit="1" customWidth="1"/>
  </cols>
  <sheetData>
    <row r="1" spans="1:24" ht="17.399999999999999" x14ac:dyDescent="0.3">
      <c r="A1" s="58" t="s">
        <v>0</v>
      </c>
      <c r="B1" s="59"/>
      <c r="D1" s="60" t="s">
        <v>1</v>
      </c>
      <c r="E1" s="59"/>
      <c r="F1" s="59"/>
      <c r="G1" s="59"/>
      <c r="H1" s="59"/>
      <c r="I1" s="59"/>
      <c r="K1" s="60" t="s">
        <v>2</v>
      </c>
      <c r="L1" s="60"/>
      <c r="M1" s="60"/>
      <c r="N1" s="60"/>
    </row>
    <row r="2" spans="1:24" x14ac:dyDescent="0.25">
      <c r="A2" s="2" t="s">
        <v>3</v>
      </c>
      <c r="B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s="10"/>
      <c r="K2" t="s">
        <v>5</v>
      </c>
      <c r="L2" t="s">
        <v>11</v>
      </c>
      <c r="M2" t="s">
        <v>12</v>
      </c>
      <c r="N2" t="s">
        <v>13</v>
      </c>
    </row>
    <row r="3" spans="1:24" x14ac:dyDescent="0.25">
      <c r="A3" s="2" t="s">
        <v>14</v>
      </c>
      <c r="B3" t="s">
        <v>15</v>
      </c>
      <c r="D3" t="s">
        <v>16</v>
      </c>
      <c r="E3" s="25">
        <v>20000000</v>
      </c>
      <c r="F3" t="s">
        <v>17</v>
      </c>
      <c r="G3">
        <v>0.03</v>
      </c>
      <c r="H3" t="s">
        <v>18</v>
      </c>
      <c r="I3" s="16">
        <v>600000</v>
      </c>
      <c r="J3" s="11"/>
      <c r="K3" t="s">
        <v>16</v>
      </c>
      <c r="L3">
        <v>600000</v>
      </c>
      <c r="M3">
        <v>1635000</v>
      </c>
      <c r="N3">
        <v>15000000</v>
      </c>
    </row>
    <row r="4" spans="1:24" x14ac:dyDescent="0.25">
      <c r="A4" s="2" t="s">
        <v>19</v>
      </c>
      <c r="B4" t="s">
        <v>20</v>
      </c>
      <c r="D4" t="s">
        <v>76</v>
      </c>
      <c r="E4" s="25">
        <v>50000000</v>
      </c>
      <c r="F4" t="s">
        <v>77</v>
      </c>
      <c r="G4">
        <v>0.06</v>
      </c>
      <c r="H4" t="s">
        <v>78</v>
      </c>
      <c r="I4" s="16">
        <v>3000000</v>
      </c>
      <c r="J4" s="11"/>
      <c r="K4" t="s">
        <v>76</v>
      </c>
      <c r="L4">
        <v>4200000</v>
      </c>
      <c r="M4">
        <v>3270000</v>
      </c>
      <c r="N4">
        <v>30000000</v>
      </c>
    </row>
    <row r="5" spans="1:24" x14ac:dyDescent="0.25">
      <c r="A5" s="2" t="s">
        <v>21</v>
      </c>
      <c r="B5">
        <v>0.12</v>
      </c>
      <c r="D5" t="s">
        <v>79</v>
      </c>
      <c r="E5" s="25">
        <v>50000000</v>
      </c>
      <c r="F5" t="s">
        <v>77</v>
      </c>
      <c r="G5">
        <v>0.09</v>
      </c>
      <c r="H5" t="s">
        <v>80</v>
      </c>
      <c r="I5" s="16">
        <v>4500000</v>
      </c>
      <c r="J5" s="11"/>
      <c r="K5" t="s">
        <v>79</v>
      </c>
      <c r="L5">
        <v>10800000</v>
      </c>
      <c r="M5">
        <v>4905000</v>
      </c>
      <c r="N5">
        <v>45000000</v>
      </c>
    </row>
    <row r="6" spans="1:24" x14ac:dyDescent="0.25">
      <c r="A6" s="2" t="s">
        <v>22</v>
      </c>
      <c r="B6" s="25">
        <v>500000000</v>
      </c>
      <c r="D6" t="s">
        <v>81</v>
      </c>
      <c r="E6" s="25">
        <v>50000000</v>
      </c>
      <c r="F6" t="s">
        <v>77</v>
      </c>
      <c r="G6">
        <v>0.12</v>
      </c>
      <c r="H6" t="s">
        <v>82</v>
      </c>
      <c r="I6" s="16">
        <v>6000000</v>
      </c>
      <c r="J6" s="11"/>
      <c r="K6" t="s">
        <v>81</v>
      </c>
      <c r="L6">
        <v>20400000</v>
      </c>
      <c r="M6">
        <v>6540000</v>
      </c>
      <c r="N6">
        <v>60000000</v>
      </c>
    </row>
    <row r="7" spans="1:24" x14ac:dyDescent="0.25">
      <c r="D7" t="s">
        <v>83</v>
      </c>
      <c r="I7" s="15"/>
      <c r="J7" s="12"/>
      <c r="K7" s="12"/>
      <c r="L7" s="8"/>
      <c r="M7" s="8"/>
    </row>
    <row r="8" spans="1:24" ht="17.399999999999999" x14ac:dyDescent="0.3">
      <c r="A8" s="61" t="s">
        <v>23</v>
      </c>
      <c r="B8" s="61"/>
      <c r="C8" s="61"/>
      <c r="D8" s="61"/>
      <c r="E8" s="61"/>
      <c r="F8" s="61"/>
      <c r="G8" s="61"/>
      <c r="H8" s="29"/>
      <c r="K8" s="10"/>
    </row>
    <row r="9" spans="1:24" x14ac:dyDescent="0.25">
      <c r="A9" s="9" t="s">
        <v>85</v>
      </c>
      <c r="B9" s="9" t="s">
        <v>6</v>
      </c>
      <c r="C9" s="9" t="s">
        <v>7</v>
      </c>
      <c r="D9" s="9" t="s">
        <v>84</v>
      </c>
      <c r="E9" s="9" t="s">
        <v>86</v>
      </c>
      <c r="F9" s="9" t="s">
        <v>87</v>
      </c>
      <c r="G9" s="9" t="s">
        <v>88</v>
      </c>
    </row>
    <row r="10" spans="1:24" x14ac:dyDescent="0.25">
      <c r="A10" t="s">
        <v>24</v>
      </c>
      <c r="B10" s="25">
        <v>20000000</v>
      </c>
      <c r="C10" s="3">
        <v>0.04</v>
      </c>
      <c r="D10" s="3">
        <v>0.05</v>
      </c>
      <c r="E10" s="25">
        <v>1000000</v>
      </c>
      <c r="F10">
        <v>6</v>
      </c>
      <c r="G10">
        <v>18</v>
      </c>
      <c r="I10" s="12"/>
      <c r="J10" s="12"/>
    </row>
    <row r="11" spans="1:24" x14ac:dyDescent="0.25">
      <c r="A11" t="s">
        <v>25</v>
      </c>
      <c r="B11" s="25">
        <v>50000000</v>
      </c>
      <c r="C11" s="3">
        <v>0.1</v>
      </c>
      <c r="D11" s="3">
        <v>0.05</v>
      </c>
      <c r="E11" s="25">
        <v>2500000</v>
      </c>
      <c r="F11">
        <v>6</v>
      </c>
      <c r="G11">
        <v>12</v>
      </c>
      <c r="I11" s="50"/>
      <c r="J11" s="11"/>
    </row>
    <row r="12" spans="1:24" x14ac:dyDescent="0.25">
      <c r="A12" t="s">
        <v>26</v>
      </c>
      <c r="B12" s="25">
        <v>50000000</v>
      </c>
      <c r="C12" s="3">
        <v>0.1</v>
      </c>
      <c r="D12" s="3">
        <v>0.05</v>
      </c>
      <c r="E12" s="25">
        <v>2500000</v>
      </c>
      <c r="F12">
        <v>4</v>
      </c>
      <c r="G12">
        <v>12</v>
      </c>
    </row>
    <row r="13" spans="1:24" x14ac:dyDescent="0.25">
      <c r="A13" t="s">
        <v>27</v>
      </c>
      <c r="B13" s="25">
        <v>50000000</v>
      </c>
      <c r="C13" s="3">
        <v>0.1</v>
      </c>
      <c r="D13" s="3">
        <v>0.5</v>
      </c>
      <c r="E13" s="25">
        <v>25000000</v>
      </c>
      <c r="F13">
        <v>0</v>
      </c>
      <c r="G13">
        <v>3</v>
      </c>
    </row>
    <row r="14" spans="1:24" x14ac:dyDescent="0.25">
      <c r="A14" t="s">
        <v>28</v>
      </c>
      <c r="B14" s="25">
        <v>40000000</v>
      </c>
      <c r="C14" s="3">
        <v>0.08</v>
      </c>
      <c r="D14" s="3">
        <v>0</v>
      </c>
      <c r="E14" s="25">
        <v>0</v>
      </c>
      <c r="F14">
        <v>12</v>
      </c>
      <c r="G14">
        <v>12</v>
      </c>
    </row>
    <row r="15" spans="1:24" x14ac:dyDescent="0.25">
      <c r="A15" t="s">
        <v>29</v>
      </c>
      <c r="B15" s="25">
        <v>10000000</v>
      </c>
      <c r="C15" s="3">
        <v>0.02</v>
      </c>
      <c r="D15" s="3">
        <v>0</v>
      </c>
      <c r="E15" s="25">
        <v>0</v>
      </c>
      <c r="F15">
        <v>6</v>
      </c>
      <c r="G15">
        <v>12</v>
      </c>
    </row>
    <row r="16" spans="1:24" x14ac:dyDescent="0.25">
      <c r="A16" t="s">
        <v>30</v>
      </c>
      <c r="B16" s="25">
        <v>120000000</v>
      </c>
      <c r="C16" s="3">
        <v>0.24</v>
      </c>
      <c r="D16" s="3">
        <v>0.05</v>
      </c>
      <c r="E16" s="25">
        <v>6000000</v>
      </c>
      <c r="F16">
        <v>1</v>
      </c>
      <c r="G16">
        <v>48</v>
      </c>
      <c r="X16" cm="1">
        <f t="array" aca="1" ref="X16" ca="1">INDEX(A:A, MATCH(TRUE, X:X&gt;=50%, 0))</f>
        <v>0</v>
      </c>
    </row>
    <row r="17" spans="1:31" x14ac:dyDescent="0.25">
      <c r="A17" t="s">
        <v>31</v>
      </c>
      <c r="B17" s="25">
        <v>75000000</v>
      </c>
      <c r="C17" s="3">
        <v>0.15</v>
      </c>
      <c r="D17" s="3">
        <v>0.3</v>
      </c>
      <c r="E17" s="25">
        <v>15000000</v>
      </c>
      <c r="F17">
        <v>0</v>
      </c>
      <c r="G17">
        <v>12</v>
      </c>
    </row>
    <row r="18" spans="1:31" x14ac:dyDescent="0.25">
      <c r="A18" t="s">
        <v>32</v>
      </c>
      <c r="B18" s="25">
        <v>50000000</v>
      </c>
      <c r="C18" s="3">
        <v>0.1</v>
      </c>
      <c r="D18" s="3">
        <v>0.05</v>
      </c>
      <c r="E18" s="25">
        <v>2500000</v>
      </c>
      <c r="F18">
        <v>6</v>
      </c>
      <c r="G18">
        <v>18</v>
      </c>
    </row>
    <row r="19" spans="1:31" x14ac:dyDescent="0.25">
      <c r="A19" t="s">
        <v>33</v>
      </c>
      <c r="B19" s="25">
        <v>35000000</v>
      </c>
      <c r="C19" s="3">
        <v>7.0000000000000007E-2</v>
      </c>
      <c r="D19" s="3">
        <v>0</v>
      </c>
      <c r="E19" s="25">
        <v>0</v>
      </c>
      <c r="F19">
        <v>6</v>
      </c>
      <c r="G19">
        <v>18</v>
      </c>
    </row>
    <row r="20" spans="1:31" x14ac:dyDescent="0.25">
      <c r="D20" s="14"/>
      <c r="E20" s="7"/>
    </row>
    <row r="21" spans="1:31" ht="17.399999999999999" x14ac:dyDescent="0.3">
      <c r="A21" s="60" t="s">
        <v>34</v>
      </c>
      <c r="B21" s="59"/>
      <c r="C21" s="59"/>
      <c r="D21" s="59"/>
      <c r="E21" s="59"/>
      <c r="F21" s="59"/>
      <c r="G21" s="60"/>
      <c r="H21" s="59"/>
      <c r="I21" s="59"/>
      <c r="J21" s="59"/>
      <c r="K21" s="59"/>
      <c r="L21" s="59"/>
      <c r="M21" s="60"/>
      <c r="N21" s="59"/>
      <c r="O21" s="59"/>
      <c r="P21" s="59"/>
      <c r="Q21" s="59"/>
      <c r="R21" s="59"/>
      <c r="S21" s="60"/>
      <c r="T21" s="59"/>
      <c r="U21" s="59"/>
      <c r="V21" s="59"/>
      <c r="W21" s="59"/>
    </row>
    <row r="22" spans="1:31" x14ac:dyDescent="0.25">
      <c r="A22" t="s">
        <v>35</v>
      </c>
      <c r="B22" s="41" t="s">
        <v>36</v>
      </c>
      <c r="C22" s="41" t="s">
        <v>37</v>
      </c>
      <c r="D22" s="41" t="s">
        <v>38</v>
      </c>
      <c r="E22" s="41" t="s">
        <v>39</v>
      </c>
      <c r="F22" s="41" t="s">
        <v>40</v>
      </c>
      <c r="G22" s="41" t="s">
        <v>41</v>
      </c>
      <c r="H22" s="41" t="s">
        <v>42</v>
      </c>
      <c r="I22" s="41" t="s">
        <v>43</v>
      </c>
      <c r="J22" s="41" t="s">
        <v>44</v>
      </c>
      <c r="K22" s="41" t="s">
        <v>45</v>
      </c>
      <c r="L22" s="41" t="s">
        <v>46</v>
      </c>
      <c r="M22" s="41" t="s">
        <v>47</v>
      </c>
      <c r="N22" s="41" t="s">
        <v>48</v>
      </c>
      <c r="O22" s="41" t="s">
        <v>49</v>
      </c>
      <c r="P22" s="41" t="s">
        <v>50</v>
      </c>
      <c r="Q22" s="41" t="s">
        <v>51</v>
      </c>
      <c r="R22" s="41" t="s">
        <v>52</v>
      </c>
      <c r="S22" s="41" t="s">
        <v>53</v>
      </c>
      <c r="T22" s="41" t="s">
        <v>54</v>
      </c>
      <c r="U22" s="41" t="s">
        <v>55</v>
      </c>
      <c r="V22" s="41" t="s">
        <v>56</v>
      </c>
      <c r="W22" s="41" t="s">
        <v>57</v>
      </c>
      <c r="X22" s="48" t="s">
        <v>70</v>
      </c>
      <c r="Y22" s="49" t="s">
        <v>71</v>
      </c>
      <c r="Z22" s="49" t="s">
        <v>75</v>
      </c>
      <c r="AA22" s="42" t="s">
        <v>72</v>
      </c>
      <c r="AB22" s="49" t="s">
        <v>73</v>
      </c>
      <c r="AC22" s="48" t="s">
        <v>74</v>
      </c>
    </row>
    <row r="23" spans="1:31" x14ac:dyDescent="0.25">
      <c r="A23" s="37">
        <v>45659</v>
      </c>
      <c r="B23" s="41">
        <v>1000000</v>
      </c>
      <c r="C23" s="41">
        <v>0</v>
      </c>
      <c r="D23" s="41">
        <v>2500000</v>
      </c>
      <c r="E23" s="41">
        <v>0</v>
      </c>
      <c r="F23" s="41">
        <v>2500000</v>
      </c>
      <c r="G23" s="41">
        <v>0</v>
      </c>
      <c r="H23" s="41">
        <v>25277777.77777778</v>
      </c>
      <c r="I23" s="41">
        <v>277777.77777777781</v>
      </c>
      <c r="J23" s="41">
        <v>0</v>
      </c>
      <c r="K23" s="41">
        <v>0</v>
      </c>
      <c r="L23" s="41">
        <v>0</v>
      </c>
      <c r="M23" s="41">
        <v>0</v>
      </c>
      <c r="N23" s="41">
        <v>6000000</v>
      </c>
      <c r="O23" s="41">
        <v>0</v>
      </c>
      <c r="P23" s="41">
        <v>15166666.66666667</v>
      </c>
      <c r="Q23" s="41">
        <v>166666.66666666669</v>
      </c>
      <c r="R23" s="41">
        <v>2500000</v>
      </c>
      <c r="S23" s="41">
        <v>0</v>
      </c>
      <c r="T23" s="41">
        <v>0</v>
      </c>
      <c r="U23" s="41">
        <v>0</v>
      </c>
      <c r="V23" s="41">
        <v>54944444.44444444</v>
      </c>
      <c r="W23" s="41">
        <v>444444.44444444438</v>
      </c>
      <c r="X23" s="38">
        <f>V23/$B$6</f>
        <v>0.10988888888888888</v>
      </c>
      <c r="Y23" s="39">
        <f t="shared" ref="Y23:Y86" si="0">W23/$B$6</f>
        <v>8.8888888888888871E-4</v>
      </c>
      <c r="Z23" s="39"/>
      <c r="AA23" s="41">
        <f t="shared" ref="AA23:AA86" si="1">$B$6-V23</f>
        <v>445055555.55555558</v>
      </c>
      <c r="AB23" s="39">
        <f t="shared" ref="AB23:AB86" si="2">W23/AA23</f>
        <v>9.986268880289599E-4</v>
      </c>
      <c r="AC23" s="38">
        <f xml:space="preserve"> P23/(V23-P23)</f>
        <v>0.38128491620111749</v>
      </c>
      <c r="AD23" s="3"/>
    </row>
    <row r="24" spans="1:31" x14ac:dyDescent="0.25">
      <c r="A24" s="37">
        <v>45660</v>
      </c>
      <c r="B24" s="41">
        <v>1000000</v>
      </c>
      <c r="C24" s="41">
        <v>0</v>
      </c>
      <c r="D24" s="41">
        <v>2500000</v>
      </c>
      <c r="E24" s="41">
        <v>0</v>
      </c>
      <c r="F24" s="41">
        <v>2500000</v>
      </c>
      <c r="G24" s="41">
        <v>0</v>
      </c>
      <c r="H24" s="41">
        <v>25555555.555555549</v>
      </c>
      <c r="I24" s="41">
        <v>277777.77777777781</v>
      </c>
      <c r="J24" s="41">
        <v>0</v>
      </c>
      <c r="K24" s="41">
        <v>0</v>
      </c>
      <c r="L24" s="41">
        <v>0</v>
      </c>
      <c r="M24" s="41">
        <v>0</v>
      </c>
      <c r="N24" s="41">
        <v>6000000</v>
      </c>
      <c r="O24" s="41">
        <v>0</v>
      </c>
      <c r="P24" s="41">
        <v>15333333.33333333</v>
      </c>
      <c r="Q24" s="41">
        <v>166666.66666666669</v>
      </c>
      <c r="R24" s="41">
        <v>2500000</v>
      </c>
      <c r="S24" s="41">
        <v>0</v>
      </c>
      <c r="T24" s="41">
        <v>0</v>
      </c>
      <c r="U24" s="41">
        <v>0</v>
      </c>
      <c r="V24" s="41">
        <v>55388888.888888881</v>
      </c>
      <c r="W24" s="41">
        <v>444444.44444444438</v>
      </c>
      <c r="X24" s="38">
        <f t="shared" ref="X24:X86" si="3">V24/$B$6</f>
        <v>0.11077777777777777</v>
      </c>
      <c r="Y24" s="39">
        <f t="shared" si="0"/>
        <v>8.8888888888888871E-4</v>
      </c>
      <c r="Z24" s="39">
        <f t="shared" ref="Z24:Z87" si="4">W24/V23</f>
        <v>8.0889787664307367E-3</v>
      </c>
      <c r="AA24" s="41">
        <f t="shared" si="1"/>
        <v>444611111.1111111</v>
      </c>
      <c r="AB24" s="39">
        <f t="shared" si="2"/>
        <v>9.9962514057228523E-4</v>
      </c>
      <c r="AC24" s="38">
        <f t="shared" ref="AC23:AC86" si="5" xml:space="preserve"> P24/(V24-P24)</f>
        <v>0.38280166435506235</v>
      </c>
      <c r="AD24" s="3"/>
    </row>
    <row r="25" spans="1:31" x14ac:dyDescent="0.25">
      <c r="A25" s="37">
        <v>45661</v>
      </c>
      <c r="B25" s="41">
        <v>1000000</v>
      </c>
      <c r="C25" s="41">
        <v>0</v>
      </c>
      <c r="D25" s="41">
        <v>2500000</v>
      </c>
      <c r="E25" s="41">
        <v>0</v>
      </c>
      <c r="F25" s="41">
        <v>2500000</v>
      </c>
      <c r="G25" s="41">
        <v>0</v>
      </c>
      <c r="H25" s="41">
        <v>25833333.333333328</v>
      </c>
      <c r="I25" s="41">
        <v>277777.77777777781</v>
      </c>
      <c r="J25" s="41">
        <v>0</v>
      </c>
      <c r="K25" s="41">
        <v>0</v>
      </c>
      <c r="L25" s="41">
        <v>0</v>
      </c>
      <c r="M25" s="41">
        <v>0</v>
      </c>
      <c r="N25" s="41">
        <v>6000000</v>
      </c>
      <c r="O25" s="41">
        <v>0</v>
      </c>
      <c r="P25" s="41">
        <v>15500000</v>
      </c>
      <c r="Q25" s="41">
        <v>166666.66666666669</v>
      </c>
      <c r="R25" s="41">
        <v>2500000</v>
      </c>
      <c r="S25" s="41">
        <v>0</v>
      </c>
      <c r="T25" s="41">
        <v>0</v>
      </c>
      <c r="U25" s="41">
        <v>0</v>
      </c>
      <c r="V25" s="41">
        <v>55833333.333333328</v>
      </c>
      <c r="W25" s="41">
        <v>444444.44444444438</v>
      </c>
      <c r="X25" s="38">
        <f t="shared" si="3"/>
        <v>0.11166666666666665</v>
      </c>
      <c r="Y25" s="39">
        <f t="shared" si="0"/>
        <v>8.8888888888888871E-4</v>
      </c>
      <c r="Z25" s="39">
        <f t="shared" si="4"/>
        <v>8.0240722166499499E-3</v>
      </c>
      <c r="AA25" s="41">
        <f t="shared" si="1"/>
        <v>444166666.66666669</v>
      </c>
      <c r="AB25" s="39">
        <f t="shared" si="2"/>
        <v>1.0006253908692931E-3</v>
      </c>
      <c r="AC25" s="38">
        <f t="shared" si="5"/>
        <v>0.38429752066115708</v>
      </c>
      <c r="AD25" s="3"/>
    </row>
    <row r="26" spans="1:31" x14ac:dyDescent="0.25">
      <c r="A26" s="37">
        <v>45662</v>
      </c>
      <c r="B26" s="41">
        <v>1000000</v>
      </c>
      <c r="C26" s="41">
        <v>0</v>
      </c>
      <c r="D26" s="41">
        <v>2500000</v>
      </c>
      <c r="E26" s="41">
        <v>0</v>
      </c>
      <c r="F26" s="41">
        <v>2500000</v>
      </c>
      <c r="G26" s="41">
        <v>0</v>
      </c>
      <c r="H26" s="41">
        <v>26111111.111111101</v>
      </c>
      <c r="I26" s="41">
        <v>277777.77777777781</v>
      </c>
      <c r="J26" s="41">
        <v>0</v>
      </c>
      <c r="K26" s="41">
        <v>0</v>
      </c>
      <c r="L26" s="41">
        <v>0</v>
      </c>
      <c r="M26" s="41">
        <v>0</v>
      </c>
      <c r="N26" s="41">
        <v>6000000</v>
      </c>
      <c r="O26" s="41">
        <v>0</v>
      </c>
      <c r="P26" s="41">
        <v>15666666.66666666</v>
      </c>
      <c r="Q26" s="41">
        <v>166666.66666666669</v>
      </c>
      <c r="R26" s="41">
        <v>2500000</v>
      </c>
      <c r="S26" s="41">
        <v>0</v>
      </c>
      <c r="T26" s="41">
        <v>0</v>
      </c>
      <c r="U26" s="41">
        <v>0</v>
      </c>
      <c r="V26" s="41">
        <v>56277777.777777769</v>
      </c>
      <c r="W26" s="41">
        <v>444444.44444444438</v>
      </c>
      <c r="X26" s="38">
        <f t="shared" si="3"/>
        <v>0.11255555555555553</v>
      </c>
      <c r="Y26" s="39">
        <f t="shared" si="0"/>
        <v>8.8888888888888871E-4</v>
      </c>
      <c r="Z26" s="39">
        <f t="shared" si="4"/>
        <v>7.9601990049751239E-3</v>
      </c>
      <c r="AA26" s="41">
        <f t="shared" si="1"/>
        <v>443722222.22222221</v>
      </c>
      <c r="AB26" s="39">
        <f t="shared" si="2"/>
        <v>1.0016276449229997E-3</v>
      </c>
      <c r="AC26" s="38">
        <f t="shared" si="5"/>
        <v>0.38577291381668938</v>
      </c>
      <c r="AD26" s="3"/>
    </row>
    <row r="27" spans="1:31" x14ac:dyDescent="0.25">
      <c r="A27" s="37">
        <v>45663</v>
      </c>
      <c r="B27" s="41">
        <v>1000000</v>
      </c>
      <c r="C27" s="41">
        <v>0</v>
      </c>
      <c r="D27" s="41">
        <v>2500000</v>
      </c>
      <c r="E27" s="41">
        <v>0</v>
      </c>
      <c r="F27" s="41">
        <v>2500000</v>
      </c>
      <c r="G27" s="41">
        <v>0</v>
      </c>
      <c r="H27" s="41">
        <v>26388888.888888881</v>
      </c>
      <c r="I27" s="41">
        <v>277777.77777777781</v>
      </c>
      <c r="J27" s="41">
        <v>0</v>
      </c>
      <c r="K27" s="41">
        <v>0</v>
      </c>
      <c r="L27" s="41">
        <v>0</v>
      </c>
      <c r="M27" s="41">
        <v>0</v>
      </c>
      <c r="N27" s="41">
        <v>6000000</v>
      </c>
      <c r="O27" s="41">
        <v>0</v>
      </c>
      <c r="P27" s="41">
        <v>15833333.33333333</v>
      </c>
      <c r="Q27" s="41">
        <v>166666.66666666669</v>
      </c>
      <c r="R27" s="41">
        <v>2500000</v>
      </c>
      <c r="S27" s="41">
        <v>0</v>
      </c>
      <c r="T27" s="41">
        <v>0</v>
      </c>
      <c r="U27" s="41">
        <v>0</v>
      </c>
      <c r="V27" s="41">
        <v>56722222.222222209</v>
      </c>
      <c r="W27" s="41">
        <v>444444.44444444438</v>
      </c>
      <c r="X27" s="38">
        <f t="shared" si="3"/>
        <v>0.11344444444444442</v>
      </c>
      <c r="Y27" s="39">
        <f t="shared" si="0"/>
        <v>8.8888888888888871E-4</v>
      </c>
      <c r="Z27" s="39">
        <f t="shared" si="4"/>
        <v>7.8973346495557744E-3</v>
      </c>
      <c r="AA27" s="41">
        <f t="shared" si="1"/>
        <v>443277777.77777779</v>
      </c>
      <c r="AB27" s="39">
        <f t="shared" si="2"/>
        <v>1.002631908760496E-3</v>
      </c>
      <c r="AC27" s="38">
        <f t="shared" si="5"/>
        <v>0.38722826086956524</v>
      </c>
      <c r="AD27" s="3"/>
    </row>
    <row r="28" spans="1:31" x14ac:dyDescent="0.25">
      <c r="A28" s="37">
        <v>45664</v>
      </c>
      <c r="B28" s="41">
        <v>1000000</v>
      </c>
      <c r="C28" s="41">
        <v>0</v>
      </c>
      <c r="D28" s="41">
        <v>2500000</v>
      </c>
      <c r="E28" s="41">
        <v>0</v>
      </c>
      <c r="F28" s="41">
        <v>2500000</v>
      </c>
      <c r="G28" s="41">
        <v>0</v>
      </c>
      <c r="H28" s="41">
        <v>26666666.66666666</v>
      </c>
      <c r="I28" s="41">
        <v>277777.77777777781</v>
      </c>
      <c r="J28" s="41">
        <v>0</v>
      </c>
      <c r="K28" s="41">
        <v>0</v>
      </c>
      <c r="L28" s="41">
        <v>0</v>
      </c>
      <c r="M28" s="41">
        <v>0</v>
      </c>
      <c r="N28" s="41">
        <v>6000000</v>
      </c>
      <c r="O28" s="41">
        <v>0</v>
      </c>
      <c r="P28" s="41">
        <v>16000000</v>
      </c>
      <c r="Q28" s="41">
        <v>166666.66666666669</v>
      </c>
      <c r="R28" s="41">
        <v>2500000</v>
      </c>
      <c r="S28" s="41">
        <v>0</v>
      </c>
      <c r="T28" s="41">
        <v>0</v>
      </c>
      <c r="U28" s="41">
        <v>0</v>
      </c>
      <c r="V28" s="41">
        <v>57166666.666666657</v>
      </c>
      <c r="W28" s="41">
        <v>444444.44444444438</v>
      </c>
      <c r="X28" s="38">
        <f t="shared" si="3"/>
        <v>0.11433333333333331</v>
      </c>
      <c r="Y28" s="39">
        <f t="shared" si="0"/>
        <v>8.8888888888888871E-4</v>
      </c>
      <c r="Z28" s="39">
        <f t="shared" si="4"/>
        <v>7.8354554358472089E-3</v>
      </c>
      <c r="AA28" s="41">
        <f t="shared" si="1"/>
        <v>442833333.33333337</v>
      </c>
      <c r="AB28" s="39">
        <f t="shared" si="2"/>
        <v>1.0036381884330696E-3</v>
      </c>
      <c r="AC28" s="38">
        <f t="shared" si="5"/>
        <v>0.38866396761133615</v>
      </c>
      <c r="AD28" s="3"/>
    </row>
    <row r="29" spans="1:31" x14ac:dyDescent="0.25">
      <c r="A29" s="37">
        <v>45665</v>
      </c>
      <c r="B29" s="41">
        <v>1000000</v>
      </c>
      <c r="C29" s="41">
        <v>0</v>
      </c>
      <c r="D29" s="41">
        <v>2500000</v>
      </c>
      <c r="E29" s="41">
        <v>0</v>
      </c>
      <c r="F29" s="41">
        <v>2500000</v>
      </c>
      <c r="G29" s="41">
        <v>0</v>
      </c>
      <c r="H29" s="41">
        <v>26944444.444444429</v>
      </c>
      <c r="I29" s="41">
        <v>277777.77777777781</v>
      </c>
      <c r="J29" s="41">
        <v>0</v>
      </c>
      <c r="K29" s="41">
        <v>0</v>
      </c>
      <c r="L29" s="41">
        <v>0</v>
      </c>
      <c r="M29" s="41">
        <v>0</v>
      </c>
      <c r="N29" s="41">
        <v>6000000</v>
      </c>
      <c r="O29" s="41">
        <v>0</v>
      </c>
      <c r="P29" s="41">
        <v>16166666.66666666</v>
      </c>
      <c r="Q29" s="41">
        <v>166666.66666666669</v>
      </c>
      <c r="R29" s="41">
        <v>2500000</v>
      </c>
      <c r="S29" s="41">
        <v>0</v>
      </c>
      <c r="T29" s="41">
        <v>0</v>
      </c>
      <c r="U29" s="41">
        <v>0</v>
      </c>
      <c r="V29" s="41">
        <v>57611111.111111097</v>
      </c>
      <c r="W29" s="41">
        <v>444444.44444444438</v>
      </c>
      <c r="X29" s="38">
        <f t="shared" si="3"/>
        <v>0.1152222222222222</v>
      </c>
      <c r="Y29" s="39">
        <f t="shared" si="0"/>
        <v>8.8888888888888871E-4</v>
      </c>
      <c r="Z29" s="39">
        <f t="shared" si="4"/>
        <v>7.7745383867832852E-3</v>
      </c>
      <c r="AA29" s="41">
        <f t="shared" si="1"/>
        <v>442388888.8888889</v>
      </c>
      <c r="AB29" s="39">
        <f t="shared" si="2"/>
        <v>1.0046464900163254E-3</v>
      </c>
      <c r="AC29" s="38">
        <f t="shared" si="5"/>
        <v>0.39008042895442357</v>
      </c>
      <c r="AD29" s="3"/>
      <c r="AE29" s="5"/>
    </row>
    <row r="30" spans="1:31" x14ac:dyDescent="0.25">
      <c r="A30" s="37">
        <v>45666</v>
      </c>
      <c r="B30" s="41">
        <v>1000000</v>
      </c>
      <c r="C30" s="41">
        <v>0</v>
      </c>
      <c r="D30" s="41">
        <v>2500000</v>
      </c>
      <c r="E30" s="41">
        <v>0</v>
      </c>
      <c r="F30" s="41">
        <v>2500000</v>
      </c>
      <c r="G30" s="41">
        <v>0</v>
      </c>
      <c r="H30" s="41">
        <v>27222222.222222209</v>
      </c>
      <c r="I30" s="41">
        <v>277777.77777777781</v>
      </c>
      <c r="J30" s="41">
        <v>0</v>
      </c>
      <c r="K30" s="41">
        <v>0</v>
      </c>
      <c r="L30" s="41">
        <v>0</v>
      </c>
      <c r="M30" s="41">
        <v>0</v>
      </c>
      <c r="N30" s="41">
        <v>6000000</v>
      </c>
      <c r="O30" s="41">
        <v>0</v>
      </c>
      <c r="P30" s="41">
        <v>16333333.33333333</v>
      </c>
      <c r="Q30" s="41">
        <v>166666.66666666669</v>
      </c>
      <c r="R30" s="41">
        <v>2500000</v>
      </c>
      <c r="S30" s="41">
        <v>0</v>
      </c>
      <c r="T30" s="41">
        <v>0</v>
      </c>
      <c r="U30" s="41">
        <v>0</v>
      </c>
      <c r="V30" s="41">
        <v>58055555.555555537</v>
      </c>
      <c r="W30" s="41">
        <v>444444.44444444438</v>
      </c>
      <c r="X30" s="38">
        <f t="shared" si="3"/>
        <v>0.11611111111111107</v>
      </c>
      <c r="Y30" s="39">
        <f t="shared" si="0"/>
        <v>8.8888888888888871E-4</v>
      </c>
      <c r="Z30" s="39">
        <f t="shared" si="4"/>
        <v>7.7145612343297986E-3</v>
      </c>
      <c r="AA30" s="41">
        <f t="shared" si="1"/>
        <v>441944444.44444448</v>
      </c>
      <c r="AB30" s="39">
        <f t="shared" si="2"/>
        <v>1.0056568196103077E-3</v>
      </c>
      <c r="AC30" s="38">
        <f t="shared" si="5"/>
        <v>0.39147802929427433</v>
      </c>
      <c r="AD30" s="3"/>
    </row>
    <row r="31" spans="1:31" x14ac:dyDescent="0.25">
      <c r="A31" s="37">
        <v>45667</v>
      </c>
      <c r="B31" s="41">
        <v>1000000</v>
      </c>
      <c r="C31" s="41">
        <v>0</v>
      </c>
      <c r="D31" s="41">
        <v>2500000</v>
      </c>
      <c r="E31" s="41">
        <v>0</v>
      </c>
      <c r="F31" s="41">
        <v>2500000</v>
      </c>
      <c r="G31" s="41">
        <v>0</v>
      </c>
      <c r="H31" s="41">
        <v>27499999.999999989</v>
      </c>
      <c r="I31" s="41">
        <v>277777.77777777781</v>
      </c>
      <c r="J31" s="41">
        <v>0</v>
      </c>
      <c r="K31" s="41">
        <v>0</v>
      </c>
      <c r="L31" s="41">
        <v>0</v>
      </c>
      <c r="M31" s="41">
        <v>0</v>
      </c>
      <c r="N31" s="41">
        <v>6000000</v>
      </c>
      <c r="O31" s="41">
        <v>0</v>
      </c>
      <c r="P31" s="41">
        <v>16499999.999999991</v>
      </c>
      <c r="Q31" s="41">
        <v>166666.66666666669</v>
      </c>
      <c r="R31" s="41">
        <v>2500000</v>
      </c>
      <c r="S31" s="41">
        <v>0</v>
      </c>
      <c r="T31" s="41">
        <v>0</v>
      </c>
      <c r="U31" s="41">
        <v>0</v>
      </c>
      <c r="V31" s="41">
        <v>58499999.999999978</v>
      </c>
      <c r="W31" s="41">
        <v>444444.44444444438</v>
      </c>
      <c r="X31" s="38">
        <f t="shared" si="3"/>
        <v>0.11699999999999995</v>
      </c>
      <c r="Y31" s="39">
        <f t="shared" si="0"/>
        <v>8.8888888888888871E-4</v>
      </c>
      <c r="Z31" s="39">
        <f t="shared" si="4"/>
        <v>7.6555023923444987E-3</v>
      </c>
      <c r="AA31" s="41">
        <f t="shared" si="1"/>
        <v>441500000</v>
      </c>
      <c r="AB31" s="39">
        <f t="shared" si="2"/>
        <v>1.0066691833396249E-3</v>
      </c>
      <c r="AC31" s="38">
        <f t="shared" si="5"/>
        <v>0.39285714285714279</v>
      </c>
      <c r="AD31" s="3"/>
    </row>
    <row r="32" spans="1:31" x14ac:dyDescent="0.25">
      <c r="A32" s="37">
        <v>45668</v>
      </c>
      <c r="B32" s="41">
        <v>1000000</v>
      </c>
      <c r="C32" s="41">
        <v>0</v>
      </c>
      <c r="D32" s="41">
        <v>2500000</v>
      </c>
      <c r="E32" s="41">
        <v>0</v>
      </c>
      <c r="F32" s="41">
        <v>2500000</v>
      </c>
      <c r="G32" s="41">
        <v>0</v>
      </c>
      <c r="H32" s="41">
        <v>27777777.777777761</v>
      </c>
      <c r="I32" s="41">
        <v>277777.77777777781</v>
      </c>
      <c r="J32" s="41">
        <v>0</v>
      </c>
      <c r="K32" s="41">
        <v>0</v>
      </c>
      <c r="L32" s="41">
        <v>0</v>
      </c>
      <c r="M32" s="41">
        <v>0</v>
      </c>
      <c r="N32" s="41">
        <v>6000000</v>
      </c>
      <c r="O32" s="41">
        <v>0</v>
      </c>
      <c r="P32" s="41">
        <v>16666666.66666666</v>
      </c>
      <c r="Q32" s="41">
        <v>166666.66666666669</v>
      </c>
      <c r="R32" s="41">
        <v>2500000</v>
      </c>
      <c r="S32" s="41">
        <v>0</v>
      </c>
      <c r="T32" s="41">
        <v>0</v>
      </c>
      <c r="U32" s="41">
        <v>0</v>
      </c>
      <c r="V32" s="41">
        <v>58944444.444444418</v>
      </c>
      <c r="W32" s="41">
        <v>444444.44444444438</v>
      </c>
      <c r="X32" s="38">
        <f t="shared" si="3"/>
        <v>0.11788888888888883</v>
      </c>
      <c r="Y32" s="39">
        <f t="shared" si="0"/>
        <v>8.8888888888888871E-4</v>
      </c>
      <c r="Z32" s="39">
        <f t="shared" si="4"/>
        <v>7.5973409306742661E-3</v>
      </c>
      <c r="AA32" s="41">
        <f t="shared" si="1"/>
        <v>441055555.55555558</v>
      </c>
      <c r="AB32" s="39">
        <f t="shared" si="2"/>
        <v>1.0076835873535708E-3</v>
      </c>
      <c r="AC32" s="38">
        <f t="shared" si="5"/>
        <v>0.39421813403416556</v>
      </c>
      <c r="AD32" s="3"/>
    </row>
    <row r="33" spans="1:30" x14ac:dyDescent="0.25">
      <c r="A33" s="37">
        <v>45669</v>
      </c>
      <c r="B33" s="41">
        <v>1000000</v>
      </c>
      <c r="C33" s="41">
        <v>0</v>
      </c>
      <c r="D33" s="41">
        <v>2500000</v>
      </c>
      <c r="E33" s="41">
        <v>0</v>
      </c>
      <c r="F33" s="41">
        <v>2500000</v>
      </c>
      <c r="G33" s="41">
        <v>0</v>
      </c>
      <c r="H33" s="41">
        <v>28055555.555555541</v>
      </c>
      <c r="I33" s="41">
        <v>277777.77777777781</v>
      </c>
      <c r="J33" s="41">
        <v>0</v>
      </c>
      <c r="K33" s="41">
        <v>0</v>
      </c>
      <c r="L33" s="41">
        <v>0</v>
      </c>
      <c r="M33" s="41">
        <v>0</v>
      </c>
      <c r="N33" s="41">
        <v>6000000</v>
      </c>
      <c r="O33" s="41">
        <v>0</v>
      </c>
      <c r="P33" s="41">
        <v>16833333.333333328</v>
      </c>
      <c r="Q33" s="41">
        <v>166666.66666666669</v>
      </c>
      <c r="R33" s="41">
        <v>2500000</v>
      </c>
      <c r="S33" s="41">
        <v>0</v>
      </c>
      <c r="T33" s="41">
        <v>0</v>
      </c>
      <c r="U33" s="41">
        <v>0</v>
      </c>
      <c r="V33" s="41">
        <v>59388888.888888873</v>
      </c>
      <c r="W33" s="41">
        <v>444444.44444444438</v>
      </c>
      <c r="X33" s="38">
        <f t="shared" si="3"/>
        <v>0.11877777777777775</v>
      </c>
      <c r="Y33" s="39">
        <f t="shared" si="0"/>
        <v>8.8888888888888871E-4</v>
      </c>
      <c r="Z33" s="39">
        <f t="shared" si="4"/>
        <v>7.5400565504241306E-3</v>
      </c>
      <c r="AA33" s="41">
        <f t="shared" si="1"/>
        <v>440611111.1111111</v>
      </c>
      <c r="AB33" s="39">
        <f t="shared" si="2"/>
        <v>1.0087000378262512E-3</v>
      </c>
      <c r="AC33" s="38">
        <f t="shared" si="5"/>
        <v>0.39556135770234985</v>
      </c>
      <c r="AD33" s="3"/>
    </row>
    <row r="34" spans="1:30" x14ac:dyDescent="0.25">
      <c r="A34" s="37">
        <v>45670</v>
      </c>
      <c r="B34" s="41">
        <v>1000000</v>
      </c>
      <c r="C34" s="41">
        <v>0</v>
      </c>
      <c r="D34" s="41">
        <v>2500000</v>
      </c>
      <c r="E34" s="41">
        <v>0</v>
      </c>
      <c r="F34" s="41">
        <v>2500000</v>
      </c>
      <c r="G34" s="41">
        <v>0</v>
      </c>
      <c r="H34" s="41">
        <v>28333333.33333331</v>
      </c>
      <c r="I34" s="41">
        <v>277777.77777777781</v>
      </c>
      <c r="J34" s="41">
        <v>0</v>
      </c>
      <c r="K34" s="41">
        <v>0</v>
      </c>
      <c r="L34" s="41">
        <v>0</v>
      </c>
      <c r="M34" s="41">
        <v>0</v>
      </c>
      <c r="N34" s="41">
        <v>6000000</v>
      </c>
      <c r="O34" s="41">
        <v>0</v>
      </c>
      <c r="P34" s="41">
        <v>17000000</v>
      </c>
      <c r="Q34" s="41">
        <v>166666.66666666669</v>
      </c>
      <c r="R34" s="41">
        <v>2500000</v>
      </c>
      <c r="S34" s="41">
        <v>0</v>
      </c>
      <c r="T34" s="41">
        <v>0</v>
      </c>
      <c r="U34" s="41">
        <v>0</v>
      </c>
      <c r="V34" s="41">
        <v>59833333.333333313</v>
      </c>
      <c r="W34" s="41">
        <v>444444.44444444438</v>
      </c>
      <c r="X34" s="38">
        <f t="shared" si="3"/>
        <v>0.11966666666666663</v>
      </c>
      <c r="Y34" s="39">
        <f t="shared" si="0"/>
        <v>8.8888888888888871E-4</v>
      </c>
      <c r="Z34" s="39">
        <f t="shared" si="4"/>
        <v>7.4836295603367643E-3</v>
      </c>
      <c r="AA34" s="41">
        <f t="shared" si="1"/>
        <v>440166666.66666669</v>
      </c>
      <c r="AB34" s="39">
        <f t="shared" si="2"/>
        <v>1.0097185409567082E-3</v>
      </c>
      <c r="AC34" s="38">
        <f t="shared" si="5"/>
        <v>0.39688715953307413</v>
      </c>
      <c r="AD34" s="3"/>
    </row>
    <row r="35" spans="1:30" x14ac:dyDescent="0.25">
      <c r="A35" s="37">
        <v>45671</v>
      </c>
      <c r="B35" s="41">
        <v>1000000</v>
      </c>
      <c r="C35" s="41">
        <v>0</v>
      </c>
      <c r="D35" s="41">
        <v>2500000</v>
      </c>
      <c r="E35" s="41">
        <v>0</v>
      </c>
      <c r="F35" s="41">
        <v>2500000</v>
      </c>
      <c r="G35" s="41">
        <v>0</v>
      </c>
      <c r="H35" s="41">
        <v>28611111.11111109</v>
      </c>
      <c r="I35" s="41">
        <v>277777.77777777781</v>
      </c>
      <c r="J35" s="41">
        <v>0</v>
      </c>
      <c r="K35" s="41">
        <v>0</v>
      </c>
      <c r="L35" s="41">
        <v>0</v>
      </c>
      <c r="M35" s="41">
        <v>0</v>
      </c>
      <c r="N35" s="41">
        <v>6000000</v>
      </c>
      <c r="O35" s="41">
        <v>0</v>
      </c>
      <c r="P35" s="41">
        <v>17166666.66666666</v>
      </c>
      <c r="Q35" s="41">
        <v>166666.66666666669</v>
      </c>
      <c r="R35" s="41">
        <v>2500000</v>
      </c>
      <c r="S35" s="41">
        <v>0</v>
      </c>
      <c r="T35" s="41">
        <v>0</v>
      </c>
      <c r="U35" s="41">
        <v>0</v>
      </c>
      <c r="V35" s="41">
        <v>60277777.777777746</v>
      </c>
      <c r="W35" s="41">
        <v>444444.44444444438</v>
      </c>
      <c r="X35" s="38">
        <f t="shared" si="3"/>
        <v>0.1205555555555555</v>
      </c>
      <c r="Y35" s="39">
        <f t="shared" si="0"/>
        <v>8.8888888888888871E-4</v>
      </c>
      <c r="Z35" s="39">
        <f t="shared" si="4"/>
        <v>7.4280408542247E-3</v>
      </c>
      <c r="AA35" s="41">
        <f t="shared" si="1"/>
        <v>439722222.22222227</v>
      </c>
      <c r="AB35" s="39">
        <f t="shared" si="2"/>
        <v>1.0107391029690459E-3</v>
      </c>
      <c r="AC35" s="38">
        <f t="shared" si="5"/>
        <v>0.39819587628865982</v>
      </c>
      <c r="AD35" s="3"/>
    </row>
    <row r="36" spans="1:30" x14ac:dyDescent="0.25">
      <c r="A36" s="37">
        <v>45672</v>
      </c>
      <c r="B36" s="41">
        <v>1000000</v>
      </c>
      <c r="C36" s="41">
        <v>0</v>
      </c>
      <c r="D36" s="41">
        <v>2500000</v>
      </c>
      <c r="E36" s="41">
        <v>0</v>
      </c>
      <c r="F36" s="41">
        <v>2500000</v>
      </c>
      <c r="G36" s="41">
        <v>0</v>
      </c>
      <c r="H36" s="41">
        <v>28888888.888888869</v>
      </c>
      <c r="I36" s="41">
        <v>277777.77777777781</v>
      </c>
      <c r="J36" s="41">
        <v>0</v>
      </c>
      <c r="K36" s="41">
        <v>0</v>
      </c>
      <c r="L36" s="41">
        <v>0</v>
      </c>
      <c r="M36" s="41">
        <v>0</v>
      </c>
      <c r="N36" s="41">
        <v>6000000</v>
      </c>
      <c r="O36" s="41">
        <v>0</v>
      </c>
      <c r="P36" s="41">
        <v>17333333.333333328</v>
      </c>
      <c r="Q36" s="41">
        <v>166666.66666666669</v>
      </c>
      <c r="R36" s="41">
        <v>2500000</v>
      </c>
      <c r="S36" s="41">
        <v>0</v>
      </c>
      <c r="T36" s="41">
        <v>0</v>
      </c>
      <c r="U36" s="41">
        <v>0</v>
      </c>
      <c r="V36" s="41">
        <v>60722222.222222187</v>
      </c>
      <c r="W36" s="41">
        <v>444444.44444444438</v>
      </c>
      <c r="X36" s="38">
        <f t="shared" si="3"/>
        <v>0.12144444444444437</v>
      </c>
      <c r="Y36" s="39">
        <f t="shared" si="0"/>
        <v>8.8888888888888871E-4</v>
      </c>
      <c r="Z36" s="39">
        <f t="shared" si="4"/>
        <v>7.3732718894009243E-3</v>
      </c>
      <c r="AA36" s="41">
        <f t="shared" si="1"/>
        <v>439277777.77777779</v>
      </c>
      <c r="AB36" s="39">
        <f t="shared" si="2"/>
        <v>1.0117617301125582E-3</v>
      </c>
      <c r="AC36" s="38">
        <f t="shared" si="5"/>
        <v>0.39948783610755456</v>
      </c>
      <c r="AD36" s="3"/>
    </row>
    <row r="37" spans="1:30" x14ac:dyDescent="0.25">
      <c r="A37" s="37">
        <v>45673</v>
      </c>
      <c r="B37" s="41">
        <v>1000000</v>
      </c>
      <c r="C37" s="41">
        <v>0</v>
      </c>
      <c r="D37" s="41">
        <v>2500000</v>
      </c>
      <c r="E37" s="41">
        <v>0</v>
      </c>
      <c r="F37" s="41">
        <v>2500000</v>
      </c>
      <c r="G37" s="41">
        <v>0</v>
      </c>
      <c r="H37" s="41">
        <v>29166666.666666642</v>
      </c>
      <c r="I37" s="41">
        <v>277777.77777777781</v>
      </c>
      <c r="J37" s="41">
        <v>0</v>
      </c>
      <c r="K37" s="41">
        <v>0</v>
      </c>
      <c r="L37" s="41">
        <v>0</v>
      </c>
      <c r="M37" s="41">
        <v>0</v>
      </c>
      <c r="N37" s="41">
        <v>6000000</v>
      </c>
      <c r="O37" s="41">
        <v>0</v>
      </c>
      <c r="P37" s="41">
        <v>17500000</v>
      </c>
      <c r="Q37" s="41">
        <v>166666.66666666669</v>
      </c>
      <c r="R37" s="41">
        <v>2500000</v>
      </c>
      <c r="S37" s="41">
        <v>0</v>
      </c>
      <c r="T37" s="41">
        <v>0</v>
      </c>
      <c r="U37" s="41">
        <v>0</v>
      </c>
      <c r="V37" s="41">
        <v>61166666.666666642</v>
      </c>
      <c r="W37" s="41">
        <v>444444.44444444438</v>
      </c>
      <c r="X37" s="38">
        <f t="shared" si="3"/>
        <v>0.12233333333333328</v>
      </c>
      <c r="Y37" s="39">
        <f t="shared" si="0"/>
        <v>8.8888888888888871E-4</v>
      </c>
      <c r="Z37" s="39">
        <f t="shared" si="4"/>
        <v>7.3193046660567276E-3</v>
      </c>
      <c r="AA37" s="41">
        <f t="shared" si="1"/>
        <v>438833333.33333337</v>
      </c>
      <c r="AB37" s="39">
        <f t="shared" si="2"/>
        <v>1.0127864286618557E-3</v>
      </c>
      <c r="AC37" s="38">
        <f t="shared" si="5"/>
        <v>0.40076335877862618</v>
      </c>
      <c r="AD37" s="3"/>
    </row>
    <row r="38" spans="1:30" x14ac:dyDescent="0.25">
      <c r="A38" s="37">
        <v>45674</v>
      </c>
      <c r="B38" s="41">
        <v>1000000</v>
      </c>
      <c r="C38" s="41">
        <v>0</v>
      </c>
      <c r="D38" s="41">
        <v>2500000</v>
      </c>
      <c r="E38" s="41">
        <v>0</v>
      </c>
      <c r="F38" s="41">
        <v>2500000</v>
      </c>
      <c r="G38" s="41">
        <v>0</v>
      </c>
      <c r="H38" s="41">
        <v>29444444.444444422</v>
      </c>
      <c r="I38" s="41">
        <v>277777.77777777781</v>
      </c>
      <c r="J38" s="41">
        <v>0</v>
      </c>
      <c r="K38" s="41">
        <v>0</v>
      </c>
      <c r="L38" s="41">
        <v>0</v>
      </c>
      <c r="M38" s="41">
        <v>0</v>
      </c>
      <c r="N38" s="41">
        <v>6000000</v>
      </c>
      <c r="O38" s="41">
        <v>0</v>
      </c>
      <c r="P38" s="41">
        <v>17666666.666666672</v>
      </c>
      <c r="Q38" s="41">
        <v>166666.66666666669</v>
      </c>
      <c r="R38" s="41">
        <v>2500000</v>
      </c>
      <c r="S38" s="41">
        <v>0</v>
      </c>
      <c r="T38" s="41">
        <v>0</v>
      </c>
      <c r="U38" s="41">
        <v>0</v>
      </c>
      <c r="V38" s="41">
        <v>61611111.11111109</v>
      </c>
      <c r="W38" s="41">
        <v>444444.44444444438</v>
      </c>
      <c r="X38" s="38">
        <f t="shared" si="3"/>
        <v>0.12322222222222218</v>
      </c>
      <c r="Y38" s="39">
        <f t="shared" si="0"/>
        <v>8.8888888888888871E-4</v>
      </c>
      <c r="Z38" s="39">
        <f t="shared" si="4"/>
        <v>7.2661217075386027E-3</v>
      </c>
      <c r="AA38" s="41">
        <f t="shared" si="1"/>
        <v>438388888.8888889</v>
      </c>
      <c r="AB38" s="39">
        <f t="shared" si="2"/>
        <v>1.0138132049169939E-3</v>
      </c>
      <c r="AC38" s="38">
        <f t="shared" si="5"/>
        <v>0.40202275600505727</v>
      </c>
      <c r="AD38" s="3"/>
    </row>
    <row r="39" spans="1:30" x14ac:dyDescent="0.25">
      <c r="A39" s="37">
        <v>45675</v>
      </c>
      <c r="B39" s="41">
        <v>1000000</v>
      </c>
      <c r="C39" s="41">
        <v>0</v>
      </c>
      <c r="D39" s="41">
        <v>2500000</v>
      </c>
      <c r="E39" s="41">
        <v>0</v>
      </c>
      <c r="F39" s="41">
        <v>2500000</v>
      </c>
      <c r="G39" s="41">
        <v>0</v>
      </c>
      <c r="H39" s="41">
        <v>29722222.22222219</v>
      </c>
      <c r="I39" s="41">
        <v>277777.77777777781</v>
      </c>
      <c r="J39" s="41">
        <v>0</v>
      </c>
      <c r="K39" s="41">
        <v>0</v>
      </c>
      <c r="L39" s="41">
        <v>0</v>
      </c>
      <c r="M39" s="41">
        <v>0</v>
      </c>
      <c r="N39" s="41">
        <v>6000000</v>
      </c>
      <c r="O39" s="41">
        <v>0</v>
      </c>
      <c r="P39" s="41">
        <v>17833333.33333334</v>
      </c>
      <c r="Q39" s="41">
        <v>166666.66666666669</v>
      </c>
      <c r="R39" s="41">
        <v>2500000</v>
      </c>
      <c r="S39" s="41">
        <v>0</v>
      </c>
      <c r="T39" s="41">
        <v>0</v>
      </c>
      <c r="U39" s="41">
        <v>0</v>
      </c>
      <c r="V39" s="41">
        <v>62055555.55555553</v>
      </c>
      <c r="W39" s="41">
        <v>444444.44444444438</v>
      </c>
      <c r="X39" s="38">
        <f t="shared" si="3"/>
        <v>0.12411111111111106</v>
      </c>
      <c r="Y39" s="39">
        <f t="shared" si="0"/>
        <v>8.8888888888888871E-4</v>
      </c>
      <c r="Z39" s="39">
        <f t="shared" si="4"/>
        <v>7.2137060414788111E-3</v>
      </c>
      <c r="AA39" s="41">
        <f t="shared" si="1"/>
        <v>437944444.44444448</v>
      </c>
      <c r="AB39" s="39">
        <f t="shared" si="2"/>
        <v>1.0148420652036025E-3</v>
      </c>
      <c r="AC39" s="38">
        <f t="shared" si="5"/>
        <v>0.40326633165829184</v>
      </c>
      <c r="AD39" s="3"/>
    </row>
    <row r="40" spans="1:30" x14ac:dyDescent="0.25">
      <c r="A40" s="37">
        <v>45676</v>
      </c>
      <c r="B40" s="41">
        <v>1000000</v>
      </c>
      <c r="C40" s="41">
        <v>0</v>
      </c>
      <c r="D40" s="41">
        <v>2500000</v>
      </c>
      <c r="E40" s="41">
        <v>0</v>
      </c>
      <c r="F40" s="41">
        <v>2500000</v>
      </c>
      <c r="G40" s="41">
        <v>0</v>
      </c>
      <c r="H40" s="41">
        <v>29999999.99999997</v>
      </c>
      <c r="I40" s="41">
        <v>277777.77777777781</v>
      </c>
      <c r="J40" s="41">
        <v>0</v>
      </c>
      <c r="K40" s="41">
        <v>0</v>
      </c>
      <c r="L40" s="41">
        <v>0</v>
      </c>
      <c r="M40" s="41">
        <v>0</v>
      </c>
      <c r="N40" s="41">
        <v>6000000</v>
      </c>
      <c r="O40" s="41">
        <v>0</v>
      </c>
      <c r="P40" s="41">
        <v>18000000</v>
      </c>
      <c r="Q40" s="41">
        <v>166666.66666666669</v>
      </c>
      <c r="R40" s="41">
        <v>2500000</v>
      </c>
      <c r="S40" s="41">
        <v>0</v>
      </c>
      <c r="T40" s="41">
        <v>0</v>
      </c>
      <c r="U40" s="41">
        <v>0</v>
      </c>
      <c r="V40" s="41">
        <v>62499999.99999997</v>
      </c>
      <c r="W40" s="41">
        <v>444444.44444444438</v>
      </c>
      <c r="X40" s="38">
        <f t="shared" si="3"/>
        <v>0.12499999999999994</v>
      </c>
      <c r="Y40" s="39">
        <f t="shared" si="0"/>
        <v>8.8888888888888871E-4</v>
      </c>
      <c r="Z40" s="39">
        <f t="shared" si="4"/>
        <v>7.1620411817367967E-3</v>
      </c>
      <c r="AA40" s="41">
        <f t="shared" si="1"/>
        <v>437500000</v>
      </c>
      <c r="AB40" s="39">
        <f t="shared" si="2"/>
        <v>1.0158730158730158E-3</v>
      </c>
      <c r="AC40" s="38">
        <f t="shared" si="5"/>
        <v>0.40449438202247218</v>
      </c>
      <c r="AD40" s="3"/>
    </row>
    <row r="41" spans="1:30" x14ac:dyDescent="0.25">
      <c r="A41" s="37">
        <v>45677</v>
      </c>
      <c r="B41" s="41">
        <v>1000000</v>
      </c>
      <c r="C41" s="41">
        <v>0</v>
      </c>
      <c r="D41" s="41">
        <v>2500000</v>
      </c>
      <c r="E41" s="41">
        <v>0</v>
      </c>
      <c r="F41" s="41">
        <v>2500000</v>
      </c>
      <c r="G41" s="41">
        <v>0</v>
      </c>
      <c r="H41" s="41">
        <v>30277777.77777775</v>
      </c>
      <c r="I41" s="41">
        <v>277777.77777777781</v>
      </c>
      <c r="J41" s="41">
        <v>0</v>
      </c>
      <c r="K41" s="41">
        <v>0</v>
      </c>
      <c r="L41" s="41">
        <v>0</v>
      </c>
      <c r="M41" s="41">
        <v>0</v>
      </c>
      <c r="N41" s="41">
        <v>6000000</v>
      </c>
      <c r="O41" s="41">
        <v>0</v>
      </c>
      <c r="P41" s="41">
        <v>18166666.666666672</v>
      </c>
      <c r="Q41" s="41">
        <v>166666.66666666669</v>
      </c>
      <c r="R41" s="41">
        <v>2500000</v>
      </c>
      <c r="S41" s="41">
        <v>0</v>
      </c>
      <c r="T41" s="41">
        <v>0</v>
      </c>
      <c r="U41" s="41">
        <v>0</v>
      </c>
      <c r="V41" s="41">
        <v>62944444.444444418</v>
      </c>
      <c r="W41" s="41">
        <v>444444.44444444438</v>
      </c>
      <c r="X41" s="38">
        <f t="shared" si="3"/>
        <v>0.12588888888888883</v>
      </c>
      <c r="Y41" s="39">
        <f t="shared" si="0"/>
        <v>8.8888888888888871E-4</v>
      </c>
      <c r="Z41" s="39">
        <f t="shared" si="4"/>
        <v>7.1111111111111132E-3</v>
      </c>
      <c r="AA41" s="41">
        <f t="shared" si="1"/>
        <v>437055555.55555558</v>
      </c>
      <c r="AB41" s="39">
        <f t="shared" si="2"/>
        <v>1.0169060633024023E-3</v>
      </c>
      <c r="AC41" s="38">
        <f t="shared" si="5"/>
        <v>0.40570719602977706</v>
      </c>
      <c r="AD41" s="3"/>
    </row>
    <row r="42" spans="1:30" x14ac:dyDescent="0.25">
      <c r="A42" s="37">
        <v>45678</v>
      </c>
      <c r="B42" s="41">
        <v>1000000</v>
      </c>
      <c r="C42" s="41">
        <v>0</v>
      </c>
      <c r="D42" s="41">
        <v>2500000</v>
      </c>
      <c r="E42" s="41">
        <v>0</v>
      </c>
      <c r="F42" s="41">
        <v>2500000</v>
      </c>
      <c r="G42" s="41">
        <v>0</v>
      </c>
      <c r="H42" s="41">
        <v>30555555.555555519</v>
      </c>
      <c r="I42" s="41">
        <v>277777.77777777781</v>
      </c>
      <c r="J42" s="41">
        <v>0</v>
      </c>
      <c r="K42" s="41">
        <v>0</v>
      </c>
      <c r="L42" s="41">
        <v>0</v>
      </c>
      <c r="M42" s="41">
        <v>0</v>
      </c>
      <c r="N42" s="41">
        <v>6000000</v>
      </c>
      <c r="O42" s="41">
        <v>0</v>
      </c>
      <c r="P42" s="41">
        <v>18333333.33333334</v>
      </c>
      <c r="Q42" s="41">
        <v>166666.66666666669</v>
      </c>
      <c r="R42" s="41">
        <v>2500000</v>
      </c>
      <c r="S42" s="41">
        <v>0</v>
      </c>
      <c r="T42" s="41">
        <v>0</v>
      </c>
      <c r="U42" s="41">
        <v>0</v>
      </c>
      <c r="V42" s="41">
        <v>63388888.888888873</v>
      </c>
      <c r="W42" s="41">
        <v>444444.44444444438</v>
      </c>
      <c r="X42" s="38">
        <f t="shared" si="3"/>
        <v>0.12677777777777774</v>
      </c>
      <c r="Y42" s="39">
        <f t="shared" si="0"/>
        <v>8.8888888888888871E-4</v>
      </c>
      <c r="Z42" s="39">
        <f t="shared" si="4"/>
        <v>7.0609002647837619E-3</v>
      </c>
      <c r="AA42" s="41">
        <f t="shared" si="1"/>
        <v>436611111.1111111</v>
      </c>
      <c r="AB42" s="39">
        <f t="shared" si="2"/>
        <v>1.0179412138948975E-3</v>
      </c>
      <c r="AC42" s="38">
        <f t="shared" si="5"/>
        <v>0.4069050554870533</v>
      </c>
      <c r="AD42" s="3"/>
    </row>
    <row r="43" spans="1:30" x14ac:dyDescent="0.25">
      <c r="A43" s="37">
        <v>45679</v>
      </c>
      <c r="B43" s="41">
        <v>1000000</v>
      </c>
      <c r="C43" s="41">
        <v>0</v>
      </c>
      <c r="D43" s="41">
        <v>2500000</v>
      </c>
      <c r="E43" s="41">
        <v>0</v>
      </c>
      <c r="F43" s="41">
        <v>2500000</v>
      </c>
      <c r="G43" s="41">
        <v>0</v>
      </c>
      <c r="H43" s="41">
        <v>30833333.333333299</v>
      </c>
      <c r="I43" s="41">
        <v>277777.77777777781</v>
      </c>
      <c r="J43" s="41">
        <v>0</v>
      </c>
      <c r="K43" s="41">
        <v>0</v>
      </c>
      <c r="L43" s="41">
        <v>0</v>
      </c>
      <c r="M43" s="41">
        <v>0</v>
      </c>
      <c r="N43" s="41">
        <v>6000000</v>
      </c>
      <c r="O43" s="41">
        <v>0</v>
      </c>
      <c r="P43" s="41">
        <v>18500000.000000011</v>
      </c>
      <c r="Q43" s="41">
        <v>166666.66666666669</v>
      </c>
      <c r="R43" s="41">
        <v>2500000</v>
      </c>
      <c r="S43" s="41">
        <v>0</v>
      </c>
      <c r="T43" s="41">
        <v>0</v>
      </c>
      <c r="U43" s="41">
        <v>0</v>
      </c>
      <c r="V43" s="41">
        <v>63833333.333333313</v>
      </c>
      <c r="W43" s="41">
        <v>444444.44444444438</v>
      </c>
      <c r="X43" s="38">
        <f t="shared" si="3"/>
        <v>0.12766666666666662</v>
      </c>
      <c r="Y43" s="39">
        <f t="shared" si="0"/>
        <v>8.8888888888888871E-4</v>
      </c>
      <c r="Z43" s="39">
        <f t="shared" si="4"/>
        <v>7.0113935144610002E-3</v>
      </c>
      <c r="AA43" s="41">
        <f t="shared" si="1"/>
        <v>436166666.66666669</v>
      </c>
      <c r="AB43" s="39">
        <f t="shared" si="2"/>
        <v>1.0189784740797349E-3</v>
      </c>
      <c r="AC43" s="38">
        <f t="shared" si="5"/>
        <v>0.4080882352941182</v>
      </c>
      <c r="AD43" s="3"/>
    </row>
    <row r="44" spans="1:30" x14ac:dyDescent="0.25">
      <c r="A44" s="37">
        <v>45680</v>
      </c>
      <c r="B44" s="41">
        <v>1000000</v>
      </c>
      <c r="C44" s="41">
        <v>0</v>
      </c>
      <c r="D44" s="41">
        <v>2500000</v>
      </c>
      <c r="E44" s="41">
        <v>0</v>
      </c>
      <c r="F44" s="41">
        <v>2500000</v>
      </c>
      <c r="G44" s="41">
        <v>0</v>
      </c>
      <c r="H44" s="41">
        <v>31111111.111111071</v>
      </c>
      <c r="I44" s="41">
        <v>277777.77777777781</v>
      </c>
      <c r="J44" s="41">
        <v>0</v>
      </c>
      <c r="K44" s="41">
        <v>0</v>
      </c>
      <c r="L44" s="41">
        <v>0</v>
      </c>
      <c r="M44" s="41">
        <v>0</v>
      </c>
      <c r="N44" s="41">
        <v>6000000</v>
      </c>
      <c r="O44" s="41">
        <v>0</v>
      </c>
      <c r="P44" s="41">
        <v>18666666.666666679</v>
      </c>
      <c r="Q44" s="41">
        <v>166666.66666666669</v>
      </c>
      <c r="R44" s="41">
        <v>2500000</v>
      </c>
      <c r="S44" s="41">
        <v>0</v>
      </c>
      <c r="T44" s="41">
        <v>0</v>
      </c>
      <c r="U44" s="41">
        <v>0</v>
      </c>
      <c r="V44" s="41">
        <v>64277777.777777746</v>
      </c>
      <c r="W44" s="41">
        <v>444444.44444444438</v>
      </c>
      <c r="X44" s="38">
        <f t="shared" si="3"/>
        <v>0.12855555555555551</v>
      </c>
      <c r="Y44" s="39">
        <f t="shared" si="0"/>
        <v>8.8888888888888871E-4</v>
      </c>
      <c r="Z44" s="39">
        <f t="shared" si="4"/>
        <v>6.9625761531766769E-3</v>
      </c>
      <c r="AA44" s="41">
        <f t="shared" si="1"/>
        <v>435722222.22222227</v>
      </c>
      <c r="AB44" s="39">
        <f t="shared" si="2"/>
        <v>1.0200178503123802E-3</v>
      </c>
      <c r="AC44" s="38">
        <f t="shared" si="5"/>
        <v>0.40925700365408108</v>
      </c>
      <c r="AD44" s="3"/>
    </row>
    <row r="45" spans="1:30" x14ac:dyDescent="0.25">
      <c r="A45" s="37">
        <v>45681</v>
      </c>
      <c r="B45" s="41">
        <v>1000000</v>
      </c>
      <c r="C45" s="41">
        <v>0</v>
      </c>
      <c r="D45" s="41">
        <v>2500000</v>
      </c>
      <c r="E45" s="41">
        <v>0</v>
      </c>
      <c r="F45" s="41">
        <v>2500000</v>
      </c>
      <c r="G45" s="41">
        <v>0</v>
      </c>
      <c r="H45" s="41">
        <v>31388888.888888851</v>
      </c>
      <c r="I45" s="41">
        <v>277777.77777777781</v>
      </c>
      <c r="J45" s="41">
        <v>0</v>
      </c>
      <c r="K45" s="41">
        <v>0</v>
      </c>
      <c r="L45" s="41">
        <v>0</v>
      </c>
      <c r="M45" s="41">
        <v>0</v>
      </c>
      <c r="N45" s="41">
        <v>6000000</v>
      </c>
      <c r="O45" s="41">
        <v>0</v>
      </c>
      <c r="P45" s="41">
        <v>18833333.33333334</v>
      </c>
      <c r="Q45" s="41">
        <v>166666.66666666669</v>
      </c>
      <c r="R45" s="41">
        <v>2500000</v>
      </c>
      <c r="S45" s="41">
        <v>0</v>
      </c>
      <c r="T45" s="41">
        <v>0</v>
      </c>
      <c r="U45" s="41">
        <v>0</v>
      </c>
      <c r="V45" s="41">
        <v>64722222.222222187</v>
      </c>
      <c r="W45" s="41">
        <v>444444.44444444438</v>
      </c>
      <c r="X45" s="38">
        <f t="shared" si="3"/>
        <v>0.12944444444444436</v>
      </c>
      <c r="Y45" s="39">
        <f t="shared" si="0"/>
        <v>8.8888888888888871E-4</v>
      </c>
      <c r="Z45" s="39">
        <f t="shared" si="4"/>
        <v>6.9144338807260184E-3</v>
      </c>
      <c r="AA45" s="41">
        <f t="shared" si="1"/>
        <v>435277777.77777779</v>
      </c>
      <c r="AB45" s="39">
        <f t="shared" si="2"/>
        <v>1.0210593490746647E-3</v>
      </c>
      <c r="AC45" s="38">
        <f t="shared" si="5"/>
        <v>0.41041162227602951</v>
      </c>
      <c r="AD45" s="3"/>
    </row>
    <row r="46" spans="1:30" x14ac:dyDescent="0.25">
      <c r="A46" s="37">
        <v>45682</v>
      </c>
      <c r="B46" s="41">
        <v>1000000</v>
      </c>
      <c r="C46" s="41">
        <v>0</v>
      </c>
      <c r="D46" s="41">
        <v>2500000</v>
      </c>
      <c r="E46" s="41">
        <v>0</v>
      </c>
      <c r="F46" s="41">
        <v>2500000</v>
      </c>
      <c r="G46" s="41">
        <v>0</v>
      </c>
      <c r="H46" s="41">
        <v>31666666.666666631</v>
      </c>
      <c r="I46" s="41">
        <v>277777.77777777781</v>
      </c>
      <c r="J46" s="41">
        <v>0</v>
      </c>
      <c r="K46" s="41">
        <v>0</v>
      </c>
      <c r="L46" s="41">
        <v>0</v>
      </c>
      <c r="M46" s="41">
        <v>0</v>
      </c>
      <c r="N46" s="41">
        <v>6000000</v>
      </c>
      <c r="O46" s="41">
        <v>0</v>
      </c>
      <c r="P46" s="41">
        <v>19000000.000000011</v>
      </c>
      <c r="Q46" s="41">
        <v>166666.66666666669</v>
      </c>
      <c r="R46" s="41">
        <v>2500000</v>
      </c>
      <c r="S46" s="41">
        <v>0</v>
      </c>
      <c r="T46" s="41">
        <v>0</v>
      </c>
      <c r="U46" s="41">
        <v>0</v>
      </c>
      <c r="V46" s="41">
        <v>65166666.666666642</v>
      </c>
      <c r="W46" s="41">
        <v>444444.44444444438</v>
      </c>
      <c r="X46" s="38">
        <f t="shared" si="3"/>
        <v>0.13033333333333327</v>
      </c>
      <c r="Y46" s="39">
        <f t="shared" si="0"/>
        <v>8.8888888888888871E-4</v>
      </c>
      <c r="Z46" s="39">
        <f t="shared" si="4"/>
        <v>6.8669527896995739E-3</v>
      </c>
      <c r="AA46" s="41">
        <f t="shared" si="1"/>
        <v>434833333.33333337</v>
      </c>
      <c r="AB46" s="39">
        <f t="shared" si="2"/>
        <v>1.0221029768749199E-3</v>
      </c>
      <c r="AC46" s="38">
        <f t="shared" si="5"/>
        <v>0.41155234657039769</v>
      </c>
      <c r="AD46" s="3"/>
    </row>
    <row r="47" spans="1:30" x14ac:dyDescent="0.25">
      <c r="A47" s="37">
        <v>45683</v>
      </c>
      <c r="B47" s="41">
        <v>1000000</v>
      </c>
      <c r="C47" s="41">
        <v>0</v>
      </c>
      <c r="D47" s="41">
        <v>2500000</v>
      </c>
      <c r="E47" s="41">
        <v>0</v>
      </c>
      <c r="F47" s="41">
        <v>2500000</v>
      </c>
      <c r="G47" s="41">
        <v>0</v>
      </c>
      <c r="H47" s="41">
        <v>31944444.444444399</v>
      </c>
      <c r="I47" s="41">
        <v>277777.77777777781</v>
      </c>
      <c r="J47" s="41">
        <v>0</v>
      </c>
      <c r="K47" s="41">
        <v>0</v>
      </c>
      <c r="L47" s="41">
        <v>0</v>
      </c>
      <c r="M47" s="41">
        <v>0</v>
      </c>
      <c r="N47" s="41">
        <v>6000000</v>
      </c>
      <c r="O47" s="41">
        <v>0</v>
      </c>
      <c r="P47" s="41">
        <v>19166666.666666679</v>
      </c>
      <c r="Q47" s="41">
        <v>166666.66666666669</v>
      </c>
      <c r="R47" s="41">
        <v>2500000</v>
      </c>
      <c r="S47" s="41">
        <v>0</v>
      </c>
      <c r="T47" s="41">
        <v>0</v>
      </c>
      <c r="U47" s="41">
        <v>0</v>
      </c>
      <c r="V47" s="41">
        <v>65611111.111111082</v>
      </c>
      <c r="W47" s="41">
        <v>444444.44444444438</v>
      </c>
      <c r="X47" s="38">
        <f t="shared" si="3"/>
        <v>0.13122222222222216</v>
      </c>
      <c r="Y47" s="39">
        <f t="shared" si="0"/>
        <v>8.8888888888888871E-4</v>
      </c>
      <c r="Z47" s="39">
        <f t="shared" si="4"/>
        <v>6.8201193520886633E-3</v>
      </c>
      <c r="AA47" s="41">
        <f t="shared" si="1"/>
        <v>434388888.8888889</v>
      </c>
      <c r="AB47" s="39">
        <f t="shared" si="2"/>
        <v>1.0231487402481134E-3</v>
      </c>
      <c r="AC47" s="38">
        <f t="shared" si="5"/>
        <v>0.4126794258373212</v>
      </c>
      <c r="AD47" s="3"/>
    </row>
    <row r="48" spans="1:30" x14ac:dyDescent="0.25">
      <c r="A48" s="37">
        <v>45684</v>
      </c>
      <c r="B48" s="41">
        <v>1000000</v>
      </c>
      <c r="C48" s="41">
        <v>0</v>
      </c>
      <c r="D48" s="41">
        <v>2500000</v>
      </c>
      <c r="E48" s="41">
        <v>0</v>
      </c>
      <c r="F48" s="41">
        <v>2500000</v>
      </c>
      <c r="G48" s="41">
        <v>0</v>
      </c>
      <c r="H48" s="41">
        <v>32222222.222222179</v>
      </c>
      <c r="I48" s="41">
        <v>277777.77777777781</v>
      </c>
      <c r="J48" s="41">
        <v>0</v>
      </c>
      <c r="K48" s="41">
        <v>0</v>
      </c>
      <c r="L48" s="41">
        <v>0</v>
      </c>
      <c r="M48" s="41">
        <v>0</v>
      </c>
      <c r="N48" s="41">
        <v>6000000</v>
      </c>
      <c r="O48" s="41">
        <v>0</v>
      </c>
      <c r="P48" s="41">
        <v>19333333.333333351</v>
      </c>
      <c r="Q48" s="41">
        <v>166666.66666666669</v>
      </c>
      <c r="R48" s="41">
        <v>2500000</v>
      </c>
      <c r="S48" s="41">
        <v>0</v>
      </c>
      <c r="T48" s="41">
        <v>0</v>
      </c>
      <c r="U48" s="41">
        <v>0</v>
      </c>
      <c r="V48" s="41">
        <v>66055555.555555522</v>
      </c>
      <c r="W48" s="41">
        <v>444444.44444444438</v>
      </c>
      <c r="X48" s="38">
        <f t="shared" si="3"/>
        <v>0.13211111111111104</v>
      </c>
      <c r="Y48" s="39">
        <f t="shared" si="0"/>
        <v>8.8888888888888871E-4</v>
      </c>
      <c r="Z48" s="39">
        <f t="shared" si="4"/>
        <v>6.7739204064352267E-3</v>
      </c>
      <c r="AA48" s="41">
        <f t="shared" si="1"/>
        <v>433944444.44444448</v>
      </c>
      <c r="AB48" s="39">
        <f t="shared" si="2"/>
        <v>1.0241966457559849E-3</v>
      </c>
      <c r="AC48" s="38">
        <f t="shared" si="5"/>
        <v>0.41379310344827669</v>
      </c>
      <c r="AD48" s="3"/>
    </row>
    <row r="49" spans="1:30" x14ac:dyDescent="0.25">
      <c r="A49" s="37">
        <v>45685</v>
      </c>
      <c r="B49" s="41">
        <v>1000000</v>
      </c>
      <c r="C49" s="41">
        <v>0</v>
      </c>
      <c r="D49" s="41">
        <v>2500000</v>
      </c>
      <c r="E49" s="41">
        <v>0</v>
      </c>
      <c r="F49" s="41">
        <v>2500000</v>
      </c>
      <c r="G49" s="41">
        <v>0</v>
      </c>
      <c r="H49" s="41">
        <v>32499999.999999959</v>
      </c>
      <c r="I49" s="41">
        <v>277777.77777777781</v>
      </c>
      <c r="J49" s="41">
        <v>0</v>
      </c>
      <c r="K49" s="41">
        <v>0</v>
      </c>
      <c r="L49" s="41">
        <v>0</v>
      </c>
      <c r="M49" s="41">
        <v>0</v>
      </c>
      <c r="N49" s="41">
        <v>6000000</v>
      </c>
      <c r="O49" s="41">
        <v>0</v>
      </c>
      <c r="P49" s="41">
        <v>19500000.000000011</v>
      </c>
      <c r="Q49" s="41">
        <v>166666.66666666669</v>
      </c>
      <c r="R49" s="41">
        <v>2500000</v>
      </c>
      <c r="S49" s="41">
        <v>0</v>
      </c>
      <c r="T49" s="41">
        <v>0</v>
      </c>
      <c r="U49" s="41">
        <v>0</v>
      </c>
      <c r="V49" s="41">
        <v>66499999.99999997</v>
      </c>
      <c r="W49" s="41">
        <v>444444.44444444438</v>
      </c>
      <c r="X49" s="38">
        <f t="shared" si="3"/>
        <v>0.13299999999999995</v>
      </c>
      <c r="Y49" s="39">
        <f t="shared" si="0"/>
        <v>8.8888888888888871E-4</v>
      </c>
      <c r="Z49" s="39">
        <f t="shared" si="4"/>
        <v>6.7283431455004228E-3</v>
      </c>
      <c r="AA49" s="41">
        <f t="shared" si="1"/>
        <v>433500000</v>
      </c>
      <c r="AB49" s="39">
        <f t="shared" si="2"/>
        <v>1.0252466999871844E-3</v>
      </c>
      <c r="AC49" s="38">
        <f t="shared" si="5"/>
        <v>0.41489361702127725</v>
      </c>
      <c r="AD49" s="3"/>
    </row>
    <row r="50" spans="1:30" x14ac:dyDescent="0.25">
      <c r="A50" s="37">
        <v>45686</v>
      </c>
      <c r="B50" s="41">
        <v>1000000</v>
      </c>
      <c r="C50" s="41">
        <v>0</v>
      </c>
      <c r="D50" s="41">
        <v>2500000</v>
      </c>
      <c r="E50" s="41">
        <v>0</v>
      </c>
      <c r="F50" s="41">
        <v>2500000</v>
      </c>
      <c r="G50" s="41">
        <v>0</v>
      </c>
      <c r="H50" s="41">
        <v>32777777.777777731</v>
      </c>
      <c r="I50" s="41">
        <v>277777.77777777781</v>
      </c>
      <c r="J50" s="41">
        <v>0</v>
      </c>
      <c r="K50" s="41">
        <v>0</v>
      </c>
      <c r="L50" s="41">
        <v>0</v>
      </c>
      <c r="M50" s="41">
        <v>0</v>
      </c>
      <c r="N50" s="41">
        <v>6000000</v>
      </c>
      <c r="O50" s="41">
        <v>0</v>
      </c>
      <c r="P50" s="41">
        <v>19666666.666666679</v>
      </c>
      <c r="Q50" s="41">
        <v>166666.66666666669</v>
      </c>
      <c r="R50" s="41">
        <v>2500000</v>
      </c>
      <c r="S50" s="41">
        <v>0</v>
      </c>
      <c r="T50" s="41">
        <v>0</v>
      </c>
      <c r="U50" s="41">
        <v>0</v>
      </c>
      <c r="V50" s="41">
        <v>66944444.444444418</v>
      </c>
      <c r="W50" s="41">
        <v>444444.44444444438</v>
      </c>
      <c r="X50" s="38">
        <f t="shared" si="3"/>
        <v>0.13388888888888884</v>
      </c>
      <c r="Y50" s="39">
        <f t="shared" si="0"/>
        <v>8.8888888888888871E-4</v>
      </c>
      <c r="Z50" s="39">
        <f t="shared" si="4"/>
        <v>6.6833751044277382E-3</v>
      </c>
      <c r="AA50" s="41">
        <f t="shared" si="1"/>
        <v>433055555.55555558</v>
      </c>
      <c r="AB50" s="39">
        <f t="shared" si="2"/>
        <v>1.0262989095574085E-3</v>
      </c>
      <c r="AC50" s="38">
        <f t="shared" si="5"/>
        <v>0.41598119858989485</v>
      </c>
      <c r="AD50" s="3"/>
    </row>
    <row r="51" spans="1:30" x14ac:dyDescent="0.25">
      <c r="A51" s="37">
        <v>45687</v>
      </c>
      <c r="B51" s="41">
        <v>1000000</v>
      </c>
      <c r="C51" s="41">
        <v>0</v>
      </c>
      <c r="D51" s="41">
        <v>2500000</v>
      </c>
      <c r="E51" s="41">
        <v>0</v>
      </c>
      <c r="F51" s="41">
        <v>2500000</v>
      </c>
      <c r="G51" s="41">
        <v>0</v>
      </c>
      <c r="H51" s="41">
        <v>33055555.555555511</v>
      </c>
      <c r="I51" s="41">
        <v>277777.77777777781</v>
      </c>
      <c r="J51" s="41">
        <v>0</v>
      </c>
      <c r="K51" s="41">
        <v>0</v>
      </c>
      <c r="L51" s="41">
        <v>0</v>
      </c>
      <c r="M51" s="41">
        <v>0</v>
      </c>
      <c r="N51" s="41">
        <v>6000000</v>
      </c>
      <c r="O51" s="41">
        <v>0</v>
      </c>
      <c r="P51" s="41">
        <v>19833333.333333351</v>
      </c>
      <c r="Q51" s="41">
        <v>166666.66666666669</v>
      </c>
      <c r="R51" s="41">
        <v>2500000</v>
      </c>
      <c r="S51" s="41">
        <v>0</v>
      </c>
      <c r="T51" s="41">
        <v>0</v>
      </c>
      <c r="U51" s="41">
        <v>0</v>
      </c>
      <c r="V51" s="41">
        <v>67388888.888888866</v>
      </c>
      <c r="W51" s="41">
        <v>444444.44444444438</v>
      </c>
      <c r="X51" s="38">
        <f t="shared" si="3"/>
        <v>0.13477777777777772</v>
      </c>
      <c r="Y51" s="39">
        <f t="shared" si="0"/>
        <v>8.8888888888888871E-4</v>
      </c>
      <c r="Z51" s="39">
        <f t="shared" si="4"/>
        <v>6.6390041493775949E-3</v>
      </c>
      <c r="AA51" s="41">
        <f t="shared" si="1"/>
        <v>432611111.11111116</v>
      </c>
      <c r="AB51" s="39">
        <f t="shared" si="2"/>
        <v>1.0273532811095412E-3</v>
      </c>
      <c r="AC51" s="38">
        <f t="shared" si="5"/>
        <v>0.41705607476635587</v>
      </c>
      <c r="AD51" s="3"/>
    </row>
    <row r="52" spans="1:30" x14ac:dyDescent="0.25">
      <c r="A52" s="37">
        <v>45688</v>
      </c>
      <c r="B52" s="41">
        <v>1000000</v>
      </c>
      <c r="C52" s="41">
        <v>0</v>
      </c>
      <c r="D52" s="41">
        <v>2500000</v>
      </c>
      <c r="E52" s="41">
        <v>0</v>
      </c>
      <c r="F52" s="41">
        <v>2500000</v>
      </c>
      <c r="G52" s="41">
        <v>0</v>
      </c>
      <c r="H52" s="41">
        <v>33333333.33333328</v>
      </c>
      <c r="I52" s="41">
        <v>277777.77777777781</v>
      </c>
      <c r="J52" s="41">
        <v>0</v>
      </c>
      <c r="K52" s="41">
        <v>0</v>
      </c>
      <c r="L52" s="41">
        <v>0</v>
      </c>
      <c r="M52" s="41">
        <v>0</v>
      </c>
      <c r="N52" s="41">
        <v>6000000</v>
      </c>
      <c r="O52" s="41">
        <v>0</v>
      </c>
      <c r="P52" s="41">
        <v>20000000.000000019</v>
      </c>
      <c r="Q52" s="41">
        <v>166666.66666666669</v>
      </c>
      <c r="R52" s="41">
        <v>2500000</v>
      </c>
      <c r="S52" s="41">
        <v>0</v>
      </c>
      <c r="T52" s="41">
        <v>0</v>
      </c>
      <c r="U52" s="41">
        <v>0</v>
      </c>
      <c r="V52" s="41">
        <v>67833333.333333299</v>
      </c>
      <c r="W52" s="41">
        <v>444444.44444444438</v>
      </c>
      <c r="X52" s="38">
        <f t="shared" si="3"/>
        <v>0.1356666666666666</v>
      </c>
      <c r="Y52" s="39">
        <f t="shared" si="0"/>
        <v>8.8888888888888871E-4</v>
      </c>
      <c r="Z52" s="39">
        <f t="shared" si="4"/>
        <v>6.5952184666117075E-3</v>
      </c>
      <c r="AA52" s="41">
        <f t="shared" si="1"/>
        <v>432166666.66666669</v>
      </c>
      <c r="AB52" s="39">
        <f t="shared" si="2"/>
        <v>1.0284098213137933E-3</v>
      </c>
      <c r="AC52" s="38">
        <f t="shared" si="5"/>
        <v>0.41811846689895554</v>
      </c>
      <c r="AD52" s="3"/>
    </row>
    <row r="53" spans="1:30" x14ac:dyDescent="0.25">
      <c r="A53" s="37">
        <v>45689</v>
      </c>
      <c r="B53" s="41">
        <v>1000000</v>
      </c>
      <c r="C53" s="41">
        <v>0</v>
      </c>
      <c r="D53" s="41">
        <v>2500000</v>
      </c>
      <c r="E53" s="41">
        <v>0</v>
      </c>
      <c r="F53" s="41">
        <v>2500000</v>
      </c>
      <c r="G53" s="41">
        <v>0</v>
      </c>
      <c r="H53" s="41">
        <v>33611111.11111106</v>
      </c>
      <c r="I53" s="41">
        <v>277777.77777777781</v>
      </c>
      <c r="J53" s="41">
        <v>0</v>
      </c>
      <c r="K53" s="41">
        <v>0</v>
      </c>
      <c r="L53" s="41">
        <v>0</v>
      </c>
      <c r="M53" s="41">
        <v>0</v>
      </c>
      <c r="N53" s="41">
        <v>6079166.666666667</v>
      </c>
      <c r="O53" s="41">
        <v>79166.666666666672</v>
      </c>
      <c r="P53" s="41">
        <v>20166666.66666669</v>
      </c>
      <c r="Q53" s="41">
        <v>166666.66666666669</v>
      </c>
      <c r="R53" s="41">
        <v>2500000</v>
      </c>
      <c r="S53" s="41">
        <v>0</v>
      </c>
      <c r="T53" s="41">
        <v>0</v>
      </c>
      <c r="U53" s="41">
        <v>0</v>
      </c>
      <c r="V53" s="41">
        <v>68356944.444444418</v>
      </c>
      <c r="W53" s="41">
        <v>523611.11111111112</v>
      </c>
      <c r="X53" s="38">
        <f t="shared" si="3"/>
        <v>0.13671388888888883</v>
      </c>
      <c r="Y53" s="39">
        <f t="shared" si="0"/>
        <v>1.0472222222222222E-3</v>
      </c>
      <c r="Z53" s="39">
        <f t="shared" si="4"/>
        <v>7.7190827190827234E-3</v>
      </c>
      <c r="AA53" s="41">
        <f t="shared" si="1"/>
        <v>431643055.55555558</v>
      </c>
      <c r="AB53" s="39">
        <f t="shared" si="2"/>
        <v>1.2130650646914405E-3</v>
      </c>
      <c r="AC53" s="38">
        <f t="shared" si="5"/>
        <v>0.41847998386027702</v>
      </c>
      <c r="AD53" s="3"/>
    </row>
    <row r="54" spans="1:30" x14ac:dyDescent="0.25">
      <c r="A54" s="37">
        <v>45690</v>
      </c>
      <c r="B54" s="41">
        <v>1000000</v>
      </c>
      <c r="C54" s="41">
        <v>0</v>
      </c>
      <c r="D54" s="41">
        <v>2500000</v>
      </c>
      <c r="E54" s="41">
        <v>0</v>
      </c>
      <c r="F54" s="41">
        <v>2500000</v>
      </c>
      <c r="G54" s="41">
        <v>0</v>
      </c>
      <c r="H54" s="41">
        <v>33888888.888888843</v>
      </c>
      <c r="I54" s="41">
        <v>277777.77777777781</v>
      </c>
      <c r="J54" s="41">
        <v>0</v>
      </c>
      <c r="K54" s="41">
        <v>0</v>
      </c>
      <c r="L54" s="41">
        <v>0</v>
      </c>
      <c r="M54" s="41">
        <v>0</v>
      </c>
      <c r="N54" s="41">
        <v>6158333.333333334</v>
      </c>
      <c r="O54" s="41">
        <v>79166.666666666672</v>
      </c>
      <c r="P54" s="41">
        <v>20333333.333333351</v>
      </c>
      <c r="Q54" s="41">
        <v>166666.66666666669</v>
      </c>
      <c r="R54" s="41">
        <v>2500000</v>
      </c>
      <c r="S54" s="41">
        <v>0</v>
      </c>
      <c r="T54" s="41">
        <v>0</v>
      </c>
      <c r="U54" s="41">
        <v>0</v>
      </c>
      <c r="V54" s="41">
        <v>68880555.555555522</v>
      </c>
      <c r="W54" s="41">
        <v>523611.11111111112</v>
      </c>
      <c r="X54" s="38">
        <f t="shared" si="3"/>
        <v>0.13776111111111106</v>
      </c>
      <c r="Y54" s="39">
        <f t="shared" si="0"/>
        <v>1.0472222222222222E-3</v>
      </c>
      <c r="Z54" s="39">
        <f t="shared" si="4"/>
        <v>7.6599548936343168E-3</v>
      </c>
      <c r="AA54" s="41">
        <f t="shared" si="1"/>
        <v>431119444.44444448</v>
      </c>
      <c r="AB54" s="39">
        <f t="shared" si="2"/>
        <v>1.2145383787684515E-3</v>
      </c>
      <c r="AC54" s="38">
        <f t="shared" si="5"/>
        <v>0.41883618469989209</v>
      </c>
      <c r="AD54" s="3"/>
    </row>
    <row r="55" spans="1:30" x14ac:dyDescent="0.25">
      <c r="A55" s="37">
        <v>45691</v>
      </c>
      <c r="B55" s="41">
        <v>1000000</v>
      </c>
      <c r="C55" s="41">
        <v>0</v>
      </c>
      <c r="D55" s="41">
        <v>2500000</v>
      </c>
      <c r="E55" s="41">
        <v>0</v>
      </c>
      <c r="F55" s="41">
        <v>2500000</v>
      </c>
      <c r="G55" s="41">
        <v>0</v>
      </c>
      <c r="H55" s="41">
        <v>34166666.666666612</v>
      </c>
      <c r="I55" s="41">
        <v>277777.77777777781</v>
      </c>
      <c r="J55" s="41">
        <v>0</v>
      </c>
      <c r="K55" s="41">
        <v>0</v>
      </c>
      <c r="L55" s="41">
        <v>0</v>
      </c>
      <c r="M55" s="41">
        <v>0</v>
      </c>
      <c r="N55" s="41">
        <v>6237500.0000000009</v>
      </c>
      <c r="O55" s="41">
        <v>79166.666666666672</v>
      </c>
      <c r="P55" s="41">
        <v>20500000.000000019</v>
      </c>
      <c r="Q55" s="41">
        <v>166666.66666666669</v>
      </c>
      <c r="R55" s="41">
        <v>2500000</v>
      </c>
      <c r="S55" s="41">
        <v>0</v>
      </c>
      <c r="T55" s="41">
        <v>0</v>
      </c>
      <c r="U55" s="41">
        <v>0</v>
      </c>
      <c r="V55" s="41">
        <v>69404166.666666627</v>
      </c>
      <c r="W55" s="41">
        <v>523611.11111111112</v>
      </c>
      <c r="X55" s="38">
        <f t="shared" si="3"/>
        <v>0.13880833333333326</v>
      </c>
      <c r="Y55" s="39">
        <f t="shared" si="0"/>
        <v>1.0472222222222222E-3</v>
      </c>
      <c r="Z55" s="39">
        <f t="shared" si="4"/>
        <v>7.6017260152437833E-3</v>
      </c>
      <c r="AA55" s="41">
        <f t="shared" si="1"/>
        <v>430595833.33333337</v>
      </c>
      <c r="AB55" s="39">
        <f t="shared" si="2"/>
        <v>1.2160152759903104E-3</v>
      </c>
      <c r="AC55" s="38">
        <f t="shared" si="5"/>
        <v>0.41918718582261311</v>
      </c>
      <c r="AD55" s="3"/>
    </row>
    <row r="56" spans="1:30" x14ac:dyDescent="0.25">
      <c r="A56" s="37">
        <v>45692</v>
      </c>
      <c r="B56" s="41">
        <v>1000000</v>
      </c>
      <c r="C56" s="41">
        <v>0</v>
      </c>
      <c r="D56" s="41">
        <v>2500000</v>
      </c>
      <c r="E56" s="41">
        <v>0</v>
      </c>
      <c r="F56" s="41">
        <v>2500000</v>
      </c>
      <c r="G56" s="41">
        <v>0</v>
      </c>
      <c r="H56" s="41">
        <v>34444444.444444388</v>
      </c>
      <c r="I56" s="41">
        <v>277777.77777777781</v>
      </c>
      <c r="J56" s="41">
        <v>0</v>
      </c>
      <c r="K56" s="41">
        <v>0</v>
      </c>
      <c r="L56" s="41">
        <v>0</v>
      </c>
      <c r="M56" s="41">
        <v>0</v>
      </c>
      <c r="N56" s="41">
        <v>6316666.6666666679</v>
      </c>
      <c r="O56" s="41">
        <v>79166.666666666672</v>
      </c>
      <c r="P56" s="41">
        <v>20666666.66666669</v>
      </c>
      <c r="Q56" s="41">
        <v>166666.66666666669</v>
      </c>
      <c r="R56" s="41">
        <v>2500000</v>
      </c>
      <c r="S56" s="41">
        <v>0</v>
      </c>
      <c r="T56" s="41">
        <v>0</v>
      </c>
      <c r="U56" s="41">
        <v>0</v>
      </c>
      <c r="V56" s="41">
        <v>69927777.777777746</v>
      </c>
      <c r="W56" s="41">
        <v>523611.11111111112</v>
      </c>
      <c r="X56" s="38">
        <f t="shared" si="3"/>
        <v>0.13985555555555548</v>
      </c>
      <c r="Y56" s="39">
        <f t="shared" si="0"/>
        <v>1.0472222222222222E-3</v>
      </c>
      <c r="Z56" s="39">
        <f t="shared" si="4"/>
        <v>7.5443757379280024E-3</v>
      </c>
      <c r="AA56" s="41">
        <f t="shared" si="1"/>
        <v>430072222.22222227</v>
      </c>
      <c r="AB56" s="39">
        <f t="shared" si="2"/>
        <v>1.2174957694444084E-3</v>
      </c>
      <c r="AC56" s="38">
        <f t="shared" si="5"/>
        <v>0.41953310025938967</v>
      </c>
      <c r="AD56" s="3"/>
    </row>
    <row r="57" spans="1:30" x14ac:dyDescent="0.25">
      <c r="A57" s="37">
        <v>45693</v>
      </c>
      <c r="B57" s="41">
        <v>1000000</v>
      </c>
      <c r="C57" s="41">
        <v>0</v>
      </c>
      <c r="D57" s="41">
        <v>2500000</v>
      </c>
      <c r="E57" s="41">
        <v>0</v>
      </c>
      <c r="F57" s="41">
        <v>2500000</v>
      </c>
      <c r="G57" s="41">
        <v>0</v>
      </c>
      <c r="H57" s="41">
        <v>34722222.222222157</v>
      </c>
      <c r="I57" s="41">
        <v>277777.77777777781</v>
      </c>
      <c r="J57" s="41">
        <v>0</v>
      </c>
      <c r="K57" s="41">
        <v>0</v>
      </c>
      <c r="L57" s="41">
        <v>0</v>
      </c>
      <c r="M57" s="41">
        <v>0</v>
      </c>
      <c r="N57" s="41">
        <v>6395833.3333333349</v>
      </c>
      <c r="O57" s="41">
        <v>79166.666666666672</v>
      </c>
      <c r="P57" s="41">
        <v>20833333.333333358</v>
      </c>
      <c r="Q57" s="41">
        <v>166666.66666666669</v>
      </c>
      <c r="R57" s="41">
        <v>2500000</v>
      </c>
      <c r="S57" s="41">
        <v>0</v>
      </c>
      <c r="T57" s="41">
        <v>0</v>
      </c>
      <c r="U57" s="41">
        <v>0</v>
      </c>
      <c r="V57" s="41">
        <v>70451388.888888866</v>
      </c>
      <c r="W57" s="41">
        <v>523611.11111111112</v>
      </c>
      <c r="X57" s="38">
        <f t="shared" si="3"/>
        <v>0.14090277777777774</v>
      </c>
      <c r="Y57" s="39">
        <f t="shared" si="0"/>
        <v>1.0472222222222222E-3</v>
      </c>
      <c r="Z57" s="39">
        <f t="shared" si="4"/>
        <v>7.487884325097326E-3</v>
      </c>
      <c r="AA57" s="41">
        <f t="shared" si="1"/>
        <v>429548611.11111116</v>
      </c>
      <c r="AB57" s="39">
        <f t="shared" si="2"/>
        <v>1.2189798722819496E-3</v>
      </c>
      <c r="AC57" s="38">
        <f t="shared" si="5"/>
        <v>0.41987403778866433</v>
      </c>
      <c r="AD57" s="3"/>
    </row>
    <row r="58" spans="1:30" x14ac:dyDescent="0.25">
      <c r="A58" s="37">
        <v>45694</v>
      </c>
      <c r="B58" s="41">
        <v>1000000</v>
      </c>
      <c r="C58" s="41">
        <v>0</v>
      </c>
      <c r="D58" s="41">
        <v>2500000</v>
      </c>
      <c r="E58" s="41">
        <v>0</v>
      </c>
      <c r="F58" s="41">
        <v>2500000</v>
      </c>
      <c r="G58" s="41">
        <v>0</v>
      </c>
      <c r="H58" s="41">
        <v>34999999.99999994</v>
      </c>
      <c r="I58" s="41">
        <v>277777.77777777781</v>
      </c>
      <c r="J58" s="41">
        <v>0</v>
      </c>
      <c r="K58" s="41">
        <v>0</v>
      </c>
      <c r="L58" s="41">
        <v>0</v>
      </c>
      <c r="M58" s="41">
        <v>0</v>
      </c>
      <c r="N58" s="41">
        <v>6475000.0000000019</v>
      </c>
      <c r="O58" s="41">
        <v>79166.666666666672</v>
      </c>
      <c r="P58" s="41">
        <v>21000000.00000003</v>
      </c>
      <c r="Q58" s="41">
        <v>166666.66666666669</v>
      </c>
      <c r="R58" s="41">
        <v>2500000</v>
      </c>
      <c r="S58" s="41">
        <v>0</v>
      </c>
      <c r="T58" s="41">
        <v>0</v>
      </c>
      <c r="U58" s="41">
        <v>0</v>
      </c>
      <c r="V58" s="41">
        <v>70974999.99999997</v>
      </c>
      <c r="W58" s="41">
        <v>523611.11111111112</v>
      </c>
      <c r="X58" s="38">
        <f t="shared" si="3"/>
        <v>0.14194999999999994</v>
      </c>
      <c r="Y58" s="39">
        <f t="shared" si="0"/>
        <v>1.0472222222222222E-3</v>
      </c>
      <c r="Z58" s="39">
        <f t="shared" si="4"/>
        <v>7.4322326269098101E-3</v>
      </c>
      <c r="AA58" s="41">
        <f t="shared" si="1"/>
        <v>429025000</v>
      </c>
      <c r="AB58" s="39">
        <f t="shared" si="2"/>
        <v>1.2204675977183408E-3</v>
      </c>
      <c r="AC58" s="38">
        <f t="shared" si="5"/>
        <v>0.42021010505252737</v>
      </c>
      <c r="AD58" s="3"/>
    </row>
    <row r="59" spans="1:30" x14ac:dyDescent="0.25">
      <c r="A59" s="37">
        <v>45695</v>
      </c>
      <c r="B59" s="41">
        <v>1000000</v>
      </c>
      <c r="C59" s="41">
        <v>0</v>
      </c>
      <c r="D59" s="41">
        <v>2500000</v>
      </c>
      <c r="E59" s="41">
        <v>0</v>
      </c>
      <c r="F59" s="41">
        <v>2500000</v>
      </c>
      <c r="G59" s="41">
        <v>0</v>
      </c>
      <c r="H59" s="41">
        <v>35277777.777777717</v>
      </c>
      <c r="I59" s="41">
        <v>277777.77777777781</v>
      </c>
      <c r="J59" s="41">
        <v>0</v>
      </c>
      <c r="K59" s="41">
        <v>0</v>
      </c>
      <c r="L59" s="41">
        <v>0</v>
      </c>
      <c r="M59" s="41">
        <v>0</v>
      </c>
      <c r="N59" s="41">
        <v>6554166.6666666688</v>
      </c>
      <c r="O59" s="41">
        <v>79166.666666666672</v>
      </c>
      <c r="P59" s="41">
        <v>21166666.66666669</v>
      </c>
      <c r="Q59" s="41">
        <v>166666.66666666669</v>
      </c>
      <c r="R59" s="41">
        <v>2500000</v>
      </c>
      <c r="S59" s="41">
        <v>0</v>
      </c>
      <c r="T59" s="41">
        <v>0</v>
      </c>
      <c r="U59" s="41">
        <v>0</v>
      </c>
      <c r="V59" s="41">
        <v>71498611.111111075</v>
      </c>
      <c r="W59" s="41">
        <v>523611.11111111112</v>
      </c>
      <c r="X59" s="38">
        <f t="shared" si="3"/>
        <v>0.14299722222222214</v>
      </c>
      <c r="Y59" s="39">
        <f t="shared" si="0"/>
        <v>1.0472222222222222E-3</v>
      </c>
      <c r="Z59" s="39">
        <f t="shared" si="4"/>
        <v>7.3774020586278456E-3</v>
      </c>
      <c r="AA59" s="41">
        <f t="shared" si="1"/>
        <v>428501388.88888896</v>
      </c>
      <c r="AB59" s="39">
        <f t="shared" si="2"/>
        <v>1.2219589590335826E-3</v>
      </c>
      <c r="AC59" s="38">
        <f t="shared" si="5"/>
        <v>0.42054140566792775</v>
      </c>
      <c r="AD59" s="3"/>
    </row>
    <row r="60" spans="1:30" x14ac:dyDescent="0.25">
      <c r="A60" s="37">
        <v>45696</v>
      </c>
      <c r="B60" s="41">
        <v>1000000</v>
      </c>
      <c r="C60" s="41">
        <v>0</v>
      </c>
      <c r="D60" s="41">
        <v>2500000</v>
      </c>
      <c r="E60" s="41">
        <v>0</v>
      </c>
      <c r="F60" s="41">
        <v>2500000</v>
      </c>
      <c r="G60" s="41">
        <v>0</v>
      </c>
      <c r="H60" s="41">
        <v>35555555.555555493</v>
      </c>
      <c r="I60" s="41">
        <v>277777.77777777781</v>
      </c>
      <c r="J60" s="41">
        <v>0</v>
      </c>
      <c r="K60" s="41">
        <v>0</v>
      </c>
      <c r="L60" s="41">
        <v>0</v>
      </c>
      <c r="M60" s="41">
        <v>0</v>
      </c>
      <c r="N60" s="41">
        <v>6633333.3333333358</v>
      </c>
      <c r="O60" s="41">
        <v>79166.666666666672</v>
      </c>
      <c r="P60" s="41">
        <v>21333333.333333358</v>
      </c>
      <c r="Q60" s="41">
        <v>166666.66666666669</v>
      </c>
      <c r="R60" s="41">
        <v>2500000</v>
      </c>
      <c r="S60" s="41">
        <v>0</v>
      </c>
      <c r="T60" s="41">
        <v>0</v>
      </c>
      <c r="U60" s="41">
        <v>0</v>
      </c>
      <c r="V60" s="41">
        <v>72022222.222222194</v>
      </c>
      <c r="W60" s="41">
        <v>523611.11111111112</v>
      </c>
      <c r="X60" s="38">
        <f t="shared" si="3"/>
        <v>0.14404444444444439</v>
      </c>
      <c r="Y60" s="39">
        <f t="shared" si="0"/>
        <v>1.0472222222222222E-3</v>
      </c>
      <c r="Z60" s="39">
        <f t="shared" si="4"/>
        <v>7.3233745799257989E-3</v>
      </c>
      <c r="AA60" s="41">
        <f t="shared" si="1"/>
        <v>427977777.77777779</v>
      </c>
      <c r="AB60" s="39">
        <f t="shared" si="2"/>
        <v>1.2234539695726674E-3</v>
      </c>
      <c r="AC60" s="38">
        <f t="shared" si="5"/>
        <v>0.42086804033318814</v>
      </c>
      <c r="AD60" s="3"/>
    </row>
    <row r="61" spans="1:30" x14ac:dyDescent="0.25">
      <c r="A61" s="37">
        <v>45697</v>
      </c>
      <c r="B61" s="41">
        <v>1000000</v>
      </c>
      <c r="C61" s="41">
        <v>0</v>
      </c>
      <c r="D61" s="41">
        <v>2500000</v>
      </c>
      <c r="E61" s="41">
        <v>0</v>
      </c>
      <c r="F61" s="41">
        <v>2500000</v>
      </c>
      <c r="G61" s="41">
        <v>0</v>
      </c>
      <c r="H61" s="41">
        <v>35833333.333333269</v>
      </c>
      <c r="I61" s="41">
        <v>277777.77777777781</v>
      </c>
      <c r="J61" s="41">
        <v>0</v>
      </c>
      <c r="K61" s="41">
        <v>0</v>
      </c>
      <c r="L61" s="41">
        <v>0</v>
      </c>
      <c r="M61" s="41">
        <v>0</v>
      </c>
      <c r="N61" s="41">
        <v>6712500.0000000028</v>
      </c>
      <c r="O61" s="41">
        <v>79166.666666666672</v>
      </c>
      <c r="P61" s="41">
        <v>21500000.00000003</v>
      </c>
      <c r="Q61" s="41">
        <v>166666.66666666669</v>
      </c>
      <c r="R61" s="41">
        <v>2500000</v>
      </c>
      <c r="S61" s="41">
        <v>0</v>
      </c>
      <c r="T61" s="41">
        <v>0</v>
      </c>
      <c r="U61" s="41">
        <v>0</v>
      </c>
      <c r="V61" s="41">
        <v>72545833.333333299</v>
      </c>
      <c r="W61" s="41">
        <v>523611.11111111112</v>
      </c>
      <c r="X61" s="38">
        <f t="shared" si="3"/>
        <v>0.14509166666666659</v>
      </c>
      <c r="Y61" s="39">
        <f t="shared" si="0"/>
        <v>1.0472222222222222E-3</v>
      </c>
      <c r="Z61" s="39">
        <f t="shared" si="4"/>
        <v>7.2701326751002807E-3</v>
      </c>
      <c r="AA61" s="41">
        <f t="shared" si="1"/>
        <v>427454166.66666669</v>
      </c>
      <c r="AB61" s="39">
        <f t="shared" si="2"/>
        <v>1.2249526427459735E-3</v>
      </c>
      <c r="AC61" s="38">
        <f t="shared" si="5"/>
        <v>0.42119010693004766</v>
      </c>
      <c r="AD61" s="3"/>
    </row>
    <row r="62" spans="1:30" x14ac:dyDescent="0.25">
      <c r="A62" s="37">
        <v>45698</v>
      </c>
      <c r="B62" s="41">
        <v>1000000</v>
      </c>
      <c r="C62" s="41">
        <v>0</v>
      </c>
      <c r="D62" s="41">
        <v>2500000</v>
      </c>
      <c r="E62" s="41">
        <v>0</v>
      </c>
      <c r="F62" s="41">
        <v>2500000</v>
      </c>
      <c r="G62" s="41">
        <v>0</v>
      </c>
      <c r="H62" s="41">
        <v>36111111.111111037</v>
      </c>
      <c r="I62" s="41">
        <v>277777.77777777781</v>
      </c>
      <c r="J62" s="41">
        <v>0</v>
      </c>
      <c r="K62" s="41">
        <v>0</v>
      </c>
      <c r="L62" s="41">
        <v>0</v>
      </c>
      <c r="M62" s="41">
        <v>0</v>
      </c>
      <c r="N62" s="41">
        <v>6791666.6666666698</v>
      </c>
      <c r="O62" s="41">
        <v>79166.666666666672</v>
      </c>
      <c r="P62" s="41">
        <v>21666666.666666701</v>
      </c>
      <c r="Q62" s="41">
        <v>166666.66666666669</v>
      </c>
      <c r="R62" s="41">
        <v>2500000</v>
      </c>
      <c r="S62" s="41">
        <v>0</v>
      </c>
      <c r="T62" s="41">
        <v>0</v>
      </c>
      <c r="U62" s="41">
        <v>0</v>
      </c>
      <c r="V62" s="41">
        <v>73069444.444444418</v>
      </c>
      <c r="W62" s="41">
        <v>523611.11111111112</v>
      </c>
      <c r="X62" s="38">
        <f t="shared" si="3"/>
        <v>0.14613888888888885</v>
      </c>
      <c r="Y62" s="39">
        <f t="shared" si="0"/>
        <v>1.0472222222222222E-3</v>
      </c>
      <c r="Z62" s="39">
        <f t="shared" si="4"/>
        <v>7.2176593341374265E-3</v>
      </c>
      <c r="AA62" s="41">
        <f t="shared" si="1"/>
        <v>426930555.55555558</v>
      </c>
      <c r="AB62" s="39">
        <f t="shared" si="2"/>
        <v>1.226454992029669E-3</v>
      </c>
      <c r="AC62" s="38">
        <f t="shared" si="5"/>
        <v>0.42150770062145482</v>
      </c>
      <c r="AD62" s="3"/>
    </row>
    <row r="63" spans="1:30" x14ac:dyDescent="0.25">
      <c r="A63" s="37">
        <v>45699</v>
      </c>
      <c r="B63" s="41">
        <v>1000000</v>
      </c>
      <c r="C63" s="41">
        <v>0</v>
      </c>
      <c r="D63" s="41">
        <v>2500000</v>
      </c>
      <c r="E63" s="41">
        <v>0</v>
      </c>
      <c r="F63" s="41">
        <v>2500000</v>
      </c>
      <c r="G63" s="41">
        <v>0</v>
      </c>
      <c r="H63" s="41">
        <v>36388888.888888821</v>
      </c>
      <c r="I63" s="41">
        <v>277777.77777777781</v>
      </c>
      <c r="J63" s="41">
        <v>0</v>
      </c>
      <c r="K63" s="41">
        <v>0</v>
      </c>
      <c r="L63" s="41">
        <v>0</v>
      </c>
      <c r="M63" s="41">
        <v>0</v>
      </c>
      <c r="N63" s="41">
        <v>6870833.3333333367</v>
      </c>
      <c r="O63" s="41">
        <v>79166.666666666672</v>
      </c>
      <c r="P63" s="41">
        <v>21833333.333333369</v>
      </c>
      <c r="Q63" s="41">
        <v>166666.66666666669</v>
      </c>
      <c r="R63" s="41">
        <v>2500000</v>
      </c>
      <c r="S63" s="41">
        <v>0</v>
      </c>
      <c r="T63" s="41">
        <v>0</v>
      </c>
      <c r="U63" s="41">
        <v>0</v>
      </c>
      <c r="V63" s="41">
        <v>73593055.555555522</v>
      </c>
      <c r="W63" s="41">
        <v>523611.11111111112</v>
      </c>
      <c r="X63" s="38">
        <f t="shared" si="3"/>
        <v>0.14718611111111105</v>
      </c>
      <c r="Y63" s="39">
        <f t="shared" si="0"/>
        <v>1.0472222222222222E-3</v>
      </c>
      <c r="Z63" s="39">
        <f t="shared" si="4"/>
        <v>7.1659380345941862E-3</v>
      </c>
      <c r="AA63" s="41">
        <f t="shared" si="1"/>
        <v>426406944.44444448</v>
      </c>
      <c r="AB63" s="39">
        <f t="shared" si="2"/>
        <v>1.2279610309661154E-3</v>
      </c>
      <c r="AC63" s="38">
        <f t="shared" si="5"/>
        <v>0.42182091394531485</v>
      </c>
      <c r="AD63" s="3"/>
    </row>
    <row r="64" spans="1:30" x14ac:dyDescent="0.25">
      <c r="A64" s="37">
        <v>45700</v>
      </c>
      <c r="B64" s="41">
        <v>1000000</v>
      </c>
      <c r="C64" s="41">
        <v>0</v>
      </c>
      <c r="D64" s="41">
        <v>2500000</v>
      </c>
      <c r="E64" s="41">
        <v>0</v>
      </c>
      <c r="F64" s="41">
        <v>2500000</v>
      </c>
      <c r="G64" s="41">
        <v>0</v>
      </c>
      <c r="H64" s="41">
        <v>36666666.666666597</v>
      </c>
      <c r="I64" s="41">
        <v>277777.77777777781</v>
      </c>
      <c r="J64" s="41">
        <v>0</v>
      </c>
      <c r="K64" s="41">
        <v>0</v>
      </c>
      <c r="L64" s="41">
        <v>0</v>
      </c>
      <c r="M64" s="41">
        <v>0</v>
      </c>
      <c r="N64" s="41">
        <v>6950000.0000000037</v>
      </c>
      <c r="O64" s="41">
        <v>79166.666666666672</v>
      </c>
      <c r="P64" s="41">
        <v>22000000.00000003</v>
      </c>
      <c r="Q64" s="41">
        <v>166666.66666666669</v>
      </c>
      <c r="R64" s="41">
        <v>2500000</v>
      </c>
      <c r="S64" s="41">
        <v>0</v>
      </c>
      <c r="T64" s="41">
        <v>0</v>
      </c>
      <c r="U64" s="41">
        <v>0</v>
      </c>
      <c r="V64" s="41">
        <v>74116666.666666627</v>
      </c>
      <c r="W64" s="41">
        <v>523611.11111111112</v>
      </c>
      <c r="X64" s="38">
        <f t="shared" si="3"/>
        <v>0.14823333333333324</v>
      </c>
      <c r="Y64" s="39">
        <f t="shared" si="0"/>
        <v>1.0472222222222222E-3</v>
      </c>
      <c r="Z64" s="39">
        <f t="shared" si="4"/>
        <v>7.1149527242531218E-3</v>
      </c>
      <c r="AA64" s="41">
        <f t="shared" si="1"/>
        <v>425883333.33333337</v>
      </c>
      <c r="AB64" s="39">
        <f t="shared" si="2"/>
        <v>1.2294707731642729E-3</v>
      </c>
      <c r="AC64" s="38">
        <f t="shared" si="5"/>
        <v>0.42212983690438233</v>
      </c>
      <c r="AD64" s="3"/>
    </row>
    <row r="65" spans="1:30" x14ac:dyDescent="0.25">
      <c r="A65" s="37">
        <v>45701</v>
      </c>
      <c r="B65" s="41">
        <v>1000000</v>
      </c>
      <c r="C65" s="41">
        <v>0</v>
      </c>
      <c r="D65" s="41">
        <v>2500000</v>
      </c>
      <c r="E65" s="41">
        <v>0</v>
      </c>
      <c r="F65" s="41">
        <v>2500000</v>
      </c>
      <c r="G65" s="41">
        <v>0</v>
      </c>
      <c r="H65" s="41">
        <v>36944444.444444373</v>
      </c>
      <c r="I65" s="41">
        <v>277777.77777777781</v>
      </c>
      <c r="J65" s="41">
        <v>0</v>
      </c>
      <c r="K65" s="41">
        <v>0</v>
      </c>
      <c r="L65" s="41">
        <v>0</v>
      </c>
      <c r="M65" s="41">
        <v>0</v>
      </c>
      <c r="N65" s="41">
        <v>7029166.6666666707</v>
      </c>
      <c r="O65" s="41">
        <v>79166.666666666672</v>
      </c>
      <c r="P65" s="41">
        <v>22166666.666666701</v>
      </c>
      <c r="Q65" s="41">
        <v>166666.66666666669</v>
      </c>
      <c r="R65" s="41">
        <v>2500000</v>
      </c>
      <c r="S65" s="41">
        <v>0</v>
      </c>
      <c r="T65" s="41">
        <v>0</v>
      </c>
      <c r="U65" s="41">
        <v>0</v>
      </c>
      <c r="V65" s="41">
        <v>74640277.777777746</v>
      </c>
      <c r="W65" s="41">
        <v>523611.11111111112</v>
      </c>
      <c r="X65" s="38">
        <f t="shared" si="3"/>
        <v>0.1492805555555555</v>
      </c>
      <c r="Y65" s="39">
        <f t="shared" si="0"/>
        <v>1.0472222222222222E-3</v>
      </c>
      <c r="Z65" s="39">
        <f t="shared" si="4"/>
        <v>7.064687804512409E-3</v>
      </c>
      <c r="AA65" s="41">
        <f t="shared" si="1"/>
        <v>425359722.22222227</v>
      </c>
      <c r="AB65" s="39">
        <f t="shared" si="2"/>
        <v>1.2309842323001119E-3</v>
      </c>
      <c r="AC65" s="38">
        <f t="shared" si="5"/>
        <v>0.42243455705248789</v>
      </c>
      <c r="AD65" s="3"/>
    </row>
    <row r="66" spans="1:30" x14ac:dyDescent="0.25">
      <c r="A66" s="37">
        <v>45702</v>
      </c>
      <c r="B66" s="41">
        <v>1000000</v>
      </c>
      <c r="C66" s="41">
        <v>0</v>
      </c>
      <c r="D66" s="41">
        <v>2500000</v>
      </c>
      <c r="E66" s="41">
        <v>0</v>
      </c>
      <c r="F66" s="41">
        <v>2500000</v>
      </c>
      <c r="G66" s="41">
        <v>0</v>
      </c>
      <c r="H66" s="41">
        <v>37222222.222222149</v>
      </c>
      <c r="I66" s="41">
        <v>277777.77777777781</v>
      </c>
      <c r="J66" s="41">
        <v>0</v>
      </c>
      <c r="K66" s="41">
        <v>0</v>
      </c>
      <c r="L66" s="41">
        <v>0</v>
      </c>
      <c r="M66" s="41">
        <v>0</v>
      </c>
      <c r="N66" s="41">
        <v>7108333.3333333377</v>
      </c>
      <c r="O66" s="41">
        <v>79166.666666666672</v>
      </c>
      <c r="P66" s="41">
        <v>22333333.333333369</v>
      </c>
      <c r="Q66" s="41">
        <v>166666.66666666669</v>
      </c>
      <c r="R66" s="41">
        <v>2500000</v>
      </c>
      <c r="S66" s="41">
        <v>0</v>
      </c>
      <c r="T66" s="41">
        <v>0</v>
      </c>
      <c r="U66" s="41">
        <v>0</v>
      </c>
      <c r="V66" s="41">
        <v>75163888.888888851</v>
      </c>
      <c r="W66" s="41">
        <v>523611.11111111112</v>
      </c>
      <c r="X66" s="38">
        <f t="shared" si="3"/>
        <v>0.1503277777777777</v>
      </c>
      <c r="Y66" s="39">
        <f t="shared" si="0"/>
        <v>1.0472222222222222E-3</v>
      </c>
      <c r="Z66" s="39">
        <f t="shared" si="4"/>
        <v>7.0151281144749849E-3</v>
      </c>
      <c r="AA66" s="41">
        <f t="shared" si="1"/>
        <v>424836111.11111116</v>
      </c>
      <c r="AB66" s="39">
        <f t="shared" si="2"/>
        <v>1.2325014221170254E-3</v>
      </c>
      <c r="AC66" s="38">
        <f t="shared" si="5"/>
        <v>0.42273515957726615</v>
      </c>
      <c r="AD66" s="3"/>
    </row>
    <row r="67" spans="1:30" x14ac:dyDescent="0.25">
      <c r="A67" s="37">
        <v>45703</v>
      </c>
      <c r="B67" s="41">
        <v>1000000</v>
      </c>
      <c r="C67" s="41">
        <v>0</v>
      </c>
      <c r="D67" s="41">
        <v>2500000</v>
      </c>
      <c r="E67" s="41">
        <v>0</v>
      </c>
      <c r="F67" s="41">
        <v>2500000</v>
      </c>
      <c r="G67" s="41">
        <v>0</v>
      </c>
      <c r="H67" s="41">
        <v>37499999.999999933</v>
      </c>
      <c r="I67" s="41">
        <v>277777.77777777781</v>
      </c>
      <c r="J67" s="41">
        <v>0</v>
      </c>
      <c r="K67" s="41">
        <v>0</v>
      </c>
      <c r="L67" s="41">
        <v>0</v>
      </c>
      <c r="M67" s="41">
        <v>0</v>
      </c>
      <c r="N67" s="41">
        <v>7187500.0000000047</v>
      </c>
      <c r="O67" s="41">
        <v>79166.666666666672</v>
      </c>
      <c r="P67" s="41">
        <v>22500000.000000041</v>
      </c>
      <c r="Q67" s="41">
        <v>166666.66666666669</v>
      </c>
      <c r="R67" s="41">
        <v>2500000</v>
      </c>
      <c r="S67" s="41">
        <v>0</v>
      </c>
      <c r="T67" s="41">
        <v>0</v>
      </c>
      <c r="U67" s="41">
        <v>0</v>
      </c>
      <c r="V67" s="41">
        <v>75687499.99999997</v>
      </c>
      <c r="W67" s="41">
        <v>523611.11111111112</v>
      </c>
      <c r="X67" s="38">
        <f t="shared" si="3"/>
        <v>0.15137499999999995</v>
      </c>
      <c r="Y67" s="39">
        <f t="shared" si="0"/>
        <v>1.0472222222222222E-3</v>
      </c>
      <c r="Z67" s="39">
        <f t="shared" si="4"/>
        <v>6.9662589157027275E-3</v>
      </c>
      <c r="AA67" s="41">
        <f t="shared" si="1"/>
        <v>424312500</v>
      </c>
      <c r="AB67" s="39">
        <f t="shared" si="2"/>
        <v>1.2340223564262451E-3</v>
      </c>
      <c r="AC67" s="38">
        <f t="shared" si="5"/>
        <v>0.42303172737955486</v>
      </c>
      <c r="AD67" s="3"/>
    </row>
    <row r="68" spans="1:30" x14ac:dyDescent="0.25">
      <c r="A68" s="37">
        <v>45704</v>
      </c>
      <c r="B68" s="41">
        <v>1000000</v>
      </c>
      <c r="C68" s="41">
        <v>0</v>
      </c>
      <c r="D68" s="41">
        <v>2500000</v>
      </c>
      <c r="E68" s="41">
        <v>0</v>
      </c>
      <c r="F68" s="41">
        <v>2500000</v>
      </c>
      <c r="G68" s="41">
        <v>0</v>
      </c>
      <c r="H68" s="41">
        <v>37777777.777777702</v>
      </c>
      <c r="I68" s="41">
        <v>277777.77777777781</v>
      </c>
      <c r="J68" s="41">
        <v>0</v>
      </c>
      <c r="K68" s="41">
        <v>0</v>
      </c>
      <c r="L68" s="41">
        <v>0</v>
      </c>
      <c r="M68" s="41">
        <v>0</v>
      </c>
      <c r="N68" s="41">
        <v>7266666.6666666716</v>
      </c>
      <c r="O68" s="41">
        <v>79166.666666666672</v>
      </c>
      <c r="P68" s="41">
        <v>22666666.666666709</v>
      </c>
      <c r="Q68" s="41">
        <v>166666.66666666669</v>
      </c>
      <c r="R68" s="41">
        <v>2500000</v>
      </c>
      <c r="S68" s="41">
        <v>0</v>
      </c>
      <c r="T68" s="41">
        <v>0</v>
      </c>
      <c r="U68" s="41">
        <v>0</v>
      </c>
      <c r="V68" s="41">
        <v>76211111.111111075</v>
      </c>
      <c r="W68" s="41">
        <v>523611.11111111112</v>
      </c>
      <c r="X68" s="38">
        <f t="shared" si="3"/>
        <v>0.15242222222222215</v>
      </c>
      <c r="Y68" s="39">
        <f t="shared" si="0"/>
        <v>1.0472222222222222E-3</v>
      </c>
      <c r="Z68" s="39">
        <f t="shared" si="4"/>
        <v>6.9180658776034527E-3</v>
      </c>
      <c r="AA68" s="41">
        <f t="shared" si="1"/>
        <v>423788888.88888896</v>
      </c>
      <c r="AB68" s="39">
        <f t="shared" si="2"/>
        <v>1.2355470491072597E-3</v>
      </c>
      <c r="AC68" s="38">
        <f t="shared" si="5"/>
        <v>0.42332434114961753</v>
      </c>
      <c r="AD68" s="3"/>
    </row>
    <row r="69" spans="1:30" x14ac:dyDescent="0.25">
      <c r="A69" s="37">
        <v>45705</v>
      </c>
      <c r="B69" s="41">
        <v>1000000</v>
      </c>
      <c r="C69" s="41">
        <v>0</v>
      </c>
      <c r="D69" s="41">
        <v>2500000</v>
      </c>
      <c r="E69" s="41">
        <v>0</v>
      </c>
      <c r="F69" s="41">
        <v>2500000</v>
      </c>
      <c r="G69" s="41">
        <v>0</v>
      </c>
      <c r="H69" s="41">
        <v>38055555.555555478</v>
      </c>
      <c r="I69" s="41">
        <v>277777.77777777781</v>
      </c>
      <c r="J69" s="41">
        <v>0</v>
      </c>
      <c r="K69" s="41">
        <v>0</v>
      </c>
      <c r="L69" s="41">
        <v>0</v>
      </c>
      <c r="M69" s="41">
        <v>0</v>
      </c>
      <c r="N69" s="41">
        <v>7345833.3333333386</v>
      </c>
      <c r="O69" s="41">
        <v>79166.666666666672</v>
      </c>
      <c r="P69" s="41">
        <v>22833333.333333369</v>
      </c>
      <c r="Q69" s="41">
        <v>166666.66666666669</v>
      </c>
      <c r="R69" s="41">
        <v>2500000</v>
      </c>
      <c r="S69" s="41">
        <v>0</v>
      </c>
      <c r="T69" s="41">
        <v>0</v>
      </c>
      <c r="U69" s="41">
        <v>0</v>
      </c>
      <c r="V69" s="41">
        <v>76734722.222222179</v>
      </c>
      <c r="W69" s="41">
        <v>523611.11111111112</v>
      </c>
      <c r="X69" s="38">
        <f t="shared" si="3"/>
        <v>0.15346944444444435</v>
      </c>
      <c r="Y69" s="39">
        <f t="shared" si="0"/>
        <v>1.0472222222222222E-3</v>
      </c>
      <c r="Z69" s="39">
        <f t="shared" si="4"/>
        <v>6.8705350634203268E-3</v>
      </c>
      <c r="AA69" s="41">
        <f t="shared" si="1"/>
        <v>423265277.77777779</v>
      </c>
      <c r="AB69" s="39">
        <f t="shared" si="2"/>
        <v>1.2370755141082391E-3</v>
      </c>
      <c r="AC69" s="38">
        <f t="shared" si="5"/>
        <v>0.42361307944033733</v>
      </c>
      <c r="AD69" s="3"/>
    </row>
    <row r="70" spans="1:30" x14ac:dyDescent="0.25">
      <c r="A70" s="37">
        <v>45706</v>
      </c>
      <c r="B70" s="41">
        <v>1000000</v>
      </c>
      <c r="C70" s="41">
        <v>0</v>
      </c>
      <c r="D70" s="41">
        <v>2500000</v>
      </c>
      <c r="E70" s="41">
        <v>0</v>
      </c>
      <c r="F70" s="41">
        <v>2500000</v>
      </c>
      <c r="G70" s="41">
        <v>0</v>
      </c>
      <c r="H70" s="41">
        <v>38333333.333333246</v>
      </c>
      <c r="I70" s="41">
        <v>277777.77777777781</v>
      </c>
      <c r="J70" s="41">
        <v>0</v>
      </c>
      <c r="K70" s="41">
        <v>0</v>
      </c>
      <c r="L70" s="41">
        <v>0</v>
      </c>
      <c r="M70" s="41">
        <v>0</v>
      </c>
      <c r="N70" s="41">
        <v>7425000.0000000056</v>
      </c>
      <c r="O70" s="41">
        <v>79166.666666666672</v>
      </c>
      <c r="P70" s="41">
        <v>23000000.000000041</v>
      </c>
      <c r="Q70" s="41">
        <v>166666.66666666669</v>
      </c>
      <c r="R70" s="41">
        <v>2500000</v>
      </c>
      <c r="S70" s="41">
        <v>0</v>
      </c>
      <c r="T70" s="41">
        <v>0</v>
      </c>
      <c r="U70" s="41">
        <v>0</v>
      </c>
      <c r="V70" s="41">
        <v>77258333.333333299</v>
      </c>
      <c r="W70" s="41">
        <v>523611.11111111112</v>
      </c>
      <c r="X70" s="38">
        <f t="shared" si="3"/>
        <v>0.15451666666666661</v>
      </c>
      <c r="Y70" s="39">
        <f t="shared" si="0"/>
        <v>1.0472222222222222E-3</v>
      </c>
      <c r="Z70" s="39">
        <f t="shared" si="4"/>
        <v>6.8236529167948782E-3</v>
      </c>
      <c r="AA70" s="41">
        <f t="shared" si="1"/>
        <v>422741666.66666669</v>
      </c>
      <c r="AB70" s="39">
        <f t="shared" si="2"/>
        <v>1.2386077654464574E-3</v>
      </c>
      <c r="AC70" s="38">
        <f t="shared" si="5"/>
        <v>0.42389801873752248</v>
      </c>
      <c r="AD70" s="3"/>
    </row>
    <row r="71" spans="1:30" x14ac:dyDescent="0.25">
      <c r="A71" s="37">
        <v>45707</v>
      </c>
      <c r="B71" s="41">
        <v>1000000</v>
      </c>
      <c r="C71" s="41">
        <v>0</v>
      </c>
      <c r="D71" s="41">
        <v>2500000</v>
      </c>
      <c r="E71" s="41">
        <v>0</v>
      </c>
      <c r="F71" s="41">
        <v>2500000</v>
      </c>
      <c r="G71" s="41">
        <v>0</v>
      </c>
      <c r="H71" s="41">
        <v>38611111.11111103</v>
      </c>
      <c r="I71" s="41">
        <v>277777.77777777781</v>
      </c>
      <c r="J71" s="41">
        <v>0</v>
      </c>
      <c r="K71" s="41">
        <v>0</v>
      </c>
      <c r="L71" s="41">
        <v>0</v>
      </c>
      <c r="M71" s="41">
        <v>0</v>
      </c>
      <c r="N71" s="41">
        <v>7504166.6666666726</v>
      </c>
      <c r="O71" s="41">
        <v>79166.666666666672</v>
      </c>
      <c r="P71" s="41">
        <v>23166666.666666709</v>
      </c>
      <c r="Q71" s="41">
        <v>166666.66666666669</v>
      </c>
      <c r="R71" s="41">
        <v>2500000</v>
      </c>
      <c r="S71" s="41">
        <v>0</v>
      </c>
      <c r="T71" s="41">
        <v>0</v>
      </c>
      <c r="U71" s="41">
        <v>0</v>
      </c>
      <c r="V71" s="41">
        <v>77781944.444444418</v>
      </c>
      <c r="W71" s="41">
        <v>523611.11111111112</v>
      </c>
      <c r="X71" s="38">
        <f t="shared" si="3"/>
        <v>0.15556388888888883</v>
      </c>
      <c r="Y71" s="39">
        <f t="shared" si="0"/>
        <v>1.0472222222222222E-3</v>
      </c>
      <c r="Z71" s="39">
        <f t="shared" si="4"/>
        <v>6.7774062488764279E-3</v>
      </c>
      <c r="AA71" s="41">
        <f t="shared" si="1"/>
        <v>422218055.55555558</v>
      </c>
      <c r="AB71" s="39">
        <f t="shared" si="2"/>
        <v>1.2401438172087223E-3</v>
      </c>
      <c r="AC71" s="38">
        <f t="shared" si="5"/>
        <v>0.42417923352745346</v>
      </c>
      <c r="AD71" s="3"/>
    </row>
    <row r="72" spans="1:30" x14ac:dyDescent="0.25">
      <c r="A72" s="37">
        <v>45708</v>
      </c>
      <c r="B72" s="41">
        <v>1000000</v>
      </c>
      <c r="C72" s="41">
        <v>0</v>
      </c>
      <c r="D72" s="41">
        <v>2500000</v>
      </c>
      <c r="E72" s="41">
        <v>0</v>
      </c>
      <c r="F72" s="41">
        <v>2500000</v>
      </c>
      <c r="G72" s="41">
        <v>0</v>
      </c>
      <c r="H72" s="41">
        <v>38888888.888888814</v>
      </c>
      <c r="I72" s="41">
        <v>277777.77777777781</v>
      </c>
      <c r="J72" s="41">
        <v>0</v>
      </c>
      <c r="K72" s="41">
        <v>0</v>
      </c>
      <c r="L72" s="41">
        <v>0</v>
      </c>
      <c r="M72" s="41">
        <v>0</v>
      </c>
      <c r="N72" s="41">
        <v>7583333.3333333395</v>
      </c>
      <c r="O72" s="41">
        <v>79166.666666666672</v>
      </c>
      <c r="P72" s="41">
        <v>23333333.333333381</v>
      </c>
      <c r="Q72" s="41">
        <v>166666.66666666669</v>
      </c>
      <c r="R72" s="41">
        <v>2500000</v>
      </c>
      <c r="S72" s="41">
        <v>0</v>
      </c>
      <c r="T72" s="41">
        <v>0</v>
      </c>
      <c r="U72" s="41">
        <v>0</v>
      </c>
      <c r="V72" s="41">
        <v>78305555.555555522</v>
      </c>
      <c r="W72" s="41">
        <v>523611.11111111112</v>
      </c>
      <c r="X72" s="38">
        <f t="shared" si="3"/>
        <v>0.15661111111111103</v>
      </c>
      <c r="Y72" s="39">
        <f t="shared" si="0"/>
        <v>1.0472222222222222E-3</v>
      </c>
      <c r="Z72" s="39">
        <f t="shared" si="4"/>
        <v>6.7317822259521836E-3</v>
      </c>
      <c r="AA72" s="41">
        <f t="shared" si="1"/>
        <v>421694444.44444448</v>
      </c>
      <c r="AB72" s="39">
        <f t="shared" si="2"/>
        <v>1.2416836835518082E-3</v>
      </c>
      <c r="AC72" s="38">
        <f t="shared" si="5"/>
        <v>0.42445679636180039</v>
      </c>
      <c r="AD72" s="3"/>
    </row>
    <row r="73" spans="1:30" x14ac:dyDescent="0.25">
      <c r="A73" s="37">
        <v>45709</v>
      </c>
      <c r="B73" s="41">
        <v>1000000</v>
      </c>
      <c r="C73" s="41">
        <v>0</v>
      </c>
      <c r="D73" s="41">
        <v>2500000</v>
      </c>
      <c r="E73" s="41">
        <v>0</v>
      </c>
      <c r="F73" s="41">
        <v>2500000</v>
      </c>
      <c r="G73" s="41">
        <v>0</v>
      </c>
      <c r="H73" s="41">
        <v>39166666.666666582</v>
      </c>
      <c r="I73" s="41">
        <v>277777.77777777781</v>
      </c>
      <c r="J73" s="41">
        <v>0</v>
      </c>
      <c r="K73" s="41">
        <v>0</v>
      </c>
      <c r="L73" s="41">
        <v>0</v>
      </c>
      <c r="M73" s="41">
        <v>0</v>
      </c>
      <c r="N73" s="41">
        <v>7662500.0000000075</v>
      </c>
      <c r="O73" s="41">
        <v>79166.666666666672</v>
      </c>
      <c r="P73" s="41">
        <v>23500000.000000041</v>
      </c>
      <c r="Q73" s="41">
        <v>166666.66666666669</v>
      </c>
      <c r="R73" s="41">
        <v>2500000</v>
      </c>
      <c r="S73" s="41">
        <v>0</v>
      </c>
      <c r="T73" s="41">
        <v>0</v>
      </c>
      <c r="U73" s="41">
        <v>0</v>
      </c>
      <c r="V73" s="41">
        <v>78829166.666666627</v>
      </c>
      <c r="W73" s="41">
        <v>523611.11111111112</v>
      </c>
      <c r="X73" s="38">
        <f t="shared" si="3"/>
        <v>0.15765833333333326</v>
      </c>
      <c r="Y73" s="39">
        <f t="shared" si="0"/>
        <v>1.0472222222222222E-3</v>
      </c>
      <c r="Z73" s="39">
        <f t="shared" si="4"/>
        <v>6.6867683575736105E-3</v>
      </c>
      <c r="AA73" s="41">
        <f t="shared" si="1"/>
        <v>421170833.33333337</v>
      </c>
      <c r="AB73" s="39">
        <f t="shared" si="2"/>
        <v>1.2432273787028885E-3</v>
      </c>
      <c r="AC73" s="38">
        <f t="shared" si="5"/>
        <v>0.4247307779200255</v>
      </c>
      <c r="AD73" s="3"/>
    </row>
    <row r="74" spans="1:30" x14ac:dyDescent="0.25">
      <c r="A74" s="37">
        <v>45710</v>
      </c>
      <c r="B74" s="41">
        <v>1000000</v>
      </c>
      <c r="C74" s="41">
        <v>0</v>
      </c>
      <c r="D74" s="41">
        <v>2500000</v>
      </c>
      <c r="E74" s="41">
        <v>0</v>
      </c>
      <c r="F74" s="41">
        <v>2500000</v>
      </c>
      <c r="G74" s="41">
        <v>0</v>
      </c>
      <c r="H74" s="41">
        <v>39444444.444444358</v>
      </c>
      <c r="I74" s="41">
        <v>277777.77777777781</v>
      </c>
      <c r="J74" s="41">
        <v>0</v>
      </c>
      <c r="K74" s="41">
        <v>0</v>
      </c>
      <c r="L74" s="41">
        <v>0</v>
      </c>
      <c r="M74" s="41">
        <v>0</v>
      </c>
      <c r="N74" s="41">
        <v>7741666.6666666726</v>
      </c>
      <c r="O74" s="41">
        <v>79166.666666666672</v>
      </c>
      <c r="P74" s="41">
        <v>23666666.666666709</v>
      </c>
      <c r="Q74" s="41">
        <v>166666.66666666669</v>
      </c>
      <c r="R74" s="41">
        <v>2500000</v>
      </c>
      <c r="S74" s="41">
        <v>0</v>
      </c>
      <c r="T74" s="41">
        <v>0</v>
      </c>
      <c r="U74" s="41">
        <v>0</v>
      </c>
      <c r="V74" s="41">
        <v>79352777.777777746</v>
      </c>
      <c r="W74" s="41">
        <v>523611.11111111112</v>
      </c>
      <c r="X74" s="38">
        <f t="shared" si="3"/>
        <v>0.15870555555555549</v>
      </c>
      <c r="Y74" s="39">
        <f t="shared" si="0"/>
        <v>1.0472222222222222E-3</v>
      </c>
      <c r="Z74" s="39">
        <f t="shared" si="4"/>
        <v>6.6423524851560193E-3</v>
      </c>
      <c r="AA74" s="41">
        <f t="shared" si="1"/>
        <v>420647222.22222227</v>
      </c>
      <c r="AB74" s="39">
        <f t="shared" si="2"/>
        <v>1.2447749169599755E-3</v>
      </c>
      <c r="AC74" s="38">
        <f t="shared" si="5"/>
        <v>0.42500124706938824</v>
      </c>
      <c r="AD74" s="3"/>
    </row>
    <row r="75" spans="1:30" x14ac:dyDescent="0.25">
      <c r="A75" s="37">
        <v>45711</v>
      </c>
      <c r="B75" s="41">
        <v>1000000</v>
      </c>
      <c r="C75" s="41">
        <v>0</v>
      </c>
      <c r="D75" s="41">
        <v>2500000</v>
      </c>
      <c r="E75" s="41">
        <v>0</v>
      </c>
      <c r="F75" s="41">
        <v>2500000</v>
      </c>
      <c r="G75" s="41">
        <v>0</v>
      </c>
      <c r="H75" s="41">
        <v>39722222.222222127</v>
      </c>
      <c r="I75" s="41">
        <v>277777.77777777781</v>
      </c>
      <c r="J75" s="41">
        <v>0</v>
      </c>
      <c r="K75" s="41">
        <v>0</v>
      </c>
      <c r="L75" s="41">
        <v>0</v>
      </c>
      <c r="M75" s="41">
        <v>0</v>
      </c>
      <c r="N75" s="41">
        <v>7820833.3333333395</v>
      </c>
      <c r="O75" s="41">
        <v>79166.666666666672</v>
      </c>
      <c r="P75" s="41">
        <v>23833333.333333381</v>
      </c>
      <c r="Q75" s="41">
        <v>166666.66666666669</v>
      </c>
      <c r="R75" s="41">
        <v>2500000</v>
      </c>
      <c r="S75" s="41">
        <v>0</v>
      </c>
      <c r="T75" s="41">
        <v>0</v>
      </c>
      <c r="U75" s="41">
        <v>0</v>
      </c>
      <c r="V75" s="41">
        <v>79876388.888888866</v>
      </c>
      <c r="W75" s="41">
        <v>523611.11111111112</v>
      </c>
      <c r="X75" s="38">
        <f t="shared" si="3"/>
        <v>0.15975277777777774</v>
      </c>
      <c r="Y75" s="39">
        <f t="shared" si="0"/>
        <v>1.0472222222222222E-3</v>
      </c>
      <c r="Z75" s="39">
        <f t="shared" si="4"/>
        <v>6.5985227710295127E-3</v>
      </c>
      <c r="AA75" s="41">
        <f t="shared" si="1"/>
        <v>420123611.11111116</v>
      </c>
      <c r="AB75" s="39">
        <f t="shared" si="2"/>
        <v>1.2463263126923623E-3</v>
      </c>
      <c r="AC75" s="38">
        <f t="shared" si="5"/>
        <v>0.42526827092265507</v>
      </c>
      <c r="AD75" s="3"/>
    </row>
    <row r="76" spans="1:30" x14ac:dyDescent="0.25">
      <c r="A76" s="37">
        <v>45712</v>
      </c>
      <c r="B76" s="41">
        <v>1000000</v>
      </c>
      <c r="C76" s="41">
        <v>0</v>
      </c>
      <c r="D76" s="41">
        <v>2500000</v>
      </c>
      <c r="E76" s="41">
        <v>0</v>
      </c>
      <c r="F76" s="41">
        <v>2500000</v>
      </c>
      <c r="G76" s="41">
        <v>0</v>
      </c>
      <c r="H76" s="41">
        <v>39999999.999999911</v>
      </c>
      <c r="I76" s="41">
        <v>277777.77777777781</v>
      </c>
      <c r="J76" s="41">
        <v>0</v>
      </c>
      <c r="K76" s="41">
        <v>0</v>
      </c>
      <c r="L76" s="41">
        <v>0</v>
      </c>
      <c r="M76" s="41">
        <v>0</v>
      </c>
      <c r="N76" s="41">
        <v>7900000.0000000075</v>
      </c>
      <c r="O76" s="41">
        <v>79166.666666666672</v>
      </c>
      <c r="P76" s="41">
        <v>24000000.000000048</v>
      </c>
      <c r="Q76" s="41">
        <v>166666.66666666669</v>
      </c>
      <c r="R76" s="41">
        <v>2500000</v>
      </c>
      <c r="S76" s="41">
        <v>0</v>
      </c>
      <c r="T76" s="41">
        <v>0</v>
      </c>
      <c r="U76" s="41">
        <v>0</v>
      </c>
      <c r="V76" s="41">
        <v>80399999.99999997</v>
      </c>
      <c r="W76" s="41">
        <v>523611.11111111112</v>
      </c>
      <c r="X76" s="38">
        <f t="shared" si="3"/>
        <v>0.16079999999999994</v>
      </c>
      <c r="Y76" s="39">
        <f t="shared" si="0"/>
        <v>1.0472222222222222E-3</v>
      </c>
      <c r="Z76" s="39">
        <f t="shared" si="4"/>
        <v>6.5552676879205738E-3</v>
      </c>
      <c r="AA76" s="41">
        <f t="shared" si="1"/>
        <v>419600000</v>
      </c>
      <c r="AB76" s="39">
        <f t="shared" si="2"/>
        <v>1.2478815803410655E-3</v>
      </c>
      <c r="AC76" s="38">
        <f t="shared" si="5"/>
        <v>0.42553191489361847</v>
      </c>
      <c r="AD76" s="3"/>
    </row>
    <row r="77" spans="1:30" x14ac:dyDescent="0.25">
      <c r="A77" s="37">
        <v>45713</v>
      </c>
      <c r="B77" s="41">
        <v>1000000</v>
      </c>
      <c r="C77" s="41">
        <v>0</v>
      </c>
      <c r="D77" s="41">
        <v>2500000</v>
      </c>
      <c r="E77" s="41">
        <v>0</v>
      </c>
      <c r="F77" s="41">
        <v>2500000</v>
      </c>
      <c r="G77" s="41">
        <v>0</v>
      </c>
      <c r="H77" s="41">
        <v>40277777.777777687</v>
      </c>
      <c r="I77" s="41">
        <v>277777.77777777781</v>
      </c>
      <c r="J77" s="41">
        <v>0</v>
      </c>
      <c r="K77" s="41">
        <v>0</v>
      </c>
      <c r="L77" s="41">
        <v>0</v>
      </c>
      <c r="M77" s="41">
        <v>0</v>
      </c>
      <c r="N77" s="41">
        <v>7979166.6666666744</v>
      </c>
      <c r="O77" s="41">
        <v>79166.666666666672</v>
      </c>
      <c r="P77" s="41">
        <v>24166666.66666672</v>
      </c>
      <c r="Q77" s="41">
        <v>166666.66666666669</v>
      </c>
      <c r="R77" s="41">
        <v>2500000</v>
      </c>
      <c r="S77" s="41">
        <v>0</v>
      </c>
      <c r="T77" s="41">
        <v>0</v>
      </c>
      <c r="U77" s="41">
        <v>0</v>
      </c>
      <c r="V77" s="41">
        <v>80923611.111111075</v>
      </c>
      <c r="W77" s="41">
        <v>523611.11111111112</v>
      </c>
      <c r="X77" s="38">
        <f t="shared" si="3"/>
        <v>0.16184722222222214</v>
      </c>
      <c r="Y77" s="39">
        <f t="shared" si="0"/>
        <v>1.0472222222222222E-3</v>
      </c>
      <c r="Z77" s="39">
        <f t="shared" si="4"/>
        <v>6.512576008844668E-3</v>
      </c>
      <c r="AA77" s="41">
        <f t="shared" si="1"/>
        <v>419076388.88888896</v>
      </c>
      <c r="AB77" s="39">
        <f t="shared" si="2"/>
        <v>1.2494407344192751E-3</v>
      </c>
      <c r="AC77" s="38">
        <f t="shared" si="5"/>
        <v>0.42579224275052158</v>
      </c>
      <c r="AD77" s="3"/>
    </row>
    <row r="78" spans="1:30" x14ac:dyDescent="0.25">
      <c r="A78" s="37">
        <v>45714</v>
      </c>
      <c r="B78" s="41">
        <v>1000000</v>
      </c>
      <c r="C78" s="41">
        <v>0</v>
      </c>
      <c r="D78" s="41">
        <v>2500000</v>
      </c>
      <c r="E78" s="41">
        <v>0</v>
      </c>
      <c r="F78" s="41">
        <v>2500000</v>
      </c>
      <c r="G78" s="41">
        <v>0</v>
      </c>
      <c r="H78" s="41">
        <v>40555555.555555463</v>
      </c>
      <c r="I78" s="41">
        <v>277777.77777777781</v>
      </c>
      <c r="J78" s="41">
        <v>0</v>
      </c>
      <c r="K78" s="41">
        <v>0</v>
      </c>
      <c r="L78" s="41">
        <v>0</v>
      </c>
      <c r="M78" s="41">
        <v>0</v>
      </c>
      <c r="N78" s="41">
        <v>8058333.3333333414</v>
      </c>
      <c r="O78" s="41">
        <v>79166.666666666672</v>
      </c>
      <c r="P78" s="41">
        <v>24333333.333333381</v>
      </c>
      <c r="Q78" s="41">
        <v>166666.66666666669</v>
      </c>
      <c r="R78" s="41">
        <v>2500000</v>
      </c>
      <c r="S78" s="41">
        <v>0</v>
      </c>
      <c r="T78" s="41">
        <v>0</v>
      </c>
      <c r="U78" s="41">
        <v>0</v>
      </c>
      <c r="V78" s="41">
        <v>81447222.222222194</v>
      </c>
      <c r="W78" s="41">
        <v>523611.11111111112</v>
      </c>
      <c r="X78" s="38">
        <f t="shared" si="3"/>
        <v>0.1628944444444444</v>
      </c>
      <c r="Y78" s="39">
        <f t="shared" si="0"/>
        <v>1.0472222222222222E-3</v>
      </c>
      <c r="Z78" s="39">
        <f t="shared" si="4"/>
        <v>6.4704367973912325E-3</v>
      </c>
      <c r="AA78" s="41">
        <f t="shared" si="1"/>
        <v>418552777.77777779</v>
      </c>
      <c r="AB78" s="39">
        <f t="shared" si="2"/>
        <v>1.2510037895128053E-3</v>
      </c>
      <c r="AC78" s="38">
        <f t="shared" si="5"/>
        <v>0.42604931666747864</v>
      </c>
      <c r="AD78" s="3"/>
    </row>
    <row r="79" spans="1:30" x14ac:dyDescent="0.25">
      <c r="A79" s="37">
        <v>45715</v>
      </c>
      <c r="B79" s="41">
        <v>1000000</v>
      </c>
      <c r="C79" s="41">
        <v>0</v>
      </c>
      <c r="D79" s="41">
        <v>2500000</v>
      </c>
      <c r="E79" s="41">
        <v>0</v>
      </c>
      <c r="F79" s="41">
        <v>2500000</v>
      </c>
      <c r="G79" s="41">
        <v>0</v>
      </c>
      <c r="H79" s="41">
        <v>40833333.333333239</v>
      </c>
      <c r="I79" s="41">
        <v>277777.77777777781</v>
      </c>
      <c r="J79" s="41">
        <v>0</v>
      </c>
      <c r="K79" s="41">
        <v>0</v>
      </c>
      <c r="L79" s="41">
        <v>0</v>
      </c>
      <c r="M79" s="41">
        <v>0</v>
      </c>
      <c r="N79" s="41">
        <v>8137500.0000000084</v>
      </c>
      <c r="O79" s="41">
        <v>79166.666666666672</v>
      </c>
      <c r="P79" s="41">
        <v>24500000.000000048</v>
      </c>
      <c r="Q79" s="41">
        <v>166666.66666666669</v>
      </c>
      <c r="R79" s="41">
        <v>2500000</v>
      </c>
      <c r="S79" s="41">
        <v>0</v>
      </c>
      <c r="T79" s="41">
        <v>0</v>
      </c>
      <c r="U79" s="41">
        <v>0</v>
      </c>
      <c r="V79" s="41">
        <v>81970833.333333299</v>
      </c>
      <c r="W79" s="41">
        <v>523611.11111111112</v>
      </c>
      <c r="X79" s="38">
        <f t="shared" si="3"/>
        <v>0.1639416666666666</v>
      </c>
      <c r="Y79" s="39">
        <f t="shared" si="0"/>
        <v>1.0472222222222222E-3</v>
      </c>
      <c r="Z79" s="39">
        <f t="shared" si="4"/>
        <v>6.4288393983834135E-3</v>
      </c>
      <c r="AA79" s="41">
        <f t="shared" si="1"/>
        <v>418029166.66666669</v>
      </c>
      <c r="AB79" s="39">
        <f t="shared" si="2"/>
        <v>1.2525707602805492E-3</v>
      </c>
      <c r="AC79" s="38">
        <f t="shared" si="5"/>
        <v>0.42630319727398097</v>
      </c>
      <c r="AD79" s="3"/>
    </row>
    <row r="80" spans="1:30" x14ac:dyDescent="0.25">
      <c r="A80" s="37">
        <v>45716</v>
      </c>
      <c r="B80" s="41">
        <v>1000000</v>
      </c>
      <c r="C80" s="41">
        <v>0</v>
      </c>
      <c r="D80" s="41">
        <v>2500000</v>
      </c>
      <c r="E80" s="41">
        <v>0</v>
      </c>
      <c r="F80" s="41">
        <v>2500000</v>
      </c>
      <c r="G80" s="41">
        <v>0</v>
      </c>
      <c r="H80" s="41">
        <v>41111111.111111023</v>
      </c>
      <c r="I80" s="41">
        <v>277777.77777777781</v>
      </c>
      <c r="J80" s="41">
        <v>0</v>
      </c>
      <c r="K80" s="41">
        <v>0</v>
      </c>
      <c r="L80" s="41">
        <v>0</v>
      </c>
      <c r="M80" s="41">
        <v>0</v>
      </c>
      <c r="N80" s="41">
        <v>8216666.6666666754</v>
      </c>
      <c r="O80" s="41">
        <v>79166.666666666672</v>
      </c>
      <c r="P80" s="41">
        <v>24666666.66666672</v>
      </c>
      <c r="Q80" s="41">
        <v>166666.66666666669</v>
      </c>
      <c r="R80" s="41">
        <v>2500000</v>
      </c>
      <c r="S80" s="41">
        <v>0</v>
      </c>
      <c r="T80" s="41">
        <v>0</v>
      </c>
      <c r="U80" s="41">
        <v>0</v>
      </c>
      <c r="V80" s="41">
        <v>82494444.444444403</v>
      </c>
      <c r="W80" s="41">
        <v>523611.11111111112</v>
      </c>
      <c r="X80" s="38">
        <f t="shared" si="3"/>
        <v>0.1649888888888888</v>
      </c>
      <c r="Y80" s="39">
        <f t="shared" si="0"/>
        <v>1.0472222222222222E-3</v>
      </c>
      <c r="Z80" s="39">
        <f t="shared" si="4"/>
        <v>6.387773428895782E-3</v>
      </c>
      <c r="AA80" s="41">
        <f t="shared" si="1"/>
        <v>417505555.55555558</v>
      </c>
      <c r="AB80" s="39">
        <f t="shared" si="2"/>
        <v>1.2541416614549373E-3</v>
      </c>
      <c r="AC80" s="38">
        <f t="shared" si="5"/>
        <v>0.42655394370256666</v>
      </c>
      <c r="AD80" s="3"/>
    </row>
    <row r="81" spans="1:30" x14ac:dyDescent="0.25">
      <c r="A81" s="37">
        <v>45717</v>
      </c>
      <c r="B81" s="41">
        <v>1000000</v>
      </c>
      <c r="C81" s="41">
        <v>0</v>
      </c>
      <c r="D81" s="41">
        <v>2500000</v>
      </c>
      <c r="E81" s="41">
        <v>0</v>
      </c>
      <c r="F81" s="41">
        <v>2500000</v>
      </c>
      <c r="G81" s="41">
        <v>0</v>
      </c>
      <c r="H81" s="41">
        <v>41388888.888888791</v>
      </c>
      <c r="I81" s="41">
        <v>277777.77777777781</v>
      </c>
      <c r="J81" s="41">
        <v>0</v>
      </c>
      <c r="K81" s="41">
        <v>0</v>
      </c>
      <c r="L81" s="41">
        <v>0</v>
      </c>
      <c r="M81" s="41">
        <v>0</v>
      </c>
      <c r="N81" s="41">
        <v>8295833.3333333423</v>
      </c>
      <c r="O81" s="41">
        <v>79166.666666666672</v>
      </c>
      <c r="P81" s="41">
        <v>24833333.333333392</v>
      </c>
      <c r="Q81" s="41">
        <v>166666.66666666669</v>
      </c>
      <c r="R81" s="41">
        <v>2500000</v>
      </c>
      <c r="S81" s="41">
        <v>0</v>
      </c>
      <c r="T81" s="41">
        <v>0</v>
      </c>
      <c r="U81" s="41">
        <v>0</v>
      </c>
      <c r="V81" s="41">
        <v>83018055.555555522</v>
      </c>
      <c r="W81" s="41">
        <v>523611.11111111112</v>
      </c>
      <c r="X81" s="38">
        <f t="shared" si="3"/>
        <v>0.16603611111111105</v>
      </c>
      <c r="Y81" s="39">
        <f t="shared" si="0"/>
        <v>1.0472222222222222E-3</v>
      </c>
      <c r="Z81" s="39">
        <f t="shared" si="4"/>
        <v>6.3472287696141189E-3</v>
      </c>
      <c r="AA81" s="41">
        <f t="shared" si="1"/>
        <v>416981944.44444448</v>
      </c>
      <c r="AB81" s="39">
        <f t="shared" si="2"/>
        <v>1.2557165078423992E-3</v>
      </c>
      <c r="AC81" s="38">
        <f t="shared" si="5"/>
        <v>0.42680161363473779</v>
      </c>
      <c r="AD81" s="3"/>
    </row>
    <row r="82" spans="1:30" x14ac:dyDescent="0.25">
      <c r="A82" s="37">
        <v>45718</v>
      </c>
      <c r="B82" s="41">
        <v>1000000</v>
      </c>
      <c r="C82" s="41">
        <v>0</v>
      </c>
      <c r="D82" s="41">
        <v>2500000</v>
      </c>
      <c r="E82" s="41">
        <v>0</v>
      </c>
      <c r="F82" s="41">
        <v>2500000</v>
      </c>
      <c r="G82" s="41">
        <v>0</v>
      </c>
      <c r="H82" s="41">
        <v>41666666.666666567</v>
      </c>
      <c r="I82" s="41">
        <v>277777.77777777781</v>
      </c>
      <c r="J82" s="41">
        <v>0</v>
      </c>
      <c r="K82" s="41">
        <v>0</v>
      </c>
      <c r="L82" s="41">
        <v>0</v>
      </c>
      <c r="M82" s="41">
        <v>0</v>
      </c>
      <c r="N82" s="41">
        <v>8375000.0000000093</v>
      </c>
      <c r="O82" s="41">
        <v>79166.666666666672</v>
      </c>
      <c r="P82" s="41">
        <v>25000000.00000006</v>
      </c>
      <c r="Q82" s="41">
        <v>166666.66666666669</v>
      </c>
      <c r="R82" s="41">
        <v>2500000</v>
      </c>
      <c r="S82" s="41">
        <v>0</v>
      </c>
      <c r="T82" s="41">
        <v>0</v>
      </c>
      <c r="U82" s="41">
        <v>0</v>
      </c>
      <c r="V82" s="41">
        <v>83541666.666666627</v>
      </c>
      <c r="W82" s="41">
        <v>523611.11111111112</v>
      </c>
      <c r="X82" s="38">
        <f t="shared" si="3"/>
        <v>0.16708333333333325</v>
      </c>
      <c r="Y82" s="39">
        <f t="shared" si="0"/>
        <v>1.0472222222222222E-3</v>
      </c>
      <c r="Z82" s="39">
        <f t="shared" si="4"/>
        <v>6.307195556522178E-3</v>
      </c>
      <c r="AA82" s="41">
        <f t="shared" si="1"/>
        <v>416458333.33333337</v>
      </c>
      <c r="AB82" s="39">
        <f t="shared" si="2"/>
        <v>1.2572953143238285E-3</v>
      </c>
      <c r="AC82" s="38">
        <f t="shared" si="5"/>
        <v>0.42704626334519746</v>
      </c>
      <c r="AD82" s="3"/>
    </row>
    <row r="83" spans="1:30" x14ac:dyDescent="0.25">
      <c r="A83" s="37">
        <v>45719</v>
      </c>
      <c r="B83" s="41">
        <v>1000000</v>
      </c>
      <c r="C83" s="41">
        <v>0</v>
      </c>
      <c r="D83" s="41">
        <v>2500000</v>
      </c>
      <c r="E83" s="41">
        <v>0</v>
      </c>
      <c r="F83" s="41">
        <v>2500000</v>
      </c>
      <c r="G83" s="41">
        <v>0</v>
      </c>
      <c r="H83" s="41">
        <v>41944444.444444343</v>
      </c>
      <c r="I83" s="41">
        <v>277777.77777777781</v>
      </c>
      <c r="J83" s="41">
        <v>0</v>
      </c>
      <c r="K83" s="41">
        <v>0</v>
      </c>
      <c r="L83" s="41">
        <v>0</v>
      </c>
      <c r="M83" s="41">
        <v>0</v>
      </c>
      <c r="N83" s="41">
        <v>8454166.6666666754</v>
      </c>
      <c r="O83" s="41">
        <v>79166.666666666672</v>
      </c>
      <c r="P83" s="41">
        <v>25166666.66666672</v>
      </c>
      <c r="Q83" s="41">
        <v>166666.66666666669</v>
      </c>
      <c r="R83" s="41">
        <v>2500000</v>
      </c>
      <c r="S83" s="41">
        <v>0</v>
      </c>
      <c r="T83" s="41">
        <v>0</v>
      </c>
      <c r="U83" s="41">
        <v>0</v>
      </c>
      <c r="V83" s="41">
        <v>84065277.777777731</v>
      </c>
      <c r="W83" s="41">
        <v>523611.11111111112</v>
      </c>
      <c r="X83" s="38">
        <f t="shared" si="3"/>
        <v>0.16813055555555545</v>
      </c>
      <c r="Y83" s="39">
        <f t="shared" si="0"/>
        <v>1.0472222222222222E-3</v>
      </c>
      <c r="Z83" s="39">
        <f t="shared" si="4"/>
        <v>6.2676641729010841E-3</v>
      </c>
      <c r="AA83" s="41">
        <f t="shared" si="1"/>
        <v>415934722.22222227</v>
      </c>
      <c r="AB83" s="39">
        <f t="shared" si="2"/>
        <v>1.2588780958550519E-3</v>
      </c>
      <c r="AC83" s="38">
        <f t="shared" si="5"/>
        <v>0.42728794774447776</v>
      </c>
      <c r="AD83" s="3"/>
    </row>
    <row r="84" spans="1:30" x14ac:dyDescent="0.25">
      <c r="A84" s="37">
        <v>45720</v>
      </c>
      <c r="B84" s="41">
        <v>1000000</v>
      </c>
      <c r="C84" s="41">
        <v>0</v>
      </c>
      <c r="D84" s="41">
        <v>2500000</v>
      </c>
      <c r="E84" s="41">
        <v>0</v>
      </c>
      <c r="F84" s="41">
        <v>2500000</v>
      </c>
      <c r="G84" s="41">
        <v>0</v>
      </c>
      <c r="H84" s="41">
        <v>42222222.22222212</v>
      </c>
      <c r="I84" s="41">
        <v>277777.77777777781</v>
      </c>
      <c r="J84" s="41">
        <v>0</v>
      </c>
      <c r="K84" s="41">
        <v>0</v>
      </c>
      <c r="L84" s="41">
        <v>0</v>
      </c>
      <c r="M84" s="41">
        <v>0</v>
      </c>
      <c r="N84" s="41">
        <v>8533333.3333333414</v>
      </c>
      <c r="O84" s="41">
        <v>79166.666666666672</v>
      </c>
      <c r="P84" s="41">
        <v>25333333.333333392</v>
      </c>
      <c r="Q84" s="41">
        <v>166666.66666666669</v>
      </c>
      <c r="R84" s="41">
        <v>2500000</v>
      </c>
      <c r="S84" s="41">
        <v>0</v>
      </c>
      <c r="T84" s="41">
        <v>0</v>
      </c>
      <c r="U84" s="41">
        <v>0</v>
      </c>
      <c r="V84" s="41">
        <v>84588888.888888851</v>
      </c>
      <c r="W84" s="41">
        <v>523611.11111111112</v>
      </c>
      <c r="X84" s="38">
        <f t="shared" si="3"/>
        <v>0.1691777777777777</v>
      </c>
      <c r="Y84" s="39">
        <f t="shared" si="0"/>
        <v>1.0472222222222222E-3</v>
      </c>
      <c r="Z84" s="39">
        <f t="shared" si="4"/>
        <v>6.2286252416277072E-3</v>
      </c>
      <c r="AA84" s="41">
        <f t="shared" si="1"/>
        <v>415411111.11111116</v>
      </c>
      <c r="AB84" s="39">
        <f t="shared" si="2"/>
        <v>1.2604648674673013E-3</v>
      </c>
      <c r="AC84" s="38">
        <f t="shared" si="5"/>
        <v>0.42752672042002793</v>
      </c>
      <c r="AD84" s="3"/>
    </row>
    <row r="85" spans="1:30" x14ac:dyDescent="0.25">
      <c r="A85" s="37">
        <v>45721</v>
      </c>
      <c r="B85" s="41">
        <v>1000000</v>
      </c>
      <c r="C85" s="41">
        <v>0</v>
      </c>
      <c r="D85" s="41">
        <v>2500000</v>
      </c>
      <c r="E85" s="41">
        <v>0</v>
      </c>
      <c r="F85" s="41">
        <v>2500000</v>
      </c>
      <c r="G85" s="41">
        <v>0</v>
      </c>
      <c r="H85" s="41">
        <v>42499999.999999903</v>
      </c>
      <c r="I85" s="41">
        <v>277777.77777777781</v>
      </c>
      <c r="J85" s="41">
        <v>0</v>
      </c>
      <c r="K85" s="41">
        <v>0</v>
      </c>
      <c r="L85" s="41">
        <v>0</v>
      </c>
      <c r="M85" s="41">
        <v>0</v>
      </c>
      <c r="N85" s="41">
        <v>8612500.0000000075</v>
      </c>
      <c r="O85" s="41">
        <v>79166.666666666672</v>
      </c>
      <c r="P85" s="41">
        <v>25500000.00000006</v>
      </c>
      <c r="Q85" s="41">
        <v>166666.66666666669</v>
      </c>
      <c r="R85" s="41">
        <v>2500000</v>
      </c>
      <c r="S85" s="41">
        <v>0</v>
      </c>
      <c r="T85" s="41">
        <v>0</v>
      </c>
      <c r="U85" s="41">
        <v>0</v>
      </c>
      <c r="V85" s="41">
        <v>85112499.99999997</v>
      </c>
      <c r="W85" s="41">
        <v>523611.11111111112</v>
      </c>
      <c r="X85" s="38">
        <f t="shared" si="3"/>
        <v>0.17022499999999993</v>
      </c>
      <c r="Y85" s="39">
        <f t="shared" si="0"/>
        <v>1.0472222222222222E-3</v>
      </c>
      <c r="Z85" s="39">
        <f t="shared" si="4"/>
        <v>6.1900696177590994E-3</v>
      </c>
      <c r="AA85" s="41">
        <f t="shared" si="1"/>
        <v>414887500</v>
      </c>
      <c r="AB85" s="39">
        <f t="shared" si="2"/>
        <v>1.2620556442676898E-3</v>
      </c>
      <c r="AC85" s="38">
        <f t="shared" si="5"/>
        <v>0.42776263367582468</v>
      </c>
      <c r="AD85" s="3"/>
    </row>
    <row r="86" spans="1:30" x14ac:dyDescent="0.25">
      <c r="A86" s="37">
        <v>45722</v>
      </c>
      <c r="B86" s="41">
        <v>1000000</v>
      </c>
      <c r="C86" s="41">
        <v>0</v>
      </c>
      <c r="D86" s="41">
        <v>2500000</v>
      </c>
      <c r="E86" s="41">
        <v>0</v>
      </c>
      <c r="F86" s="41">
        <v>2500000</v>
      </c>
      <c r="G86" s="41">
        <v>0</v>
      </c>
      <c r="H86" s="41">
        <v>42777777.777777672</v>
      </c>
      <c r="I86" s="41">
        <v>277777.77777777781</v>
      </c>
      <c r="J86" s="41">
        <v>0</v>
      </c>
      <c r="K86" s="41">
        <v>0</v>
      </c>
      <c r="L86" s="41">
        <v>0</v>
      </c>
      <c r="M86" s="41">
        <v>0</v>
      </c>
      <c r="N86" s="41">
        <v>8691666.6666666735</v>
      </c>
      <c r="O86" s="41">
        <v>79166.666666666672</v>
      </c>
      <c r="P86" s="41">
        <v>25666666.666666731</v>
      </c>
      <c r="Q86" s="41">
        <v>166666.66666666669</v>
      </c>
      <c r="R86" s="41">
        <v>2500000</v>
      </c>
      <c r="S86" s="41">
        <v>0</v>
      </c>
      <c r="T86" s="41">
        <v>0</v>
      </c>
      <c r="U86" s="41">
        <v>0</v>
      </c>
      <c r="V86" s="41">
        <v>85636111.111111075</v>
      </c>
      <c r="W86" s="41">
        <v>523611.11111111112</v>
      </c>
      <c r="X86" s="38">
        <f t="shared" si="3"/>
        <v>0.17127222222222216</v>
      </c>
      <c r="Y86" s="39">
        <f t="shared" si="0"/>
        <v>1.0472222222222222E-3</v>
      </c>
      <c r="Z86" s="39">
        <f t="shared" si="4"/>
        <v>6.1519883813906454E-3</v>
      </c>
      <c r="AA86" s="41">
        <f t="shared" si="1"/>
        <v>414363888.88888896</v>
      </c>
      <c r="AB86" s="39">
        <f t="shared" si="2"/>
        <v>1.2636504414396898E-3</v>
      </c>
      <c r="AC86" s="38">
        <f t="shared" si="5"/>
        <v>0.42799573857057016</v>
      </c>
      <c r="AD86" s="3"/>
    </row>
    <row r="87" spans="1:30" x14ac:dyDescent="0.25">
      <c r="A87" s="37">
        <v>45723</v>
      </c>
      <c r="B87" s="41">
        <v>1000000</v>
      </c>
      <c r="C87" s="41">
        <v>0</v>
      </c>
      <c r="D87" s="41">
        <v>2500000</v>
      </c>
      <c r="E87" s="41">
        <v>0</v>
      </c>
      <c r="F87" s="41">
        <v>2500000</v>
      </c>
      <c r="G87" s="41">
        <v>0</v>
      </c>
      <c r="H87" s="41">
        <v>43055555.555555448</v>
      </c>
      <c r="I87" s="41">
        <v>277777.77777777781</v>
      </c>
      <c r="J87" s="41">
        <v>0</v>
      </c>
      <c r="K87" s="41">
        <v>0</v>
      </c>
      <c r="L87" s="41">
        <v>0</v>
      </c>
      <c r="M87" s="41">
        <v>0</v>
      </c>
      <c r="N87" s="41">
        <v>8770833.3333333395</v>
      </c>
      <c r="O87" s="41">
        <v>79166.666666666672</v>
      </c>
      <c r="P87" s="41">
        <v>25833333.333333399</v>
      </c>
      <c r="Q87" s="41">
        <v>166666.66666666669</v>
      </c>
      <c r="R87" s="41">
        <v>2500000</v>
      </c>
      <c r="S87" s="41">
        <v>0</v>
      </c>
      <c r="T87" s="41">
        <v>0</v>
      </c>
      <c r="U87" s="41">
        <v>0</v>
      </c>
      <c r="V87" s="41">
        <v>86159722.222222179</v>
      </c>
      <c r="W87" s="41">
        <v>523611.11111111112</v>
      </c>
      <c r="X87" s="38">
        <f t="shared" ref="X87:X150" si="6">V87/$B$6</f>
        <v>0.17231944444444436</v>
      </c>
      <c r="Y87" s="39">
        <f t="shared" ref="Y87:Y150" si="7">W87/$B$6</f>
        <v>1.0472222222222222E-3</v>
      </c>
      <c r="Z87" s="39">
        <f t="shared" si="4"/>
        <v>6.1143728307762202E-3</v>
      </c>
      <c r="AA87" s="41">
        <f t="shared" ref="AA87:AA150" si="8">$B$6-V87</f>
        <v>413840277.77777779</v>
      </c>
      <c r="AB87" s="39">
        <f t="shared" ref="AB87:AB150" si="9">W87/AA87</f>
        <v>1.2652492742436191E-3</v>
      </c>
      <c r="AC87" s="38">
        <f t="shared" ref="AC87:AC150" si="10" xml:space="preserve"> P87/(V87-P87)</f>
        <v>0.42822608495453163</v>
      </c>
      <c r="AD87" s="3"/>
    </row>
    <row r="88" spans="1:30" x14ac:dyDescent="0.25">
      <c r="A88" s="37">
        <v>45724</v>
      </c>
      <c r="B88" s="41">
        <v>1000000</v>
      </c>
      <c r="C88" s="41">
        <v>0</v>
      </c>
      <c r="D88" s="41">
        <v>2500000</v>
      </c>
      <c r="E88" s="41">
        <v>0</v>
      </c>
      <c r="F88" s="41">
        <v>2500000</v>
      </c>
      <c r="G88" s="41">
        <v>0</v>
      </c>
      <c r="H88" s="41">
        <v>43333333.333333217</v>
      </c>
      <c r="I88" s="41">
        <v>277777.77777777781</v>
      </c>
      <c r="J88" s="41">
        <v>0</v>
      </c>
      <c r="K88" s="41">
        <v>0</v>
      </c>
      <c r="L88" s="41">
        <v>0</v>
      </c>
      <c r="M88" s="41">
        <v>0</v>
      </c>
      <c r="N88" s="41">
        <v>8850000.0000000056</v>
      </c>
      <c r="O88" s="41">
        <v>79166.666666666672</v>
      </c>
      <c r="P88" s="41">
        <v>26000000.00000006</v>
      </c>
      <c r="Q88" s="41">
        <v>166666.66666666669</v>
      </c>
      <c r="R88" s="41">
        <v>2500000</v>
      </c>
      <c r="S88" s="41">
        <v>0</v>
      </c>
      <c r="T88" s="41">
        <v>0</v>
      </c>
      <c r="U88" s="41">
        <v>0</v>
      </c>
      <c r="V88" s="41">
        <v>86683333.333333299</v>
      </c>
      <c r="W88" s="41">
        <v>523611.11111111112</v>
      </c>
      <c r="X88" s="38">
        <f t="shared" si="6"/>
        <v>0.17336666666666659</v>
      </c>
      <c r="Y88" s="39">
        <f t="shared" si="7"/>
        <v>1.0472222222222222E-3</v>
      </c>
      <c r="Z88" s="39">
        <f t="shared" ref="Z88:Z151" si="11">W88/V87</f>
        <v>6.0772144756992049E-3</v>
      </c>
      <c r="AA88" s="41">
        <f t="shared" si="8"/>
        <v>413316666.66666669</v>
      </c>
      <c r="AB88" s="39">
        <f t="shared" si="9"/>
        <v>1.2668521580171243E-3</v>
      </c>
      <c r="AC88" s="38">
        <f t="shared" si="10"/>
        <v>0.42845372150508265</v>
      </c>
      <c r="AD88" s="3"/>
    </row>
    <row r="89" spans="1:30" x14ac:dyDescent="0.25">
      <c r="A89" s="37">
        <v>45725</v>
      </c>
      <c r="B89" s="41">
        <v>1000000</v>
      </c>
      <c r="C89" s="41">
        <v>0</v>
      </c>
      <c r="D89" s="41">
        <v>2500000</v>
      </c>
      <c r="E89" s="41">
        <v>0</v>
      </c>
      <c r="F89" s="41">
        <v>2500000</v>
      </c>
      <c r="G89" s="41">
        <v>0</v>
      </c>
      <c r="H89" s="41">
        <v>43611111.111111</v>
      </c>
      <c r="I89" s="41">
        <v>277777.77777777781</v>
      </c>
      <c r="J89" s="41">
        <v>0</v>
      </c>
      <c r="K89" s="41">
        <v>0</v>
      </c>
      <c r="L89" s="41">
        <v>0</v>
      </c>
      <c r="M89" s="41">
        <v>0</v>
      </c>
      <c r="N89" s="41">
        <v>8929166.6666666716</v>
      </c>
      <c r="O89" s="41">
        <v>79166.666666666672</v>
      </c>
      <c r="P89" s="41">
        <v>26166666.666666731</v>
      </c>
      <c r="Q89" s="41">
        <v>166666.66666666669</v>
      </c>
      <c r="R89" s="41">
        <v>2500000</v>
      </c>
      <c r="S89" s="41">
        <v>0</v>
      </c>
      <c r="T89" s="41">
        <v>0</v>
      </c>
      <c r="U89" s="41">
        <v>0</v>
      </c>
      <c r="V89" s="41">
        <v>87206944.444444403</v>
      </c>
      <c r="W89" s="41">
        <v>523611.11111111112</v>
      </c>
      <c r="X89" s="38">
        <f t="shared" si="6"/>
        <v>0.17441388888888881</v>
      </c>
      <c r="Y89" s="39">
        <f t="shared" si="7"/>
        <v>1.0472222222222222E-3</v>
      </c>
      <c r="Z89" s="39">
        <f t="shared" si="11"/>
        <v>6.0405050310837682E-3</v>
      </c>
      <c r="AA89" s="41">
        <f t="shared" si="8"/>
        <v>412793055.55555558</v>
      </c>
      <c r="AB89" s="39">
        <f t="shared" si="9"/>
        <v>1.2684591081756731E-3</v>
      </c>
      <c r="AC89" s="38">
        <f t="shared" si="10"/>
        <v>0.42867869576099749</v>
      </c>
      <c r="AD89" s="3"/>
    </row>
    <row r="90" spans="1:30" x14ac:dyDescent="0.25">
      <c r="A90" s="37">
        <v>45726</v>
      </c>
      <c r="B90" s="41">
        <v>1000000</v>
      </c>
      <c r="C90" s="41">
        <v>0</v>
      </c>
      <c r="D90" s="41">
        <v>2500000</v>
      </c>
      <c r="E90" s="41">
        <v>0</v>
      </c>
      <c r="F90" s="41">
        <v>2500000</v>
      </c>
      <c r="G90" s="41">
        <v>0</v>
      </c>
      <c r="H90" s="41">
        <v>43888888.888888776</v>
      </c>
      <c r="I90" s="41">
        <v>277777.77777777781</v>
      </c>
      <c r="J90" s="41">
        <v>0</v>
      </c>
      <c r="K90" s="41">
        <v>0</v>
      </c>
      <c r="L90" s="41">
        <v>0</v>
      </c>
      <c r="M90" s="41">
        <v>0</v>
      </c>
      <c r="N90" s="41">
        <v>9008333.3333333377</v>
      </c>
      <c r="O90" s="41">
        <v>79166.666666666672</v>
      </c>
      <c r="P90" s="41">
        <v>26333333.333333399</v>
      </c>
      <c r="Q90" s="41">
        <v>166666.66666666669</v>
      </c>
      <c r="R90" s="41">
        <v>2500000</v>
      </c>
      <c r="S90" s="41">
        <v>0</v>
      </c>
      <c r="T90" s="41">
        <v>0</v>
      </c>
      <c r="U90" s="41">
        <v>0</v>
      </c>
      <c r="V90" s="41">
        <v>87730555.555555508</v>
      </c>
      <c r="W90" s="41">
        <v>523611.11111111112</v>
      </c>
      <c r="X90" s="38">
        <f t="shared" si="6"/>
        <v>0.17546111111111101</v>
      </c>
      <c r="Y90" s="39">
        <f t="shared" si="7"/>
        <v>1.0472222222222222E-3</v>
      </c>
      <c r="Z90" s="39">
        <f t="shared" si="11"/>
        <v>6.004236410836296E-3</v>
      </c>
      <c r="AA90" s="41">
        <f t="shared" si="8"/>
        <v>412269444.44444448</v>
      </c>
      <c r="AB90" s="39">
        <f t="shared" si="9"/>
        <v>1.2700701402130483E-3</v>
      </c>
      <c r="AC90" s="38">
        <f t="shared" si="10"/>
        <v>0.42890105415554641</v>
      </c>
      <c r="AD90" s="3"/>
    </row>
    <row r="91" spans="1:30" x14ac:dyDescent="0.25">
      <c r="A91" s="37">
        <v>45727</v>
      </c>
      <c r="B91" s="41">
        <v>1000000</v>
      </c>
      <c r="C91" s="41">
        <v>0</v>
      </c>
      <c r="D91" s="41">
        <v>2500000</v>
      </c>
      <c r="E91" s="41">
        <v>0</v>
      </c>
      <c r="F91" s="41">
        <v>2500000</v>
      </c>
      <c r="G91" s="41">
        <v>0</v>
      </c>
      <c r="H91" s="41">
        <v>44166666.666666552</v>
      </c>
      <c r="I91" s="41">
        <v>277777.77777777781</v>
      </c>
      <c r="J91" s="41">
        <v>0</v>
      </c>
      <c r="K91" s="41">
        <v>0</v>
      </c>
      <c r="L91" s="41">
        <v>0</v>
      </c>
      <c r="M91" s="41">
        <v>0</v>
      </c>
      <c r="N91" s="41">
        <v>9087500.0000000037</v>
      </c>
      <c r="O91" s="41">
        <v>79166.666666666672</v>
      </c>
      <c r="P91" s="41">
        <v>26500000.000000071</v>
      </c>
      <c r="Q91" s="41">
        <v>166666.66666666669</v>
      </c>
      <c r="R91" s="41">
        <v>2500000</v>
      </c>
      <c r="S91" s="41">
        <v>0</v>
      </c>
      <c r="T91" s="41">
        <v>0</v>
      </c>
      <c r="U91" s="41">
        <v>0</v>
      </c>
      <c r="V91" s="41">
        <v>88254166.666666627</v>
      </c>
      <c r="W91" s="41">
        <v>523611.11111111112</v>
      </c>
      <c r="X91" s="38">
        <f t="shared" si="6"/>
        <v>0.17650833333333327</v>
      </c>
      <c r="Y91" s="39">
        <f t="shared" si="7"/>
        <v>1.0472222222222222E-3</v>
      </c>
      <c r="Z91" s="39">
        <f t="shared" si="11"/>
        <v>5.968400721907359E-3</v>
      </c>
      <c r="AA91" s="41">
        <f t="shared" si="8"/>
        <v>411745833.33333337</v>
      </c>
      <c r="AB91" s="39">
        <f t="shared" si="9"/>
        <v>1.2716852697018453E-3</v>
      </c>
      <c r="AC91" s="38">
        <f t="shared" si="10"/>
        <v>0.42912084204844669</v>
      </c>
      <c r="AD91" s="3"/>
    </row>
    <row r="92" spans="1:30" x14ac:dyDescent="0.25">
      <c r="A92" s="37">
        <v>45728</v>
      </c>
      <c r="B92" s="41">
        <v>1000000</v>
      </c>
      <c r="C92" s="41">
        <v>0</v>
      </c>
      <c r="D92" s="41">
        <v>2500000</v>
      </c>
      <c r="E92" s="41">
        <v>0</v>
      </c>
      <c r="F92" s="41">
        <v>2500000</v>
      </c>
      <c r="G92" s="41">
        <v>0</v>
      </c>
      <c r="H92" s="41">
        <v>44444444.444444329</v>
      </c>
      <c r="I92" s="41">
        <v>277777.77777777781</v>
      </c>
      <c r="J92" s="41">
        <v>0</v>
      </c>
      <c r="K92" s="41">
        <v>0</v>
      </c>
      <c r="L92" s="41">
        <v>0</v>
      </c>
      <c r="M92" s="41">
        <v>0</v>
      </c>
      <c r="N92" s="41">
        <v>9166666.6666666698</v>
      </c>
      <c r="O92" s="41">
        <v>79166.666666666672</v>
      </c>
      <c r="P92" s="41">
        <v>26666666.666666731</v>
      </c>
      <c r="Q92" s="41">
        <v>166666.66666666669</v>
      </c>
      <c r="R92" s="41">
        <v>2500000</v>
      </c>
      <c r="S92" s="41">
        <v>0</v>
      </c>
      <c r="T92" s="41">
        <v>0</v>
      </c>
      <c r="U92" s="41">
        <v>0</v>
      </c>
      <c r="V92" s="41">
        <v>88777777.777777731</v>
      </c>
      <c r="W92" s="41">
        <v>523611.11111111112</v>
      </c>
      <c r="X92" s="38">
        <f t="shared" si="6"/>
        <v>0.17755555555555547</v>
      </c>
      <c r="Y92" s="39">
        <f t="shared" si="7"/>
        <v>1.0472222222222222E-3</v>
      </c>
      <c r="Z92" s="39">
        <f t="shared" si="11"/>
        <v>5.9329902585650686E-3</v>
      </c>
      <c r="AA92" s="41">
        <f t="shared" si="8"/>
        <v>411222222.22222227</v>
      </c>
      <c r="AB92" s="39">
        <f t="shared" si="9"/>
        <v>1.2733045122939744E-3</v>
      </c>
      <c r="AC92" s="38">
        <f t="shared" si="10"/>
        <v>0.42933810375671022</v>
      </c>
      <c r="AD92" s="3"/>
    </row>
    <row r="93" spans="1:30" x14ac:dyDescent="0.25">
      <c r="A93" s="37">
        <v>45729</v>
      </c>
      <c r="B93" s="41">
        <v>1000000</v>
      </c>
      <c r="C93" s="41">
        <v>0</v>
      </c>
      <c r="D93" s="41">
        <v>2500000</v>
      </c>
      <c r="E93" s="41">
        <v>0</v>
      </c>
      <c r="F93" s="41">
        <v>2500000</v>
      </c>
      <c r="G93" s="41">
        <v>0</v>
      </c>
      <c r="H93" s="41">
        <v>44722222.222222097</v>
      </c>
      <c r="I93" s="41">
        <v>277777.77777777781</v>
      </c>
      <c r="J93" s="41">
        <v>0</v>
      </c>
      <c r="K93" s="41">
        <v>0</v>
      </c>
      <c r="L93" s="41">
        <v>0</v>
      </c>
      <c r="M93" s="41">
        <v>0</v>
      </c>
      <c r="N93" s="41">
        <v>9245833.3333333358</v>
      </c>
      <c r="O93" s="41">
        <v>79166.666666666672</v>
      </c>
      <c r="P93" s="41">
        <v>26833333.333333399</v>
      </c>
      <c r="Q93" s="41">
        <v>166666.66666666669</v>
      </c>
      <c r="R93" s="41">
        <v>2500000</v>
      </c>
      <c r="S93" s="41">
        <v>0</v>
      </c>
      <c r="T93" s="41">
        <v>0</v>
      </c>
      <c r="U93" s="41">
        <v>0</v>
      </c>
      <c r="V93" s="41">
        <v>89301388.888888836</v>
      </c>
      <c r="W93" s="41">
        <v>523611.11111111112</v>
      </c>
      <c r="X93" s="38">
        <f t="shared" si="6"/>
        <v>0.17860277777777767</v>
      </c>
      <c r="Y93" s="39">
        <f t="shared" si="7"/>
        <v>1.0472222222222222E-3</v>
      </c>
      <c r="Z93" s="39">
        <f t="shared" si="11"/>
        <v>5.8979974968710923E-3</v>
      </c>
      <c r="AA93" s="41">
        <f t="shared" si="8"/>
        <v>410698611.11111116</v>
      </c>
      <c r="AB93" s="39">
        <f t="shared" si="9"/>
        <v>1.274927883721166E-3</v>
      </c>
      <c r="AC93" s="38">
        <f t="shared" si="10"/>
        <v>0.42955288258443391</v>
      </c>
      <c r="AD93" s="3"/>
    </row>
    <row r="94" spans="1:30" x14ac:dyDescent="0.25">
      <c r="A94" s="37">
        <v>45730</v>
      </c>
      <c r="B94" s="41">
        <v>1000000</v>
      </c>
      <c r="C94" s="41">
        <v>0</v>
      </c>
      <c r="D94" s="41">
        <v>2500000</v>
      </c>
      <c r="E94" s="41">
        <v>0</v>
      </c>
      <c r="F94" s="41">
        <v>2500000</v>
      </c>
      <c r="G94" s="41">
        <v>0</v>
      </c>
      <c r="H94" s="41">
        <v>44999999.999999881</v>
      </c>
      <c r="I94" s="41">
        <v>277777.77777777781</v>
      </c>
      <c r="J94" s="41">
        <v>0</v>
      </c>
      <c r="K94" s="41">
        <v>0</v>
      </c>
      <c r="L94" s="41">
        <v>0</v>
      </c>
      <c r="M94" s="41">
        <v>0</v>
      </c>
      <c r="N94" s="41">
        <v>9325000.0000000019</v>
      </c>
      <c r="O94" s="41">
        <v>79166.666666666672</v>
      </c>
      <c r="P94" s="41">
        <v>27000000.000000071</v>
      </c>
      <c r="Q94" s="41">
        <v>166666.66666666669</v>
      </c>
      <c r="R94" s="41">
        <v>2500000</v>
      </c>
      <c r="S94" s="41">
        <v>0</v>
      </c>
      <c r="T94" s="41">
        <v>0</v>
      </c>
      <c r="U94" s="41">
        <v>0</v>
      </c>
      <c r="V94" s="41">
        <v>89824999.999999955</v>
      </c>
      <c r="W94" s="41">
        <v>523611.11111111112</v>
      </c>
      <c r="X94" s="38">
        <f t="shared" si="6"/>
        <v>0.17964999999999992</v>
      </c>
      <c r="Y94" s="39">
        <f t="shared" si="7"/>
        <v>1.0472222222222222E-3</v>
      </c>
      <c r="Z94" s="39">
        <f t="shared" si="11"/>
        <v>5.8634150893509844E-3</v>
      </c>
      <c r="AA94" s="41">
        <f t="shared" si="8"/>
        <v>410175000.00000006</v>
      </c>
      <c r="AB94" s="39">
        <f t="shared" si="9"/>
        <v>1.2765553997954801E-3</v>
      </c>
      <c r="AC94" s="38">
        <f t="shared" si="10"/>
        <v>0.42976522085157376</v>
      </c>
      <c r="AD94" s="3"/>
    </row>
    <row r="95" spans="1:30" x14ac:dyDescent="0.25">
      <c r="A95" s="37">
        <v>45731</v>
      </c>
      <c r="B95" s="41">
        <v>1000000</v>
      </c>
      <c r="C95" s="41">
        <v>0</v>
      </c>
      <c r="D95" s="41">
        <v>2500000</v>
      </c>
      <c r="E95" s="41">
        <v>0</v>
      </c>
      <c r="F95" s="41">
        <v>2500000</v>
      </c>
      <c r="G95" s="41">
        <v>0</v>
      </c>
      <c r="H95" s="41">
        <v>45277777.777777657</v>
      </c>
      <c r="I95" s="41">
        <v>277777.77777777781</v>
      </c>
      <c r="J95" s="41">
        <v>0</v>
      </c>
      <c r="K95" s="41">
        <v>0</v>
      </c>
      <c r="L95" s="41">
        <v>0</v>
      </c>
      <c r="M95" s="41">
        <v>0</v>
      </c>
      <c r="N95" s="41">
        <v>9404166.6666666679</v>
      </c>
      <c r="O95" s="41">
        <v>79166.666666666672</v>
      </c>
      <c r="P95" s="41">
        <v>27166666.666666739</v>
      </c>
      <c r="Q95" s="41">
        <v>166666.66666666669</v>
      </c>
      <c r="R95" s="41">
        <v>2500000</v>
      </c>
      <c r="S95" s="41">
        <v>0</v>
      </c>
      <c r="T95" s="41">
        <v>0</v>
      </c>
      <c r="U95" s="41">
        <v>0</v>
      </c>
      <c r="V95" s="41">
        <v>90348611.111111075</v>
      </c>
      <c r="W95" s="41">
        <v>523611.11111111112</v>
      </c>
      <c r="X95" s="38">
        <f t="shared" si="6"/>
        <v>0.18069722222222215</v>
      </c>
      <c r="Y95" s="39">
        <f t="shared" si="7"/>
        <v>1.0472222222222222E-3</v>
      </c>
      <c r="Z95" s="39">
        <f t="shared" si="11"/>
        <v>5.8292358598509477E-3</v>
      </c>
      <c r="AA95" s="41">
        <f t="shared" si="8"/>
        <v>409651388.88888896</v>
      </c>
      <c r="AB95" s="39">
        <f t="shared" si="9"/>
        <v>1.2781870764098197E-3</v>
      </c>
      <c r="AC95" s="38">
        <f t="shared" si="10"/>
        <v>0.42997515992174462</v>
      </c>
      <c r="AD95" s="3"/>
    </row>
    <row r="96" spans="1:30" x14ac:dyDescent="0.25">
      <c r="A96" s="37">
        <v>45732</v>
      </c>
      <c r="B96" s="41">
        <v>1000000</v>
      </c>
      <c r="C96" s="41">
        <v>0</v>
      </c>
      <c r="D96" s="41">
        <v>2500000</v>
      </c>
      <c r="E96" s="41">
        <v>0</v>
      </c>
      <c r="F96" s="41">
        <v>2500000</v>
      </c>
      <c r="G96" s="41">
        <v>0</v>
      </c>
      <c r="H96" s="41">
        <v>45555555.555555433</v>
      </c>
      <c r="I96" s="41">
        <v>277777.77777777781</v>
      </c>
      <c r="J96" s="41">
        <v>0</v>
      </c>
      <c r="K96" s="41">
        <v>0</v>
      </c>
      <c r="L96" s="41">
        <v>0</v>
      </c>
      <c r="M96" s="41">
        <v>0</v>
      </c>
      <c r="N96" s="41">
        <v>9483333.333333334</v>
      </c>
      <c r="O96" s="41">
        <v>79166.666666666672</v>
      </c>
      <c r="P96" s="41">
        <v>27333333.33333341</v>
      </c>
      <c r="Q96" s="41">
        <v>166666.66666666669</v>
      </c>
      <c r="R96" s="41">
        <v>2500000</v>
      </c>
      <c r="S96" s="41">
        <v>0</v>
      </c>
      <c r="T96" s="41">
        <v>0</v>
      </c>
      <c r="U96" s="41">
        <v>0</v>
      </c>
      <c r="V96" s="41">
        <v>90872222.222222179</v>
      </c>
      <c r="W96" s="41">
        <v>523611.11111111112</v>
      </c>
      <c r="X96" s="38">
        <f t="shared" si="6"/>
        <v>0.18174444444444435</v>
      </c>
      <c r="Y96" s="39">
        <f t="shared" si="7"/>
        <v>1.0472222222222222E-3</v>
      </c>
      <c r="Z96" s="39">
        <f t="shared" si="11"/>
        <v>5.7954527985734292E-3</v>
      </c>
      <c r="AA96" s="41">
        <f t="shared" si="8"/>
        <v>409127777.77777779</v>
      </c>
      <c r="AB96" s="39">
        <f t="shared" si="9"/>
        <v>1.2798229295384489E-3</v>
      </c>
      <c r="AC96" s="38">
        <f t="shared" si="10"/>
        <v>0.43018274022908309</v>
      </c>
      <c r="AD96" s="3"/>
    </row>
    <row r="97" spans="1:30" x14ac:dyDescent="0.25">
      <c r="A97" s="37">
        <v>45733</v>
      </c>
      <c r="B97" s="41">
        <v>1000000</v>
      </c>
      <c r="C97" s="41">
        <v>0</v>
      </c>
      <c r="D97" s="41">
        <v>2500000</v>
      </c>
      <c r="E97" s="41">
        <v>0</v>
      </c>
      <c r="F97" s="41">
        <v>2500000</v>
      </c>
      <c r="G97" s="41">
        <v>0</v>
      </c>
      <c r="H97" s="41">
        <v>45833333.333333209</v>
      </c>
      <c r="I97" s="41">
        <v>277777.77777777781</v>
      </c>
      <c r="J97" s="41">
        <v>0</v>
      </c>
      <c r="K97" s="41">
        <v>0</v>
      </c>
      <c r="L97" s="41">
        <v>0</v>
      </c>
      <c r="M97" s="41">
        <v>0</v>
      </c>
      <c r="N97" s="41">
        <v>9562500</v>
      </c>
      <c r="O97" s="41">
        <v>79166.666666666672</v>
      </c>
      <c r="P97" s="41">
        <v>27500000.000000071</v>
      </c>
      <c r="Q97" s="41">
        <v>166666.66666666669</v>
      </c>
      <c r="R97" s="41">
        <v>2500000</v>
      </c>
      <c r="S97" s="41">
        <v>0</v>
      </c>
      <c r="T97" s="41">
        <v>0</v>
      </c>
      <c r="U97" s="41">
        <v>0</v>
      </c>
      <c r="V97" s="41">
        <v>91395833.333333284</v>
      </c>
      <c r="W97" s="41">
        <v>523611.11111111112</v>
      </c>
      <c r="X97" s="38">
        <f t="shared" si="6"/>
        <v>0.18279166666666657</v>
      </c>
      <c r="Y97" s="39">
        <f t="shared" si="7"/>
        <v>1.0472222222222222E-3</v>
      </c>
      <c r="Z97" s="39">
        <f t="shared" si="11"/>
        <v>5.7620590572843456E-3</v>
      </c>
      <c r="AA97" s="41">
        <f t="shared" si="8"/>
        <v>408604166.66666675</v>
      </c>
      <c r="AB97" s="39">
        <f t="shared" si="9"/>
        <v>1.2814629752375124E-3</v>
      </c>
      <c r="AC97" s="38">
        <f t="shared" si="10"/>
        <v>0.43038800130420801</v>
      </c>
      <c r="AD97" s="3"/>
    </row>
    <row r="98" spans="1:30" x14ac:dyDescent="0.25">
      <c r="A98" s="37">
        <v>45734</v>
      </c>
      <c r="B98" s="41">
        <v>1000000</v>
      </c>
      <c r="C98" s="41">
        <v>0</v>
      </c>
      <c r="D98" s="41">
        <v>2500000</v>
      </c>
      <c r="E98" s="41">
        <v>0</v>
      </c>
      <c r="F98" s="41">
        <v>2500000</v>
      </c>
      <c r="G98" s="41">
        <v>0</v>
      </c>
      <c r="H98" s="41">
        <v>46111111.111110993</v>
      </c>
      <c r="I98" s="41">
        <v>277777.77777777781</v>
      </c>
      <c r="J98" s="41">
        <v>0</v>
      </c>
      <c r="K98" s="41">
        <v>0</v>
      </c>
      <c r="L98" s="41">
        <v>0</v>
      </c>
      <c r="M98" s="41">
        <v>0</v>
      </c>
      <c r="N98" s="41">
        <v>9641666.666666666</v>
      </c>
      <c r="O98" s="41">
        <v>79166.666666666672</v>
      </c>
      <c r="P98" s="41">
        <v>27666666.666666739</v>
      </c>
      <c r="Q98" s="41">
        <v>166666.66666666669</v>
      </c>
      <c r="R98" s="41">
        <v>2500000</v>
      </c>
      <c r="S98" s="41">
        <v>0</v>
      </c>
      <c r="T98" s="41">
        <v>0</v>
      </c>
      <c r="U98" s="41">
        <v>0</v>
      </c>
      <c r="V98" s="41">
        <v>91919444.444444388</v>
      </c>
      <c r="W98" s="41">
        <v>523611.11111111112</v>
      </c>
      <c r="X98" s="38">
        <f t="shared" si="6"/>
        <v>0.18383888888888877</v>
      </c>
      <c r="Y98" s="39">
        <f t="shared" si="7"/>
        <v>1.0472222222222222E-3</v>
      </c>
      <c r="Z98" s="39">
        <f t="shared" si="11"/>
        <v>5.7290479446850577E-3</v>
      </c>
      <c r="AA98" s="41">
        <f t="shared" si="8"/>
        <v>408080555.55555558</v>
      </c>
      <c r="AB98" s="39">
        <f t="shared" si="9"/>
        <v>1.2831072296455629E-3</v>
      </c>
      <c r="AC98" s="38">
        <f t="shared" si="10"/>
        <v>0.43059098179931893</v>
      </c>
      <c r="AD98" s="3"/>
    </row>
    <row r="99" spans="1:30" x14ac:dyDescent="0.25">
      <c r="A99" s="37">
        <v>45735</v>
      </c>
      <c r="B99" s="41">
        <v>1000000</v>
      </c>
      <c r="C99" s="41">
        <v>0</v>
      </c>
      <c r="D99" s="41">
        <v>2500000</v>
      </c>
      <c r="E99" s="41">
        <v>0</v>
      </c>
      <c r="F99" s="41">
        <v>2500000</v>
      </c>
      <c r="G99" s="41">
        <v>0</v>
      </c>
      <c r="H99" s="41">
        <v>46388888.888888761</v>
      </c>
      <c r="I99" s="41">
        <v>277777.77777777781</v>
      </c>
      <c r="J99" s="41">
        <v>0</v>
      </c>
      <c r="K99" s="41">
        <v>0</v>
      </c>
      <c r="L99" s="41">
        <v>0</v>
      </c>
      <c r="M99" s="41">
        <v>0</v>
      </c>
      <c r="N99" s="41">
        <v>9720833.3333333321</v>
      </c>
      <c r="O99" s="41">
        <v>79166.666666666672</v>
      </c>
      <c r="P99" s="41">
        <v>27833333.33333341</v>
      </c>
      <c r="Q99" s="41">
        <v>166666.66666666669</v>
      </c>
      <c r="R99" s="41">
        <v>2500000</v>
      </c>
      <c r="S99" s="41">
        <v>0</v>
      </c>
      <c r="T99" s="41">
        <v>0</v>
      </c>
      <c r="U99" s="41">
        <v>0</v>
      </c>
      <c r="V99" s="41">
        <v>92443055.555555493</v>
      </c>
      <c r="W99" s="41">
        <v>523611.11111111112</v>
      </c>
      <c r="X99" s="38">
        <f t="shared" si="6"/>
        <v>0.18488611111111097</v>
      </c>
      <c r="Y99" s="39">
        <f t="shared" si="7"/>
        <v>1.0472222222222222E-3</v>
      </c>
      <c r="Z99" s="39">
        <f t="shared" si="11"/>
        <v>5.6964129219425255E-3</v>
      </c>
      <c r="AA99" s="41">
        <f t="shared" si="8"/>
        <v>407556944.44444454</v>
      </c>
      <c r="AB99" s="39">
        <f t="shared" si="9"/>
        <v>1.2847557089840885E-3</v>
      </c>
      <c r="AC99" s="38">
        <f t="shared" si="10"/>
        <v>0.43079171951245943</v>
      </c>
      <c r="AD99" s="3"/>
    </row>
    <row r="100" spans="1:30" x14ac:dyDescent="0.25">
      <c r="A100" s="37">
        <v>45736</v>
      </c>
      <c r="B100" s="41">
        <v>1000000</v>
      </c>
      <c r="C100" s="41">
        <v>0</v>
      </c>
      <c r="D100" s="41">
        <v>2500000</v>
      </c>
      <c r="E100" s="41">
        <v>0</v>
      </c>
      <c r="F100" s="41">
        <v>2500000</v>
      </c>
      <c r="G100" s="41">
        <v>0</v>
      </c>
      <c r="H100" s="41">
        <v>46666666.666666538</v>
      </c>
      <c r="I100" s="41">
        <v>277777.77777777781</v>
      </c>
      <c r="J100" s="41">
        <v>0</v>
      </c>
      <c r="K100" s="41">
        <v>0</v>
      </c>
      <c r="L100" s="41">
        <v>0</v>
      </c>
      <c r="M100" s="41">
        <v>0</v>
      </c>
      <c r="N100" s="41">
        <v>9799999.9999999981</v>
      </c>
      <c r="O100" s="41">
        <v>79166.666666666672</v>
      </c>
      <c r="P100" s="41">
        <v>28000000.000000078</v>
      </c>
      <c r="Q100" s="41">
        <v>166666.66666666669</v>
      </c>
      <c r="R100" s="41">
        <v>2500000</v>
      </c>
      <c r="S100" s="41">
        <v>0</v>
      </c>
      <c r="T100" s="41">
        <v>0</v>
      </c>
      <c r="U100" s="41">
        <v>0</v>
      </c>
      <c r="V100" s="41">
        <v>92966666.666666612</v>
      </c>
      <c r="W100" s="41">
        <v>523611.11111111112</v>
      </c>
      <c r="X100" s="38">
        <f t="shared" si="6"/>
        <v>0.18593333333333323</v>
      </c>
      <c r="Y100" s="39">
        <f t="shared" si="7"/>
        <v>1.0472222222222222E-3</v>
      </c>
      <c r="Z100" s="39">
        <f t="shared" si="11"/>
        <v>5.6641475983713737E-3</v>
      </c>
      <c r="AA100" s="41">
        <f t="shared" si="8"/>
        <v>407033333.33333337</v>
      </c>
      <c r="AB100" s="39">
        <f t="shared" si="9"/>
        <v>1.2864084295580486E-3</v>
      </c>
      <c r="AC100" s="38">
        <f t="shared" si="10"/>
        <v>0.43099025141098207</v>
      </c>
      <c r="AD100" s="3"/>
    </row>
    <row r="101" spans="1:30" x14ac:dyDescent="0.25">
      <c r="A101" s="37">
        <v>45737</v>
      </c>
      <c r="B101" s="41">
        <v>1000000</v>
      </c>
      <c r="C101" s="41">
        <v>0</v>
      </c>
      <c r="D101" s="41">
        <v>2500000</v>
      </c>
      <c r="E101" s="41">
        <v>0</v>
      </c>
      <c r="F101" s="41">
        <v>2500000</v>
      </c>
      <c r="G101" s="41">
        <v>0</v>
      </c>
      <c r="H101" s="41">
        <v>46944444.444444314</v>
      </c>
      <c r="I101" s="41">
        <v>277777.77777777781</v>
      </c>
      <c r="J101" s="41">
        <v>0</v>
      </c>
      <c r="K101" s="41">
        <v>0</v>
      </c>
      <c r="L101" s="41">
        <v>0</v>
      </c>
      <c r="M101" s="41">
        <v>0</v>
      </c>
      <c r="N101" s="41">
        <v>9879166.6666666642</v>
      </c>
      <c r="O101" s="41">
        <v>79166.666666666672</v>
      </c>
      <c r="P101" s="41">
        <v>28166666.66666675</v>
      </c>
      <c r="Q101" s="41">
        <v>166666.66666666669</v>
      </c>
      <c r="R101" s="41">
        <v>2500000</v>
      </c>
      <c r="S101" s="41">
        <v>0</v>
      </c>
      <c r="T101" s="41">
        <v>0</v>
      </c>
      <c r="U101" s="41">
        <v>0</v>
      </c>
      <c r="V101" s="41">
        <v>93490277.777777731</v>
      </c>
      <c r="W101" s="41">
        <v>523611.11111111112</v>
      </c>
      <c r="X101" s="38">
        <f t="shared" si="6"/>
        <v>0.18698055555555546</v>
      </c>
      <c r="Y101" s="39">
        <f t="shared" si="7"/>
        <v>1.0472222222222222E-3</v>
      </c>
      <c r="Z101" s="39">
        <f t="shared" si="11"/>
        <v>5.6322457272618654E-3</v>
      </c>
      <c r="AA101" s="41">
        <f t="shared" si="8"/>
        <v>406509722.22222227</v>
      </c>
      <c r="AB101" s="39">
        <f t="shared" si="9"/>
        <v>1.2880654077564086E-3</v>
      </c>
      <c r="AC101" s="38">
        <f t="shared" si="10"/>
        <v>0.43118661365424488</v>
      </c>
      <c r="AD101" s="3"/>
    </row>
    <row r="102" spans="1:30" x14ac:dyDescent="0.25">
      <c r="A102" s="37">
        <v>45738</v>
      </c>
      <c r="B102" s="41">
        <v>1000000</v>
      </c>
      <c r="C102" s="41">
        <v>0</v>
      </c>
      <c r="D102" s="41">
        <v>2500000</v>
      </c>
      <c r="E102" s="41">
        <v>0</v>
      </c>
      <c r="F102" s="41">
        <v>2500000</v>
      </c>
      <c r="G102" s="41">
        <v>0</v>
      </c>
      <c r="H102" s="41">
        <v>47222222.22222209</v>
      </c>
      <c r="I102" s="41">
        <v>277777.77777777781</v>
      </c>
      <c r="J102" s="41">
        <v>0</v>
      </c>
      <c r="K102" s="41">
        <v>0</v>
      </c>
      <c r="L102" s="41">
        <v>0</v>
      </c>
      <c r="M102" s="41">
        <v>0</v>
      </c>
      <c r="N102" s="41">
        <v>9958333.3333333302</v>
      </c>
      <c r="O102" s="41">
        <v>79166.666666666672</v>
      </c>
      <c r="P102" s="41">
        <v>28333333.33333341</v>
      </c>
      <c r="Q102" s="41">
        <v>166666.66666666669</v>
      </c>
      <c r="R102" s="41">
        <v>2500000</v>
      </c>
      <c r="S102" s="41">
        <v>0</v>
      </c>
      <c r="T102" s="41">
        <v>0</v>
      </c>
      <c r="U102" s="41">
        <v>0</v>
      </c>
      <c r="V102" s="41">
        <v>94013888.888888836</v>
      </c>
      <c r="W102" s="41">
        <v>523611.11111111112</v>
      </c>
      <c r="X102" s="38">
        <f t="shared" si="6"/>
        <v>0.18802777777777768</v>
      </c>
      <c r="Y102" s="39">
        <f t="shared" si="7"/>
        <v>1.0472222222222222E-3</v>
      </c>
      <c r="Z102" s="39">
        <f t="shared" si="11"/>
        <v>5.6007012018480856E-3</v>
      </c>
      <c r="AA102" s="41">
        <f t="shared" si="8"/>
        <v>405986111.11111116</v>
      </c>
      <c r="AB102" s="39">
        <f t="shared" si="9"/>
        <v>1.2897266600526837E-3</v>
      </c>
      <c r="AC102" s="38">
        <f t="shared" si="10"/>
        <v>0.43138084161556556</v>
      </c>
      <c r="AD102" s="3"/>
    </row>
    <row r="103" spans="1:30" x14ac:dyDescent="0.25">
      <c r="A103" s="37">
        <v>45739</v>
      </c>
      <c r="B103" s="41">
        <v>1000000</v>
      </c>
      <c r="C103" s="41">
        <v>0</v>
      </c>
      <c r="D103" s="41">
        <v>2500000</v>
      </c>
      <c r="E103" s="41">
        <v>0</v>
      </c>
      <c r="F103" s="41">
        <v>2500000</v>
      </c>
      <c r="G103" s="41">
        <v>0</v>
      </c>
      <c r="H103" s="41">
        <v>47499999.999999873</v>
      </c>
      <c r="I103" s="41">
        <v>277777.77777777781</v>
      </c>
      <c r="J103" s="41">
        <v>0</v>
      </c>
      <c r="K103" s="41">
        <v>0</v>
      </c>
      <c r="L103" s="41">
        <v>0</v>
      </c>
      <c r="M103" s="41">
        <v>0</v>
      </c>
      <c r="N103" s="41">
        <v>10037500</v>
      </c>
      <c r="O103" s="41">
        <v>79166.666666666672</v>
      </c>
      <c r="P103" s="41">
        <v>28500000.000000078</v>
      </c>
      <c r="Q103" s="41">
        <v>166666.66666666669</v>
      </c>
      <c r="R103" s="41">
        <v>2500000</v>
      </c>
      <c r="S103" s="41">
        <v>0</v>
      </c>
      <c r="T103" s="41">
        <v>0</v>
      </c>
      <c r="U103" s="41">
        <v>0</v>
      </c>
      <c r="V103" s="41">
        <v>94537499.99999994</v>
      </c>
      <c r="W103" s="41">
        <v>523611.11111111112</v>
      </c>
      <c r="X103" s="38">
        <f t="shared" si="6"/>
        <v>0.18907499999999988</v>
      </c>
      <c r="Y103" s="39">
        <f t="shared" si="7"/>
        <v>1.0472222222222222E-3</v>
      </c>
      <c r="Z103" s="39">
        <f t="shared" si="11"/>
        <v>5.5695080514108469E-3</v>
      </c>
      <c r="AA103" s="41">
        <f t="shared" si="8"/>
        <v>405462500.00000006</v>
      </c>
      <c r="AB103" s="39">
        <f t="shared" si="9"/>
        <v>1.2913922030054839E-3</v>
      </c>
      <c r="AC103" s="38">
        <f t="shared" si="10"/>
        <v>0.431572969903466</v>
      </c>
      <c r="AD103" s="3"/>
    </row>
    <row r="104" spans="1:30" x14ac:dyDescent="0.25">
      <c r="A104" s="37">
        <v>45740</v>
      </c>
      <c r="B104" s="41">
        <v>1000000</v>
      </c>
      <c r="C104" s="41">
        <v>0</v>
      </c>
      <c r="D104" s="41">
        <v>2500000</v>
      </c>
      <c r="E104" s="41">
        <v>0</v>
      </c>
      <c r="F104" s="41">
        <v>2500000</v>
      </c>
      <c r="G104" s="41">
        <v>0</v>
      </c>
      <c r="H104" s="41">
        <v>47777777.777777642</v>
      </c>
      <c r="I104" s="41">
        <v>277777.77777777781</v>
      </c>
      <c r="J104" s="41">
        <v>0</v>
      </c>
      <c r="K104" s="41">
        <v>0</v>
      </c>
      <c r="L104" s="41">
        <v>0</v>
      </c>
      <c r="M104" s="41">
        <v>0</v>
      </c>
      <c r="N104" s="41">
        <v>10116666.66666666</v>
      </c>
      <c r="O104" s="41">
        <v>79166.666666666672</v>
      </c>
      <c r="P104" s="41">
        <v>28666666.66666675</v>
      </c>
      <c r="Q104" s="41">
        <v>166666.66666666669</v>
      </c>
      <c r="R104" s="41">
        <v>2500000</v>
      </c>
      <c r="S104" s="41">
        <v>0</v>
      </c>
      <c r="T104" s="41">
        <v>0</v>
      </c>
      <c r="U104" s="41">
        <v>0</v>
      </c>
      <c r="V104" s="41">
        <v>95061111.11111106</v>
      </c>
      <c r="W104" s="41">
        <v>523611.11111111112</v>
      </c>
      <c r="X104" s="38">
        <f t="shared" si="6"/>
        <v>0.19012222222222211</v>
      </c>
      <c r="Y104" s="39">
        <f t="shared" si="7"/>
        <v>1.0472222222222222E-3</v>
      </c>
      <c r="Z104" s="39">
        <f t="shared" si="11"/>
        <v>5.5386604375101036E-3</v>
      </c>
      <c r="AA104" s="41">
        <f t="shared" si="8"/>
        <v>404938888.88888896</v>
      </c>
      <c r="AB104" s="39">
        <f t="shared" si="9"/>
        <v>1.2930620532590649E-3</v>
      </c>
      <c r="AC104" s="38">
        <f t="shared" si="10"/>
        <v>0.43176303238222952</v>
      </c>
      <c r="AD104" s="3"/>
    </row>
    <row r="105" spans="1:30" x14ac:dyDescent="0.25">
      <c r="A105" s="37">
        <v>45741</v>
      </c>
      <c r="B105" s="41">
        <v>1000000</v>
      </c>
      <c r="C105" s="41">
        <v>0</v>
      </c>
      <c r="D105" s="41">
        <v>2500000</v>
      </c>
      <c r="E105" s="41">
        <v>0</v>
      </c>
      <c r="F105" s="41">
        <v>2500000</v>
      </c>
      <c r="G105" s="41">
        <v>0</v>
      </c>
      <c r="H105" s="41">
        <v>48055555.555555418</v>
      </c>
      <c r="I105" s="41">
        <v>277777.77777777781</v>
      </c>
      <c r="J105" s="41">
        <v>0</v>
      </c>
      <c r="K105" s="41">
        <v>0</v>
      </c>
      <c r="L105" s="41">
        <v>0</v>
      </c>
      <c r="M105" s="41">
        <v>0</v>
      </c>
      <c r="N105" s="41">
        <v>10195833.33333333</v>
      </c>
      <c r="O105" s="41">
        <v>79166.666666666672</v>
      </c>
      <c r="P105" s="41">
        <v>28833333.333333421</v>
      </c>
      <c r="Q105" s="41">
        <v>166666.66666666669</v>
      </c>
      <c r="R105" s="41">
        <v>2500000</v>
      </c>
      <c r="S105" s="41">
        <v>0</v>
      </c>
      <c r="T105" s="41">
        <v>0</v>
      </c>
      <c r="U105" s="41">
        <v>0</v>
      </c>
      <c r="V105" s="41">
        <v>95584722.222222164</v>
      </c>
      <c r="W105" s="41">
        <v>523611.11111111112</v>
      </c>
      <c r="X105" s="38">
        <f t="shared" si="6"/>
        <v>0.19116944444444434</v>
      </c>
      <c r="Y105" s="39">
        <f t="shared" si="7"/>
        <v>1.0472222222222222E-3</v>
      </c>
      <c r="Z105" s="39">
        <f t="shared" si="11"/>
        <v>5.5081526503418885E-3</v>
      </c>
      <c r="AA105" s="41">
        <f t="shared" si="8"/>
        <v>404415277.77777785</v>
      </c>
      <c r="AB105" s="39">
        <f t="shared" si="9"/>
        <v>1.2947362275438818E-3</v>
      </c>
      <c r="AC105" s="38">
        <f t="shared" si="10"/>
        <v>0.43195106219180018</v>
      </c>
      <c r="AD105" s="3"/>
    </row>
    <row r="106" spans="1:30" x14ac:dyDescent="0.25">
      <c r="A106" s="37">
        <v>45742</v>
      </c>
      <c r="B106" s="41">
        <v>1000000</v>
      </c>
      <c r="C106" s="41">
        <v>0</v>
      </c>
      <c r="D106" s="41">
        <v>2500000</v>
      </c>
      <c r="E106" s="41">
        <v>0</v>
      </c>
      <c r="F106" s="41">
        <v>2500000</v>
      </c>
      <c r="G106" s="41">
        <v>0</v>
      </c>
      <c r="H106" s="41">
        <v>48333333.333333187</v>
      </c>
      <c r="I106" s="41">
        <v>277777.77777777781</v>
      </c>
      <c r="J106" s="41">
        <v>0</v>
      </c>
      <c r="K106" s="41">
        <v>0</v>
      </c>
      <c r="L106" s="41">
        <v>0</v>
      </c>
      <c r="M106" s="41">
        <v>0</v>
      </c>
      <c r="N106" s="41">
        <v>10274999.999999991</v>
      </c>
      <c r="O106" s="41">
        <v>79166.666666666672</v>
      </c>
      <c r="P106" s="41">
        <v>29000000.000000089</v>
      </c>
      <c r="Q106" s="41">
        <v>166666.66666666669</v>
      </c>
      <c r="R106" s="41">
        <v>2500000</v>
      </c>
      <c r="S106" s="41">
        <v>0</v>
      </c>
      <c r="T106" s="41">
        <v>0</v>
      </c>
      <c r="U106" s="41">
        <v>0</v>
      </c>
      <c r="V106" s="41">
        <v>96108333.333333269</v>
      </c>
      <c r="W106" s="41">
        <v>523611.11111111112</v>
      </c>
      <c r="X106" s="38">
        <f t="shared" si="6"/>
        <v>0.19221666666666654</v>
      </c>
      <c r="Y106" s="39">
        <f t="shared" si="7"/>
        <v>1.0472222222222222E-3</v>
      </c>
      <c r="Z106" s="39">
        <f t="shared" si="11"/>
        <v>5.4779791052149817E-3</v>
      </c>
      <c r="AA106" s="41">
        <f t="shared" si="8"/>
        <v>403891666.66666675</v>
      </c>
      <c r="AB106" s="39">
        <f t="shared" si="9"/>
        <v>1.2964147426771477E-3</v>
      </c>
      <c r="AC106" s="38">
        <f t="shared" si="10"/>
        <v>0.43213709176704568</v>
      </c>
      <c r="AD106" s="3"/>
    </row>
    <row r="107" spans="1:30" x14ac:dyDescent="0.25">
      <c r="A107" s="37">
        <v>45743</v>
      </c>
      <c r="B107" s="41">
        <v>1000000</v>
      </c>
      <c r="C107" s="41">
        <v>0</v>
      </c>
      <c r="D107" s="41">
        <v>2500000</v>
      </c>
      <c r="E107" s="41">
        <v>0</v>
      </c>
      <c r="F107" s="41">
        <v>2500000</v>
      </c>
      <c r="G107" s="41">
        <v>0</v>
      </c>
      <c r="H107" s="41">
        <v>48611111.11111097</v>
      </c>
      <c r="I107" s="41">
        <v>277777.77777777781</v>
      </c>
      <c r="J107" s="41">
        <v>0</v>
      </c>
      <c r="K107" s="41">
        <v>0</v>
      </c>
      <c r="L107" s="41">
        <v>0</v>
      </c>
      <c r="M107" s="41">
        <v>0</v>
      </c>
      <c r="N107" s="41">
        <v>10354166.66666666</v>
      </c>
      <c r="O107" s="41">
        <v>79166.666666666672</v>
      </c>
      <c r="P107" s="41">
        <v>29166666.66666675</v>
      </c>
      <c r="Q107" s="41">
        <v>166666.66666666669</v>
      </c>
      <c r="R107" s="41">
        <v>2500000</v>
      </c>
      <c r="S107" s="41">
        <v>0</v>
      </c>
      <c r="T107" s="41">
        <v>0</v>
      </c>
      <c r="U107" s="41">
        <v>0</v>
      </c>
      <c r="V107" s="41">
        <v>96631944.444444388</v>
      </c>
      <c r="W107" s="41">
        <v>523611.11111111112</v>
      </c>
      <c r="X107" s="38">
        <f t="shared" si="6"/>
        <v>0.19326388888888876</v>
      </c>
      <c r="Y107" s="39">
        <f t="shared" si="7"/>
        <v>1.0472222222222222E-3</v>
      </c>
      <c r="Z107" s="39">
        <f t="shared" si="11"/>
        <v>5.4481343391427533E-3</v>
      </c>
      <c r="AA107" s="41">
        <f t="shared" si="8"/>
        <v>403368055.55555558</v>
      </c>
      <c r="AB107" s="39">
        <f t="shared" si="9"/>
        <v>1.2980976155633984E-3</v>
      </c>
      <c r="AC107" s="38">
        <f t="shared" si="10"/>
        <v>0.43232115285640971</v>
      </c>
      <c r="AD107" s="3"/>
    </row>
    <row r="108" spans="1:30" x14ac:dyDescent="0.25">
      <c r="A108" s="37">
        <v>45744</v>
      </c>
      <c r="B108" s="41">
        <v>1000000</v>
      </c>
      <c r="C108" s="41">
        <v>0</v>
      </c>
      <c r="D108" s="41">
        <v>2500000</v>
      </c>
      <c r="E108" s="41">
        <v>0</v>
      </c>
      <c r="F108" s="41">
        <v>2500000</v>
      </c>
      <c r="G108" s="41">
        <v>0</v>
      </c>
      <c r="H108" s="41">
        <v>48888888.888888747</v>
      </c>
      <c r="I108" s="41">
        <v>277777.77777777781</v>
      </c>
      <c r="J108" s="41">
        <v>0</v>
      </c>
      <c r="K108" s="41">
        <v>0</v>
      </c>
      <c r="L108" s="41">
        <v>0</v>
      </c>
      <c r="M108" s="41">
        <v>0</v>
      </c>
      <c r="N108" s="41">
        <v>10433333.33333333</v>
      </c>
      <c r="O108" s="41">
        <v>79166.666666666672</v>
      </c>
      <c r="P108" s="41">
        <v>29333333.333333421</v>
      </c>
      <c r="Q108" s="41">
        <v>166666.66666666669</v>
      </c>
      <c r="R108" s="41">
        <v>2500000</v>
      </c>
      <c r="S108" s="41">
        <v>0</v>
      </c>
      <c r="T108" s="41">
        <v>0</v>
      </c>
      <c r="U108" s="41">
        <v>0</v>
      </c>
      <c r="V108" s="41">
        <v>97155555.555555493</v>
      </c>
      <c r="W108" s="41">
        <v>523611.11111111112</v>
      </c>
      <c r="X108" s="38">
        <f t="shared" si="6"/>
        <v>0.19431111111111099</v>
      </c>
      <c r="Y108" s="39">
        <f t="shared" si="7"/>
        <v>1.0472222222222222E-3</v>
      </c>
      <c r="Z108" s="39">
        <f t="shared" si="11"/>
        <v>5.4186130075458173E-3</v>
      </c>
      <c r="AA108" s="41">
        <f t="shared" si="8"/>
        <v>402844444.44444454</v>
      </c>
      <c r="AB108" s="39">
        <f t="shared" si="9"/>
        <v>1.2997848631950571E-3</v>
      </c>
      <c r="AC108" s="38">
        <f t="shared" si="10"/>
        <v>0.432503276539976</v>
      </c>
      <c r="AD108" s="3"/>
    </row>
    <row r="109" spans="1:30" x14ac:dyDescent="0.25">
      <c r="A109" s="37">
        <v>45745</v>
      </c>
      <c r="B109" s="41">
        <v>1000000</v>
      </c>
      <c r="C109" s="41">
        <v>0</v>
      </c>
      <c r="D109" s="41">
        <v>2500000</v>
      </c>
      <c r="E109" s="41">
        <v>0</v>
      </c>
      <c r="F109" s="41">
        <v>2500000</v>
      </c>
      <c r="G109" s="41">
        <v>0</v>
      </c>
      <c r="H109" s="41">
        <v>49166666.666666523</v>
      </c>
      <c r="I109" s="41">
        <v>277777.77777777781</v>
      </c>
      <c r="J109" s="41">
        <v>0</v>
      </c>
      <c r="K109" s="41">
        <v>0</v>
      </c>
      <c r="L109" s="41">
        <v>0</v>
      </c>
      <c r="M109" s="41">
        <v>0</v>
      </c>
      <c r="N109" s="41">
        <v>10512499.999999991</v>
      </c>
      <c r="O109" s="41">
        <v>79166.666666666672</v>
      </c>
      <c r="P109" s="41">
        <v>29500000.000000089</v>
      </c>
      <c r="Q109" s="41">
        <v>166666.66666666669</v>
      </c>
      <c r="R109" s="41">
        <v>2500000</v>
      </c>
      <c r="S109" s="41">
        <v>0</v>
      </c>
      <c r="T109" s="41">
        <v>0</v>
      </c>
      <c r="U109" s="41">
        <v>0</v>
      </c>
      <c r="V109" s="41">
        <v>97679166.666666597</v>
      </c>
      <c r="W109" s="41">
        <v>523611.11111111112</v>
      </c>
      <c r="X109" s="38">
        <f t="shared" si="6"/>
        <v>0.19535833333333319</v>
      </c>
      <c r="Y109" s="39">
        <f t="shared" si="7"/>
        <v>1.0472222222222222E-3</v>
      </c>
      <c r="Z109" s="39">
        <f t="shared" si="11"/>
        <v>5.3894098810613024E-3</v>
      </c>
      <c r="AA109" s="41">
        <f t="shared" si="8"/>
        <v>402320833.33333337</v>
      </c>
      <c r="AB109" s="39">
        <f t="shared" si="9"/>
        <v>1.3014765026530097E-3</v>
      </c>
      <c r="AC109" s="38">
        <f t="shared" si="10"/>
        <v>0.43268349324696193</v>
      </c>
      <c r="AD109" s="3"/>
    </row>
    <row r="110" spans="1:30" x14ac:dyDescent="0.25">
      <c r="A110" s="37">
        <v>45746</v>
      </c>
      <c r="B110" s="41">
        <v>1000000</v>
      </c>
      <c r="C110" s="41">
        <v>0</v>
      </c>
      <c r="D110" s="41">
        <v>2500000</v>
      </c>
      <c r="E110" s="41">
        <v>0</v>
      </c>
      <c r="F110" s="41">
        <v>2500000</v>
      </c>
      <c r="G110" s="41">
        <v>0</v>
      </c>
      <c r="H110" s="41">
        <v>49444444.444444299</v>
      </c>
      <c r="I110" s="41">
        <v>277777.77777777781</v>
      </c>
      <c r="J110" s="41">
        <v>0</v>
      </c>
      <c r="K110" s="41">
        <v>0</v>
      </c>
      <c r="L110" s="41">
        <v>0</v>
      </c>
      <c r="M110" s="41">
        <v>0</v>
      </c>
      <c r="N110" s="41">
        <v>10591666.66666666</v>
      </c>
      <c r="O110" s="41">
        <v>79166.666666666672</v>
      </c>
      <c r="P110" s="41">
        <v>29666666.666666761</v>
      </c>
      <c r="Q110" s="41">
        <v>166666.66666666669</v>
      </c>
      <c r="R110" s="41">
        <v>2500000</v>
      </c>
      <c r="S110" s="41">
        <v>0</v>
      </c>
      <c r="T110" s="41">
        <v>0</v>
      </c>
      <c r="U110" s="41">
        <v>0</v>
      </c>
      <c r="V110" s="41">
        <v>98202777.777777717</v>
      </c>
      <c r="W110" s="41">
        <v>523611.11111111112</v>
      </c>
      <c r="X110" s="38">
        <f t="shared" si="6"/>
        <v>0.19640555555555544</v>
      </c>
      <c r="Y110" s="39">
        <f t="shared" si="7"/>
        <v>1.0472222222222222E-3</v>
      </c>
      <c r="Z110" s="39">
        <f t="shared" si="11"/>
        <v>5.360519842454752E-3</v>
      </c>
      <c r="AA110" s="41">
        <f t="shared" si="8"/>
        <v>401797222.22222227</v>
      </c>
      <c r="AB110" s="39">
        <f t="shared" si="9"/>
        <v>1.3031725511071781E-3</v>
      </c>
      <c r="AC110" s="38">
        <f t="shared" si="10"/>
        <v>0.43286183277266882</v>
      </c>
      <c r="AD110" s="3"/>
    </row>
    <row r="111" spans="1:30" x14ac:dyDescent="0.25">
      <c r="A111" s="37">
        <v>45747</v>
      </c>
      <c r="B111" s="41">
        <v>1000000</v>
      </c>
      <c r="C111" s="41">
        <v>0</v>
      </c>
      <c r="D111" s="41">
        <v>2500000</v>
      </c>
      <c r="E111" s="41">
        <v>0</v>
      </c>
      <c r="F111" s="41">
        <v>2500000</v>
      </c>
      <c r="G111" s="41">
        <v>0</v>
      </c>
      <c r="H111" s="41">
        <v>49722222.222222067</v>
      </c>
      <c r="I111" s="41">
        <v>277777.77777777781</v>
      </c>
      <c r="J111" s="41">
        <v>0</v>
      </c>
      <c r="K111" s="41">
        <v>0</v>
      </c>
      <c r="L111" s="41">
        <v>0</v>
      </c>
      <c r="M111" s="41">
        <v>0</v>
      </c>
      <c r="N111" s="41">
        <v>10670833.333333321</v>
      </c>
      <c r="O111" s="41">
        <v>79166.666666666672</v>
      </c>
      <c r="P111" s="41">
        <v>29833333.333333429</v>
      </c>
      <c r="Q111" s="41">
        <v>166666.66666666669</v>
      </c>
      <c r="R111" s="41">
        <v>2500000</v>
      </c>
      <c r="S111" s="41">
        <v>0</v>
      </c>
      <c r="T111" s="41">
        <v>0</v>
      </c>
      <c r="U111" s="41">
        <v>0</v>
      </c>
      <c r="V111" s="41">
        <v>98726388.888888836</v>
      </c>
      <c r="W111" s="41">
        <v>523611.11111111112</v>
      </c>
      <c r="X111" s="38">
        <f t="shared" si="6"/>
        <v>0.19745277777777767</v>
      </c>
      <c r="Y111" s="39">
        <f t="shared" si="7"/>
        <v>1.0472222222222222E-3</v>
      </c>
      <c r="Z111" s="39">
        <f t="shared" si="11"/>
        <v>5.3319378836308128E-3</v>
      </c>
      <c r="AA111" s="41">
        <f t="shared" si="8"/>
        <v>401273611.11111116</v>
      </c>
      <c r="AB111" s="39">
        <f t="shared" si="9"/>
        <v>1.304873025817103E-3</v>
      </c>
      <c r="AC111" s="38">
        <f t="shared" si="10"/>
        <v>0.43303832429490385</v>
      </c>
      <c r="AD111" s="3"/>
    </row>
    <row r="112" spans="1:30" x14ac:dyDescent="0.25">
      <c r="A112" s="37">
        <v>45748</v>
      </c>
      <c r="B112" s="41">
        <v>1000000</v>
      </c>
      <c r="C112" s="41">
        <v>0</v>
      </c>
      <c r="D112" s="41">
        <v>2500000</v>
      </c>
      <c r="E112" s="41">
        <v>0</v>
      </c>
      <c r="F112" s="41">
        <v>2500000</v>
      </c>
      <c r="G112" s="41">
        <v>0</v>
      </c>
      <c r="H112" s="41">
        <v>49999999.999999851</v>
      </c>
      <c r="I112" s="41">
        <v>277777.77777777781</v>
      </c>
      <c r="J112" s="41">
        <v>0</v>
      </c>
      <c r="K112" s="41">
        <v>0</v>
      </c>
      <c r="L112" s="41">
        <v>0</v>
      </c>
      <c r="M112" s="41">
        <v>0</v>
      </c>
      <c r="N112" s="41">
        <v>10749999.999999991</v>
      </c>
      <c r="O112" s="41">
        <v>79166.666666666672</v>
      </c>
      <c r="P112" s="41">
        <v>30000000.000000089</v>
      </c>
      <c r="Q112" s="41">
        <v>166666.66666666669</v>
      </c>
      <c r="R112" s="41">
        <v>2500000</v>
      </c>
      <c r="S112" s="41">
        <v>0</v>
      </c>
      <c r="T112" s="41">
        <v>0</v>
      </c>
      <c r="U112" s="41">
        <v>0</v>
      </c>
      <c r="V112" s="41">
        <v>99249999.99999994</v>
      </c>
      <c r="W112" s="41">
        <v>523611.11111111112</v>
      </c>
      <c r="X112" s="38">
        <f t="shared" si="6"/>
        <v>0.19849999999999987</v>
      </c>
      <c r="Y112" s="39">
        <f t="shared" si="7"/>
        <v>1.0472222222222222E-3</v>
      </c>
      <c r="Z112" s="39">
        <f t="shared" si="11"/>
        <v>5.3036591027390547E-3</v>
      </c>
      <c r="AA112" s="41">
        <f t="shared" si="8"/>
        <v>400750000.00000006</v>
      </c>
      <c r="AB112" s="39">
        <f t="shared" si="9"/>
        <v>1.3065779441325291E-3</v>
      </c>
      <c r="AC112" s="38">
        <f t="shared" si="10"/>
        <v>0.43321299638989391</v>
      </c>
      <c r="AD112" s="3"/>
    </row>
    <row r="113" spans="1:30" x14ac:dyDescent="0.25">
      <c r="A113" s="37">
        <v>45749</v>
      </c>
      <c r="B113" s="41">
        <v>1000000</v>
      </c>
      <c r="C113" s="41">
        <v>0</v>
      </c>
      <c r="D113" s="41">
        <v>2500000</v>
      </c>
      <c r="E113" s="41">
        <v>0</v>
      </c>
      <c r="F113" s="41">
        <v>2500000</v>
      </c>
      <c r="G113" s="41">
        <v>0</v>
      </c>
      <c r="H113" s="41">
        <v>50000000</v>
      </c>
      <c r="I113" s="41">
        <v>0</v>
      </c>
      <c r="J113" s="41">
        <v>0</v>
      </c>
      <c r="K113" s="41">
        <v>0</v>
      </c>
      <c r="L113" s="41">
        <v>0</v>
      </c>
      <c r="M113" s="41">
        <v>0</v>
      </c>
      <c r="N113" s="41">
        <v>10829166.66666666</v>
      </c>
      <c r="O113" s="41">
        <v>79166.666666666672</v>
      </c>
      <c r="P113" s="41">
        <v>30166666.666666761</v>
      </c>
      <c r="Q113" s="41">
        <v>166666.66666666669</v>
      </c>
      <c r="R113" s="41">
        <v>2500000</v>
      </c>
      <c r="S113" s="41">
        <v>0</v>
      </c>
      <c r="T113" s="41">
        <v>0</v>
      </c>
      <c r="U113" s="41">
        <v>0</v>
      </c>
      <c r="V113" s="41">
        <v>99495833.333333418</v>
      </c>
      <c r="W113" s="41">
        <v>245833.33333333331</v>
      </c>
      <c r="X113" s="38">
        <f t="shared" si="6"/>
        <v>0.19899166666666684</v>
      </c>
      <c r="Y113" s="39">
        <f t="shared" si="7"/>
        <v>4.9166666666666662E-4</v>
      </c>
      <c r="Z113" s="39">
        <f t="shared" si="11"/>
        <v>2.4769101595298083E-3</v>
      </c>
      <c r="AA113" s="41">
        <f t="shared" si="8"/>
        <v>400504166.66666657</v>
      </c>
      <c r="AB113" s="39">
        <f t="shared" si="9"/>
        <v>6.1380967738579512E-4</v>
      </c>
      <c r="AC113" s="38">
        <f t="shared" si="10"/>
        <v>0.43512230302301963</v>
      </c>
      <c r="AD113" s="3"/>
    </row>
    <row r="114" spans="1:30" x14ac:dyDescent="0.25">
      <c r="A114" s="37">
        <v>45750</v>
      </c>
      <c r="B114" s="41">
        <v>1000000</v>
      </c>
      <c r="C114" s="41">
        <v>0</v>
      </c>
      <c r="D114" s="41">
        <v>2500000</v>
      </c>
      <c r="E114" s="41">
        <v>0</v>
      </c>
      <c r="F114" s="41">
        <v>2500000</v>
      </c>
      <c r="G114" s="41">
        <v>0</v>
      </c>
      <c r="H114" s="41">
        <v>50000000</v>
      </c>
      <c r="I114" s="41">
        <v>0</v>
      </c>
      <c r="J114" s="41">
        <v>0</v>
      </c>
      <c r="K114" s="41">
        <v>0</v>
      </c>
      <c r="L114" s="41">
        <v>0</v>
      </c>
      <c r="M114" s="41">
        <v>0</v>
      </c>
      <c r="N114" s="41">
        <v>10908333.333333321</v>
      </c>
      <c r="O114" s="41">
        <v>79166.666666666672</v>
      </c>
      <c r="P114" s="41">
        <v>30333333.333333429</v>
      </c>
      <c r="Q114" s="41">
        <v>166666.66666666669</v>
      </c>
      <c r="R114" s="41">
        <v>2500000</v>
      </c>
      <c r="S114" s="41">
        <v>0</v>
      </c>
      <c r="T114" s="41">
        <v>0</v>
      </c>
      <c r="U114" s="41">
        <v>0</v>
      </c>
      <c r="V114" s="41">
        <v>99741666.666666746</v>
      </c>
      <c r="W114" s="41">
        <v>245833.33333333331</v>
      </c>
      <c r="X114" s="38">
        <f t="shared" si="6"/>
        <v>0.19948333333333348</v>
      </c>
      <c r="Y114" s="39">
        <f t="shared" si="7"/>
        <v>4.9166666666666662E-4</v>
      </c>
      <c r="Z114" s="39">
        <f t="shared" si="11"/>
        <v>2.4707902340969029E-3</v>
      </c>
      <c r="AA114" s="41">
        <f t="shared" si="8"/>
        <v>400258333.33333325</v>
      </c>
      <c r="AB114" s="39">
        <f t="shared" si="9"/>
        <v>6.1418667110824262E-4</v>
      </c>
      <c r="AC114" s="38">
        <f t="shared" si="10"/>
        <v>0.43702725417217103</v>
      </c>
      <c r="AD114" s="3"/>
    </row>
    <row r="115" spans="1:30" x14ac:dyDescent="0.25">
      <c r="A115" s="37">
        <v>45751</v>
      </c>
      <c r="B115" s="41">
        <v>1000000</v>
      </c>
      <c r="C115" s="41">
        <v>0</v>
      </c>
      <c r="D115" s="41">
        <v>2500000</v>
      </c>
      <c r="E115" s="41">
        <v>0</v>
      </c>
      <c r="F115" s="41">
        <v>2500000</v>
      </c>
      <c r="G115" s="41">
        <v>0</v>
      </c>
      <c r="H115" s="41">
        <v>50000000</v>
      </c>
      <c r="I115" s="41">
        <v>0</v>
      </c>
      <c r="J115" s="41">
        <v>0</v>
      </c>
      <c r="K115" s="41">
        <v>0</v>
      </c>
      <c r="L115" s="41">
        <v>0</v>
      </c>
      <c r="M115" s="41">
        <v>0</v>
      </c>
      <c r="N115" s="41">
        <v>10987499.999999991</v>
      </c>
      <c r="O115" s="41">
        <v>79166.666666666672</v>
      </c>
      <c r="P115" s="41">
        <v>30500000.000000101</v>
      </c>
      <c r="Q115" s="41">
        <v>166666.66666666669</v>
      </c>
      <c r="R115" s="41">
        <v>2500000</v>
      </c>
      <c r="S115" s="41">
        <v>0</v>
      </c>
      <c r="T115" s="41">
        <v>0</v>
      </c>
      <c r="U115" s="41">
        <v>0</v>
      </c>
      <c r="V115" s="41">
        <v>99987500.000000089</v>
      </c>
      <c r="W115" s="41">
        <v>245833.33333333331</v>
      </c>
      <c r="X115" s="38">
        <f t="shared" si="6"/>
        <v>0.19997500000000018</v>
      </c>
      <c r="Y115" s="39">
        <f t="shared" si="7"/>
        <v>4.9166666666666662E-4</v>
      </c>
      <c r="Z115" s="39">
        <f t="shared" si="11"/>
        <v>2.4647004762302594E-3</v>
      </c>
      <c r="AA115" s="41">
        <f t="shared" si="8"/>
        <v>400012499.99999988</v>
      </c>
      <c r="AB115" s="39">
        <f t="shared" si="9"/>
        <v>6.145641282043271E-4</v>
      </c>
      <c r="AC115" s="38">
        <f t="shared" si="10"/>
        <v>0.43892786472387274</v>
      </c>
      <c r="AD115" s="3"/>
    </row>
    <row r="116" spans="1:30" x14ac:dyDescent="0.25">
      <c r="A116" s="37">
        <v>45752</v>
      </c>
      <c r="B116" s="41">
        <v>1000000</v>
      </c>
      <c r="C116" s="41">
        <v>0</v>
      </c>
      <c r="D116" s="41">
        <v>2500000</v>
      </c>
      <c r="E116" s="41">
        <v>0</v>
      </c>
      <c r="F116" s="41">
        <v>2500000</v>
      </c>
      <c r="G116" s="41">
        <v>0</v>
      </c>
      <c r="H116" s="41">
        <v>50000000</v>
      </c>
      <c r="I116" s="41">
        <v>0</v>
      </c>
      <c r="J116" s="41">
        <v>0</v>
      </c>
      <c r="K116" s="41">
        <v>0</v>
      </c>
      <c r="L116" s="41">
        <v>0</v>
      </c>
      <c r="M116" s="41">
        <v>0</v>
      </c>
      <c r="N116" s="41">
        <v>11066666.666666649</v>
      </c>
      <c r="O116" s="41">
        <v>79166.666666666672</v>
      </c>
      <c r="P116" s="41">
        <v>30666666.666666761</v>
      </c>
      <c r="Q116" s="41">
        <v>166666.66666666669</v>
      </c>
      <c r="R116" s="41">
        <v>2500000</v>
      </c>
      <c r="S116" s="41">
        <v>0</v>
      </c>
      <c r="T116" s="41">
        <v>0</v>
      </c>
      <c r="U116" s="41">
        <v>0</v>
      </c>
      <c r="V116" s="41">
        <v>100233333.3333334</v>
      </c>
      <c r="W116" s="41">
        <v>245833.33333333331</v>
      </c>
      <c r="X116" s="38">
        <f t="shared" si="6"/>
        <v>0.20046666666666679</v>
      </c>
      <c r="Y116" s="39">
        <f t="shared" si="7"/>
        <v>4.9166666666666662E-4</v>
      </c>
      <c r="Z116" s="39">
        <f t="shared" si="11"/>
        <v>2.4586406634162579E-3</v>
      </c>
      <c r="AA116" s="41">
        <f t="shared" si="8"/>
        <v>399766666.66666663</v>
      </c>
      <c r="AB116" s="39">
        <f t="shared" si="9"/>
        <v>6.1494204952889189E-4</v>
      </c>
      <c r="AC116" s="38">
        <f t="shared" si="10"/>
        <v>0.44082414949688697</v>
      </c>
      <c r="AD116" s="3"/>
    </row>
    <row r="117" spans="1:30" x14ac:dyDescent="0.25">
      <c r="A117" s="37">
        <v>45753</v>
      </c>
      <c r="B117" s="41">
        <v>1000000</v>
      </c>
      <c r="C117" s="41">
        <v>0</v>
      </c>
      <c r="D117" s="41">
        <v>2500000</v>
      </c>
      <c r="E117" s="41">
        <v>0</v>
      </c>
      <c r="F117" s="41">
        <v>2500000</v>
      </c>
      <c r="G117" s="41">
        <v>0</v>
      </c>
      <c r="H117" s="41">
        <v>50000000</v>
      </c>
      <c r="I117" s="41">
        <v>0</v>
      </c>
      <c r="J117" s="41">
        <v>0</v>
      </c>
      <c r="K117" s="41">
        <v>0</v>
      </c>
      <c r="L117" s="41">
        <v>0</v>
      </c>
      <c r="M117" s="41">
        <v>0</v>
      </c>
      <c r="N117" s="41">
        <v>11145833.333333321</v>
      </c>
      <c r="O117" s="41">
        <v>79166.666666666672</v>
      </c>
      <c r="P117" s="41">
        <v>30833333.333333429</v>
      </c>
      <c r="Q117" s="41">
        <v>166666.66666666669</v>
      </c>
      <c r="R117" s="41">
        <v>2500000</v>
      </c>
      <c r="S117" s="41">
        <v>0</v>
      </c>
      <c r="T117" s="41">
        <v>0</v>
      </c>
      <c r="U117" s="41">
        <v>0</v>
      </c>
      <c r="V117" s="41">
        <v>100479166.6666667</v>
      </c>
      <c r="W117" s="41">
        <v>245833.33333333331</v>
      </c>
      <c r="X117" s="38">
        <f t="shared" si="6"/>
        <v>0.20095833333333341</v>
      </c>
      <c r="Y117" s="39">
        <f t="shared" si="7"/>
        <v>4.9166666666666662E-4</v>
      </c>
      <c r="Z117" s="39">
        <f t="shared" si="11"/>
        <v>2.4526105753242414E-3</v>
      </c>
      <c r="AA117" s="41">
        <f t="shared" si="8"/>
        <v>399520833.33333331</v>
      </c>
      <c r="AB117" s="39">
        <f t="shared" si="9"/>
        <v>6.1532043593888507E-4</v>
      </c>
      <c r="AC117" s="38">
        <f t="shared" si="10"/>
        <v>0.44271612324259824</v>
      </c>
      <c r="AD117" s="3"/>
    </row>
    <row r="118" spans="1:30" x14ac:dyDescent="0.25">
      <c r="A118" s="37">
        <v>45754</v>
      </c>
      <c r="B118" s="41">
        <v>1000000</v>
      </c>
      <c r="C118" s="41">
        <v>0</v>
      </c>
      <c r="D118" s="41">
        <v>2500000</v>
      </c>
      <c r="E118" s="41">
        <v>0</v>
      </c>
      <c r="F118" s="41">
        <v>2500000</v>
      </c>
      <c r="G118" s="41">
        <v>0</v>
      </c>
      <c r="H118" s="41">
        <v>50000000</v>
      </c>
      <c r="I118" s="41">
        <v>0</v>
      </c>
      <c r="J118" s="41">
        <v>0</v>
      </c>
      <c r="K118" s="41">
        <v>0</v>
      </c>
      <c r="L118" s="41">
        <v>0</v>
      </c>
      <c r="M118" s="41">
        <v>0</v>
      </c>
      <c r="N118" s="41">
        <v>11224999.999999991</v>
      </c>
      <c r="O118" s="41">
        <v>79166.666666666672</v>
      </c>
      <c r="P118" s="41">
        <v>31000000.000000101</v>
      </c>
      <c r="Q118" s="41">
        <v>166666.66666666669</v>
      </c>
      <c r="R118" s="41">
        <v>2500000</v>
      </c>
      <c r="S118" s="41">
        <v>0</v>
      </c>
      <c r="T118" s="41">
        <v>0</v>
      </c>
      <c r="U118" s="41">
        <v>0</v>
      </c>
      <c r="V118" s="41">
        <v>100725000.0000001</v>
      </c>
      <c r="W118" s="41">
        <v>245833.33333333331</v>
      </c>
      <c r="X118" s="38">
        <f t="shared" si="6"/>
        <v>0.20145000000000021</v>
      </c>
      <c r="Y118" s="39">
        <f t="shared" si="7"/>
        <v>4.9166666666666662E-4</v>
      </c>
      <c r="Z118" s="39">
        <f t="shared" si="11"/>
        <v>2.4466099937798039E-3</v>
      </c>
      <c r="AA118" s="41">
        <f t="shared" si="8"/>
        <v>399274999.99999988</v>
      </c>
      <c r="AB118" s="39">
        <f t="shared" si="9"/>
        <v>6.1569928829336524E-4</v>
      </c>
      <c r="AC118" s="38">
        <f t="shared" si="10"/>
        <v>0.44460380064539406</v>
      </c>
      <c r="AD118" s="3"/>
    </row>
    <row r="119" spans="1:30" x14ac:dyDescent="0.25">
      <c r="A119" s="37">
        <v>45755</v>
      </c>
      <c r="B119" s="41">
        <v>1000000</v>
      </c>
      <c r="C119" s="41">
        <v>0</v>
      </c>
      <c r="D119" s="41">
        <v>2500000</v>
      </c>
      <c r="E119" s="41">
        <v>0</v>
      </c>
      <c r="F119" s="41">
        <v>2500000</v>
      </c>
      <c r="G119" s="41">
        <v>0</v>
      </c>
      <c r="H119" s="41">
        <v>50000000</v>
      </c>
      <c r="I119" s="41">
        <v>0</v>
      </c>
      <c r="J119" s="41">
        <v>0</v>
      </c>
      <c r="K119" s="41">
        <v>0</v>
      </c>
      <c r="L119" s="41">
        <v>0</v>
      </c>
      <c r="M119" s="41">
        <v>0</v>
      </c>
      <c r="N119" s="41">
        <v>11304166.666666649</v>
      </c>
      <c r="O119" s="41">
        <v>79166.666666666672</v>
      </c>
      <c r="P119" s="41">
        <v>31166666.666666768</v>
      </c>
      <c r="Q119" s="41">
        <v>166666.66666666669</v>
      </c>
      <c r="R119" s="41">
        <v>2500000</v>
      </c>
      <c r="S119" s="41">
        <v>0</v>
      </c>
      <c r="T119" s="41">
        <v>0</v>
      </c>
      <c r="U119" s="41">
        <v>0</v>
      </c>
      <c r="V119" s="41">
        <v>100970833.3333334</v>
      </c>
      <c r="W119" s="41">
        <v>245833.33333333331</v>
      </c>
      <c r="X119" s="38">
        <f t="shared" si="6"/>
        <v>0.2019416666666668</v>
      </c>
      <c r="Y119" s="39">
        <f t="shared" si="7"/>
        <v>4.9166666666666662E-4</v>
      </c>
      <c r="Z119" s="39">
        <f t="shared" si="11"/>
        <v>2.4406387027384765E-3</v>
      </c>
      <c r="AA119" s="41">
        <f t="shared" si="8"/>
        <v>399029166.66666663</v>
      </c>
      <c r="AB119" s="39">
        <f t="shared" si="9"/>
        <v>6.1607860745350692E-4</v>
      </c>
      <c r="AC119" s="38">
        <f t="shared" si="10"/>
        <v>0.44648719632304834</v>
      </c>
      <c r="AD119" s="3"/>
    </row>
    <row r="120" spans="1:30" x14ac:dyDescent="0.25">
      <c r="A120" s="37">
        <v>45756</v>
      </c>
      <c r="B120" s="41">
        <v>1000000</v>
      </c>
      <c r="C120" s="41">
        <v>0</v>
      </c>
      <c r="D120" s="41">
        <v>2500000</v>
      </c>
      <c r="E120" s="41">
        <v>0</v>
      </c>
      <c r="F120" s="41">
        <v>2500000</v>
      </c>
      <c r="G120" s="41">
        <v>0</v>
      </c>
      <c r="H120" s="41">
        <v>50000000</v>
      </c>
      <c r="I120" s="41">
        <v>0</v>
      </c>
      <c r="J120" s="41">
        <v>0</v>
      </c>
      <c r="K120" s="41">
        <v>0</v>
      </c>
      <c r="L120" s="41">
        <v>0</v>
      </c>
      <c r="M120" s="41">
        <v>0</v>
      </c>
      <c r="N120" s="41">
        <v>11383333.333333321</v>
      </c>
      <c r="O120" s="41">
        <v>79166.666666666672</v>
      </c>
      <c r="P120" s="41">
        <v>31333333.33333344</v>
      </c>
      <c r="Q120" s="41">
        <v>166666.66666666669</v>
      </c>
      <c r="R120" s="41">
        <v>2500000</v>
      </c>
      <c r="S120" s="41">
        <v>0</v>
      </c>
      <c r="T120" s="41">
        <v>0</v>
      </c>
      <c r="U120" s="41">
        <v>0</v>
      </c>
      <c r="V120" s="41">
        <v>101216666.6666667</v>
      </c>
      <c r="W120" s="41">
        <v>245833.33333333331</v>
      </c>
      <c r="X120" s="38">
        <f t="shared" si="6"/>
        <v>0.20243333333333341</v>
      </c>
      <c r="Y120" s="39">
        <f t="shared" si="7"/>
        <v>4.9166666666666662E-4</v>
      </c>
      <c r="Z120" s="39">
        <f t="shared" si="11"/>
        <v>2.434696488259809E-3</v>
      </c>
      <c r="AA120" s="41">
        <f t="shared" si="8"/>
        <v>398783333.33333331</v>
      </c>
      <c r="AB120" s="39">
        <f t="shared" si="9"/>
        <v>6.1645839428260956E-4</v>
      </c>
      <c r="AC120" s="38">
        <f t="shared" si="10"/>
        <v>0.44836632482709482</v>
      </c>
      <c r="AD120" s="3"/>
    </row>
    <row r="121" spans="1:30" x14ac:dyDescent="0.25">
      <c r="A121" s="37">
        <v>45757</v>
      </c>
      <c r="B121" s="41">
        <v>1000000</v>
      </c>
      <c r="C121" s="41">
        <v>0</v>
      </c>
      <c r="D121" s="41">
        <v>2500000</v>
      </c>
      <c r="E121" s="41">
        <v>0</v>
      </c>
      <c r="F121" s="41">
        <v>2500000</v>
      </c>
      <c r="G121" s="41">
        <v>0</v>
      </c>
      <c r="H121" s="41">
        <v>50000000</v>
      </c>
      <c r="I121" s="41">
        <v>0</v>
      </c>
      <c r="J121" s="41">
        <v>0</v>
      </c>
      <c r="K121" s="41">
        <v>0</v>
      </c>
      <c r="L121" s="41">
        <v>0</v>
      </c>
      <c r="M121" s="41">
        <v>0</v>
      </c>
      <c r="N121" s="41">
        <v>11462499.999999991</v>
      </c>
      <c r="O121" s="41">
        <v>79166.666666666672</v>
      </c>
      <c r="P121" s="41">
        <v>31500000.000000101</v>
      </c>
      <c r="Q121" s="41">
        <v>166666.66666666669</v>
      </c>
      <c r="R121" s="41">
        <v>2500000</v>
      </c>
      <c r="S121" s="41">
        <v>0</v>
      </c>
      <c r="T121" s="41">
        <v>0</v>
      </c>
      <c r="U121" s="41">
        <v>0</v>
      </c>
      <c r="V121" s="41">
        <v>101462500.0000001</v>
      </c>
      <c r="W121" s="41">
        <v>245833.33333333331</v>
      </c>
      <c r="X121" s="38">
        <f t="shared" si="6"/>
        <v>0.20292500000000022</v>
      </c>
      <c r="Y121" s="39">
        <f t="shared" si="7"/>
        <v>4.9166666666666662E-4</v>
      </c>
      <c r="Z121" s="39">
        <f t="shared" si="11"/>
        <v>2.4287831384818036E-3</v>
      </c>
      <c r="AA121" s="41">
        <f t="shared" si="8"/>
        <v>398537499.99999988</v>
      </c>
      <c r="AB121" s="39">
        <f t="shared" si="9"/>
        <v>6.1683864964610208E-4</v>
      </c>
      <c r="AC121" s="38">
        <f t="shared" si="10"/>
        <v>0.45024120064320317</v>
      </c>
      <c r="AD121" s="3"/>
    </row>
    <row r="122" spans="1:30" x14ac:dyDescent="0.25">
      <c r="A122" s="37">
        <v>45758</v>
      </c>
      <c r="B122" s="41">
        <v>1000000</v>
      </c>
      <c r="C122" s="41">
        <v>0</v>
      </c>
      <c r="D122" s="41">
        <v>2500000</v>
      </c>
      <c r="E122" s="41">
        <v>0</v>
      </c>
      <c r="F122" s="41">
        <v>2500000</v>
      </c>
      <c r="G122" s="41">
        <v>0</v>
      </c>
      <c r="H122" s="41">
        <v>50000000</v>
      </c>
      <c r="I122" s="41">
        <v>0</v>
      </c>
      <c r="J122" s="41">
        <v>0</v>
      </c>
      <c r="K122" s="41">
        <v>0</v>
      </c>
      <c r="L122" s="41">
        <v>0</v>
      </c>
      <c r="M122" s="41">
        <v>0</v>
      </c>
      <c r="N122" s="41">
        <v>11541666.666666649</v>
      </c>
      <c r="O122" s="41">
        <v>79166.666666666672</v>
      </c>
      <c r="P122" s="41">
        <v>31666666.666666768</v>
      </c>
      <c r="Q122" s="41">
        <v>166666.66666666669</v>
      </c>
      <c r="R122" s="41">
        <v>2500000</v>
      </c>
      <c r="S122" s="41">
        <v>0</v>
      </c>
      <c r="T122" s="41">
        <v>0</v>
      </c>
      <c r="U122" s="41">
        <v>0</v>
      </c>
      <c r="V122" s="41">
        <v>101708333.3333334</v>
      </c>
      <c r="W122" s="41">
        <v>245833.33333333331</v>
      </c>
      <c r="X122" s="38">
        <f t="shared" si="6"/>
        <v>0.2034166666666668</v>
      </c>
      <c r="Y122" s="39">
        <f t="shared" si="7"/>
        <v>4.9166666666666662E-4</v>
      </c>
      <c r="Z122" s="39">
        <f t="shared" si="11"/>
        <v>2.4228984435957428E-3</v>
      </c>
      <c r="AA122" s="41">
        <f t="shared" si="8"/>
        <v>398291666.66666663</v>
      </c>
      <c r="AB122" s="39">
        <f t="shared" si="9"/>
        <v>6.172193744115493E-4</v>
      </c>
      <c r="AC122" s="38">
        <f t="shared" si="10"/>
        <v>0.45211183819155437</v>
      </c>
      <c r="AD122" s="3"/>
    </row>
    <row r="123" spans="1:30" x14ac:dyDescent="0.25">
      <c r="A123" s="37">
        <v>45759</v>
      </c>
      <c r="B123" s="41">
        <v>1000000</v>
      </c>
      <c r="C123" s="41">
        <v>0</v>
      </c>
      <c r="D123" s="41">
        <v>2500000</v>
      </c>
      <c r="E123" s="41">
        <v>0</v>
      </c>
      <c r="F123" s="41">
        <v>2500000</v>
      </c>
      <c r="G123" s="41">
        <v>0</v>
      </c>
      <c r="H123" s="41">
        <v>50000000</v>
      </c>
      <c r="I123" s="41">
        <v>0</v>
      </c>
      <c r="J123" s="41">
        <v>0</v>
      </c>
      <c r="K123" s="41">
        <v>0</v>
      </c>
      <c r="L123" s="41">
        <v>0</v>
      </c>
      <c r="M123" s="41">
        <v>0</v>
      </c>
      <c r="N123" s="41">
        <v>11620833.333333321</v>
      </c>
      <c r="O123" s="41">
        <v>79166.666666666672</v>
      </c>
      <c r="P123" s="41">
        <v>31833333.33333344</v>
      </c>
      <c r="Q123" s="41">
        <v>166666.66666666669</v>
      </c>
      <c r="R123" s="41">
        <v>2500000</v>
      </c>
      <c r="S123" s="41">
        <v>0</v>
      </c>
      <c r="T123" s="41">
        <v>0</v>
      </c>
      <c r="U123" s="41">
        <v>0</v>
      </c>
      <c r="V123" s="41">
        <v>101954166.6666667</v>
      </c>
      <c r="W123" s="41">
        <v>245833.33333333331</v>
      </c>
      <c r="X123" s="38">
        <f t="shared" si="6"/>
        <v>0.20390833333333341</v>
      </c>
      <c r="Y123" s="39">
        <f t="shared" si="7"/>
        <v>4.9166666666666662E-4</v>
      </c>
      <c r="Z123" s="39">
        <f t="shared" si="11"/>
        <v>2.4170421958213829E-3</v>
      </c>
      <c r="AA123" s="41">
        <f t="shared" si="8"/>
        <v>398045833.33333331</v>
      </c>
      <c r="AB123" s="39">
        <f t="shared" si="9"/>
        <v>6.1760056944866058E-4</v>
      </c>
      <c r="AC123" s="38">
        <f t="shared" si="10"/>
        <v>0.45397825182720508</v>
      </c>
      <c r="AD123" s="3"/>
    </row>
    <row r="124" spans="1:30" x14ac:dyDescent="0.25">
      <c r="A124" s="37">
        <v>45760</v>
      </c>
      <c r="B124" s="41">
        <v>1000000</v>
      </c>
      <c r="C124" s="41">
        <v>0</v>
      </c>
      <c r="D124" s="41">
        <v>2500000</v>
      </c>
      <c r="E124" s="41">
        <v>0</v>
      </c>
      <c r="F124" s="41">
        <v>2500000</v>
      </c>
      <c r="G124" s="41">
        <v>0</v>
      </c>
      <c r="H124" s="41">
        <v>50000000</v>
      </c>
      <c r="I124" s="41">
        <v>0</v>
      </c>
      <c r="J124" s="41">
        <v>0</v>
      </c>
      <c r="K124" s="41">
        <v>0</v>
      </c>
      <c r="L124" s="41">
        <v>0</v>
      </c>
      <c r="M124" s="41">
        <v>0</v>
      </c>
      <c r="N124" s="41">
        <v>11699999.99999998</v>
      </c>
      <c r="O124" s="41">
        <v>79166.666666666672</v>
      </c>
      <c r="P124" s="41">
        <v>32000000.000000112</v>
      </c>
      <c r="Q124" s="41">
        <v>166666.66666666669</v>
      </c>
      <c r="R124" s="41">
        <v>2500000</v>
      </c>
      <c r="S124" s="41">
        <v>0</v>
      </c>
      <c r="T124" s="41">
        <v>0</v>
      </c>
      <c r="U124" s="41">
        <v>0</v>
      </c>
      <c r="V124" s="41">
        <v>102200000.0000001</v>
      </c>
      <c r="W124" s="41">
        <v>245833.33333333331</v>
      </c>
      <c r="X124" s="38">
        <f t="shared" si="6"/>
        <v>0.20440000000000022</v>
      </c>
      <c r="Y124" s="39">
        <f t="shared" si="7"/>
        <v>4.9166666666666662E-4</v>
      </c>
      <c r="Z124" s="39">
        <f t="shared" si="11"/>
        <v>2.4112141893824829E-3</v>
      </c>
      <c r="AA124" s="41">
        <f t="shared" si="8"/>
        <v>397799999.99999988</v>
      </c>
      <c r="AB124" s="39">
        <f t="shared" si="9"/>
        <v>6.1798223562929461E-4</v>
      </c>
      <c r="AC124" s="38">
        <f t="shared" si="10"/>
        <v>0.45584045584045746</v>
      </c>
      <c r="AD124" s="3"/>
    </row>
    <row r="125" spans="1:30" x14ac:dyDescent="0.25">
      <c r="A125" s="37">
        <v>45761</v>
      </c>
      <c r="B125" s="41">
        <v>1000000</v>
      </c>
      <c r="C125" s="41">
        <v>0</v>
      </c>
      <c r="D125" s="41">
        <v>2500000</v>
      </c>
      <c r="E125" s="41">
        <v>0</v>
      </c>
      <c r="F125" s="41">
        <v>2500000</v>
      </c>
      <c r="G125" s="41">
        <v>0</v>
      </c>
      <c r="H125" s="41">
        <v>50000000</v>
      </c>
      <c r="I125" s="41">
        <v>0</v>
      </c>
      <c r="J125" s="41">
        <v>0</v>
      </c>
      <c r="K125" s="41">
        <v>0</v>
      </c>
      <c r="L125" s="41">
        <v>0</v>
      </c>
      <c r="M125" s="41">
        <v>0</v>
      </c>
      <c r="N125" s="41">
        <v>11779166.666666649</v>
      </c>
      <c r="O125" s="41">
        <v>79166.666666666672</v>
      </c>
      <c r="P125" s="41">
        <v>32166666.66666678</v>
      </c>
      <c r="Q125" s="41">
        <v>166666.66666666669</v>
      </c>
      <c r="R125" s="41">
        <v>2500000</v>
      </c>
      <c r="S125" s="41">
        <v>0</v>
      </c>
      <c r="T125" s="41">
        <v>0</v>
      </c>
      <c r="U125" s="41">
        <v>0</v>
      </c>
      <c r="V125" s="41">
        <v>102445833.3333334</v>
      </c>
      <c r="W125" s="41">
        <v>245833.33333333331</v>
      </c>
      <c r="X125" s="38">
        <f t="shared" si="6"/>
        <v>0.20489166666666681</v>
      </c>
      <c r="Y125" s="39">
        <f t="shared" si="7"/>
        <v>4.9166666666666662E-4</v>
      </c>
      <c r="Z125" s="39">
        <f t="shared" si="11"/>
        <v>2.4054142204827109E-3</v>
      </c>
      <c r="AA125" s="41">
        <f t="shared" si="8"/>
        <v>397554166.66666663</v>
      </c>
      <c r="AB125" s="39">
        <f t="shared" si="9"/>
        <v>6.1836437382746588E-4</v>
      </c>
      <c r="AC125" s="38">
        <f t="shared" si="10"/>
        <v>0.45769846445722601</v>
      </c>
      <c r="AD125" s="3"/>
    </row>
    <row r="126" spans="1:30" x14ac:dyDescent="0.25">
      <c r="A126" s="37">
        <v>45762</v>
      </c>
      <c r="B126" s="41">
        <v>1000000</v>
      </c>
      <c r="C126" s="41">
        <v>0</v>
      </c>
      <c r="D126" s="41">
        <v>2500000</v>
      </c>
      <c r="E126" s="41">
        <v>0</v>
      </c>
      <c r="F126" s="41">
        <v>2500000</v>
      </c>
      <c r="G126" s="41">
        <v>0</v>
      </c>
      <c r="H126" s="41">
        <v>50000000</v>
      </c>
      <c r="I126" s="41">
        <v>0</v>
      </c>
      <c r="J126" s="41">
        <v>0</v>
      </c>
      <c r="K126" s="41">
        <v>0</v>
      </c>
      <c r="L126" s="41">
        <v>0</v>
      </c>
      <c r="M126" s="41">
        <v>0</v>
      </c>
      <c r="N126" s="41">
        <v>11858333.333333321</v>
      </c>
      <c r="O126" s="41">
        <v>79166.666666666672</v>
      </c>
      <c r="P126" s="41">
        <v>32333333.33333344</v>
      </c>
      <c r="Q126" s="41">
        <v>166666.66666666669</v>
      </c>
      <c r="R126" s="41">
        <v>2500000</v>
      </c>
      <c r="S126" s="41">
        <v>0</v>
      </c>
      <c r="T126" s="41">
        <v>0</v>
      </c>
      <c r="U126" s="41">
        <v>0</v>
      </c>
      <c r="V126" s="41">
        <v>102691666.66666681</v>
      </c>
      <c r="W126" s="41">
        <v>245833.33333333331</v>
      </c>
      <c r="X126" s="38">
        <f t="shared" si="6"/>
        <v>0.20538333333333361</v>
      </c>
      <c r="Y126" s="39">
        <f t="shared" si="7"/>
        <v>4.9166666666666662E-4</v>
      </c>
      <c r="Z126" s="39">
        <f t="shared" si="11"/>
        <v>2.3996420872818953E-3</v>
      </c>
      <c r="AA126" s="41">
        <f t="shared" si="8"/>
        <v>397308333.33333319</v>
      </c>
      <c r="AB126" s="39">
        <f t="shared" si="9"/>
        <v>6.1874698491935331E-4</v>
      </c>
      <c r="AC126" s="38">
        <f t="shared" si="10"/>
        <v>0.45955229183939483</v>
      </c>
      <c r="AD126" s="3"/>
    </row>
    <row r="127" spans="1:30" x14ac:dyDescent="0.25">
      <c r="A127" s="37">
        <v>45763</v>
      </c>
      <c r="B127" s="41">
        <v>1000000</v>
      </c>
      <c r="C127" s="41">
        <v>0</v>
      </c>
      <c r="D127" s="41">
        <v>2500000</v>
      </c>
      <c r="E127" s="41">
        <v>0</v>
      </c>
      <c r="F127" s="41">
        <v>2500000</v>
      </c>
      <c r="G127" s="41">
        <v>0</v>
      </c>
      <c r="H127" s="41">
        <v>50000000</v>
      </c>
      <c r="I127" s="41">
        <v>0</v>
      </c>
      <c r="J127" s="41">
        <v>0</v>
      </c>
      <c r="K127" s="41">
        <v>0</v>
      </c>
      <c r="L127" s="41">
        <v>0</v>
      </c>
      <c r="M127" s="41">
        <v>0</v>
      </c>
      <c r="N127" s="41">
        <v>11937499.99999998</v>
      </c>
      <c r="O127" s="41">
        <v>79166.666666666672</v>
      </c>
      <c r="P127" s="41">
        <v>32500000.000000112</v>
      </c>
      <c r="Q127" s="41">
        <v>166666.66666666669</v>
      </c>
      <c r="R127" s="41">
        <v>2500000</v>
      </c>
      <c r="S127" s="41">
        <v>0</v>
      </c>
      <c r="T127" s="41">
        <v>0</v>
      </c>
      <c r="U127" s="41">
        <v>0</v>
      </c>
      <c r="V127" s="41">
        <v>102937500.0000001</v>
      </c>
      <c r="W127" s="41">
        <v>245833.33333333331</v>
      </c>
      <c r="X127" s="38">
        <f t="shared" si="6"/>
        <v>0.2058750000000002</v>
      </c>
      <c r="Y127" s="39">
        <f t="shared" si="7"/>
        <v>4.9166666666666662E-4</v>
      </c>
      <c r="Z127" s="39">
        <f t="shared" si="11"/>
        <v>2.3938975898725925E-3</v>
      </c>
      <c r="AA127" s="41">
        <f t="shared" si="8"/>
        <v>397062499.99999988</v>
      </c>
      <c r="AB127" s="39">
        <f t="shared" si="9"/>
        <v>6.1913006978330464E-4</v>
      </c>
      <c r="AC127" s="38">
        <f t="shared" si="10"/>
        <v>0.46140195208518348</v>
      </c>
      <c r="AD127" s="3"/>
    </row>
    <row r="128" spans="1:30" x14ac:dyDescent="0.25">
      <c r="A128" s="37">
        <v>45764</v>
      </c>
      <c r="B128" s="41">
        <v>1000000</v>
      </c>
      <c r="C128" s="41">
        <v>0</v>
      </c>
      <c r="D128" s="41">
        <v>2500000</v>
      </c>
      <c r="E128" s="41">
        <v>0</v>
      </c>
      <c r="F128" s="41">
        <v>2500000</v>
      </c>
      <c r="G128" s="41">
        <v>0</v>
      </c>
      <c r="H128" s="41">
        <v>50000000</v>
      </c>
      <c r="I128" s="41">
        <v>0</v>
      </c>
      <c r="J128" s="41">
        <v>0</v>
      </c>
      <c r="K128" s="41">
        <v>0</v>
      </c>
      <c r="L128" s="41">
        <v>0</v>
      </c>
      <c r="M128" s="41">
        <v>0</v>
      </c>
      <c r="N128" s="41">
        <v>12016666.666666649</v>
      </c>
      <c r="O128" s="41">
        <v>79166.666666666672</v>
      </c>
      <c r="P128" s="41">
        <v>32666666.66666678</v>
      </c>
      <c r="Q128" s="41">
        <v>166666.66666666669</v>
      </c>
      <c r="R128" s="41">
        <v>2500000</v>
      </c>
      <c r="S128" s="41">
        <v>0</v>
      </c>
      <c r="T128" s="41">
        <v>0</v>
      </c>
      <c r="U128" s="41">
        <v>0</v>
      </c>
      <c r="V128" s="41">
        <v>103183333.3333334</v>
      </c>
      <c r="W128" s="41">
        <v>245833.33333333331</v>
      </c>
      <c r="X128" s="38">
        <f t="shared" si="6"/>
        <v>0.20636666666666681</v>
      </c>
      <c r="Y128" s="39">
        <f t="shared" si="7"/>
        <v>4.9166666666666662E-4</v>
      </c>
      <c r="Z128" s="39">
        <f t="shared" si="11"/>
        <v>2.3881805302570303E-3</v>
      </c>
      <c r="AA128" s="41">
        <f t="shared" si="8"/>
        <v>396816666.66666663</v>
      </c>
      <c r="AB128" s="39">
        <f t="shared" si="9"/>
        <v>6.1951362929984458E-4</v>
      </c>
      <c r="AC128" s="38">
        <f t="shared" si="10"/>
        <v>0.46324745922949845</v>
      </c>
      <c r="AD128" s="3"/>
    </row>
    <row r="129" spans="1:30" x14ac:dyDescent="0.25">
      <c r="A129" s="37">
        <v>45765</v>
      </c>
      <c r="B129" s="41">
        <v>1000000</v>
      </c>
      <c r="C129" s="41">
        <v>0</v>
      </c>
      <c r="D129" s="41">
        <v>2500000</v>
      </c>
      <c r="E129" s="41">
        <v>0</v>
      </c>
      <c r="F129" s="41">
        <v>2500000</v>
      </c>
      <c r="G129" s="41">
        <v>0</v>
      </c>
      <c r="H129" s="41">
        <v>50000000</v>
      </c>
      <c r="I129" s="41">
        <v>0</v>
      </c>
      <c r="J129" s="41">
        <v>0</v>
      </c>
      <c r="K129" s="41">
        <v>0</v>
      </c>
      <c r="L129" s="41">
        <v>0</v>
      </c>
      <c r="M129" s="41">
        <v>0</v>
      </c>
      <c r="N129" s="41">
        <v>12095833.33333331</v>
      </c>
      <c r="O129" s="41">
        <v>79166.666666666672</v>
      </c>
      <c r="P129" s="41">
        <v>32833333.333333451</v>
      </c>
      <c r="Q129" s="41">
        <v>166666.66666666669</v>
      </c>
      <c r="R129" s="41">
        <v>2500000</v>
      </c>
      <c r="S129" s="41">
        <v>0</v>
      </c>
      <c r="T129" s="41">
        <v>0</v>
      </c>
      <c r="U129" s="41">
        <v>0</v>
      </c>
      <c r="V129" s="41">
        <v>103429166.66666681</v>
      </c>
      <c r="W129" s="41">
        <v>245833.33333333331</v>
      </c>
      <c r="X129" s="38">
        <f t="shared" si="6"/>
        <v>0.20685833333333362</v>
      </c>
      <c r="Y129" s="39">
        <f t="shared" si="7"/>
        <v>4.9166666666666662E-4</v>
      </c>
      <c r="Z129" s="39">
        <f t="shared" si="11"/>
        <v>2.3824907123243398E-3</v>
      </c>
      <c r="AA129" s="41">
        <f t="shared" si="8"/>
        <v>396570833.33333319</v>
      </c>
      <c r="AB129" s="39">
        <f t="shared" si="9"/>
        <v>6.1989766435168174E-4</v>
      </c>
      <c r="AC129" s="38">
        <f t="shared" si="10"/>
        <v>0.46508882724429118</v>
      </c>
      <c r="AD129" s="3"/>
    </row>
    <row r="130" spans="1:30" x14ac:dyDescent="0.25">
      <c r="A130" s="37">
        <v>45766</v>
      </c>
      <c r="B130" s="41">
        <v>1000000</v>
      </c>
      <c r="C130" s="41">
        <v>0</v>
      </c>
      <c r="D130" s="41">
        <v>2500000</v>
      </c>
      <c r="E130" s="41">
        <v>0</v>
      </c>
      <c r="F130" s="41">
        <v>2500000</v>
      </c>
      <c r="G130" s="41">
        <v>0</v>
      </c>
      <c r="H130" s="41">
        <v>50000000</v>
      </c>
      <c r="I130" s="41">
        <v>0</v>
      </c>
      <c r="J130" s="41">
        <v>0</v>
      </c>
      <c r="K130" s="41">
        <v>0</v>
      </c>
      <c r="L130" s="41">
        <v>0</v>
      </c>
      <c r="M130" s="41">
        <v>0</v>
      </c>
      <c r="N130" s="41">
        <v>12174999.99999998</v>
      </c>
      <c r="O130" s="41">
        <v>79166.666666666672</v>
      </c>
      <c r="P130" s="41">
        <v>33000000.000000119</v>
      </c>
      <c r="Q130" s="41">
        <v>166666.66666666669</v>
      </c>
      <c r="R130" s="41">
        <v>2500000</v>
      </c>
      <c r="S130" s="41">
        <v>0</v>
      </c>
      <c r="T130" s="41">
        <v>0</v>
      </c>
      <c r="U130" s="41">
        <v>0</v>
      </c>
      <c r="V130" s="41">
        <v>103675000.0000001</v>
      </c>
      <c r="W130" s="41">
        <v>245833.33333333331</v>
      </c>
      <c r="X130" s="38">
        <f t="shared" si="6"/>
        <v>0.2073500000000002</v>
      </c>
      <c r="Y130" s="39">
        <f t="shared" si="7"/>
        <v>4.9166666666666662E-4</v>
      </c>
      <c r="Z130" s="39">
        <f t="shared" si="11"/>
        <v>2.37682794182814E-3</v>
      </c>
      <c r="AA130" s="41">
        <f t="shared" si="8"/>
        <v>396324999.99999988</v>
      </c>
      <c r="AB130" s="39">
        <f t="shared" si="9"/>
        <v>6.2028217582371387E-4</v>
      </c>
      <c r="AC130" s="38">
        <f t="shared" si="10"/>
        <v>0.46692607003891229</v>
      </c>
      <c r="AD130" s="3"/>
    </row>
    <row r="131" spans="1:30" x14ac:dyDescent="0.25">
      <c r="A131" s="37">
        <v>45767</v>
      </c>
      <c r="B131" s="41">
        <v>1000000</v>
      </c>
      <c r="C131" s="41">
        <v>0</v>
      </c>
      <c r="D131" s="41">
        <v>2500000</v>
      </c>
      <c r="E131" s="41">
        <v>0</v>
      </c>
      <c r="F131" s="41">
        <v>2500000</v>
      </c>
      <c r="G131" s="41">
        <v>0</v>
      </c>
      <c r="H131" s="41">
        <v>50000000</v>
      </c>
      <c r="I131" s="41">
        <v>0</v>
      </c>
      <c r="J131" s="41">
        <v>0</v>
      </c>
      <c r="K131" s="41">
        <v>0</v>
      </c>
      <c r="L131" s="41">
        <v>0</v>
      </c>
      <c r="M131" s="41">
        <v>0</v>
      </c>
      <c r="N131" s="41">
        <v>12254166.666666649</v>
      </c>
      <c r="O131" s="41">
        <v>79166.666666666672</v>
      </c>
      <c r="P131" s="41">
        <v>33166666.66666678</v>
      </c>
      <c r="Q131" s="41">
        <v>166666.66666666669</v>
      </c>
      <c r="R131" s="41">
        <v>2500000</v>
      </c>
      <c r="S131" s="41">
        <v>0</v>
      </c>
      <c r="T131" s="41">
        <v>0</v>
      </c>
      <c r="U131" s="41">
        <v>0</v>
      </c>
      <c r="V131" s="41">
        <v>103920833.3333334</v>
      </c>
      <c r="W131" s="41">
        <v>245833.33333333331</v>
      </c>
      <c r="X131" s="38">
        <f t="shared" si="6"/>
        <v>0.20784166666666681</v>
      </c>
      <c r="Y131" s="39">
        <f t="shared" si="7"/>
        <v>4.9166666666666662E-4</v>
      </c>
      <c r="Z131" s="39">
        <f t="shared" si="11"/>
        <v>2.3711920263644374E-3</v>
      </c>
      <c r="AA131" s="41">
        <f t="shared" si="8"/>
        <v>396079166.66666663</v>
      </c>
      <c r="AB131" s="39">
        <f t="shared" si="9"/>
        <v>6.2066716460303605E-4</v>
      </c>
      <c r="AC131" s="38">
        <f t="shared" si="10"/>
        <v>0.46875920146045769</v>
      </c>
      <c r="AD131" s="3"/>
    </row>
    <row r="132" spans="1:30" x14ac:dyDescent="0.25">
      <c r="A132" s="37">
        <v>45768</v>
      </c>
      <c r="B132" s="41">
        <v>1000000</v>
      </c>
      <c r="C132" s="41">
        <v>0</v>
      </c>
      <c r="D132" s="41">
        <v>2500000</v>
      </c>
      <c r="E132" s="41">
        <v>0</v>
      </c>
      <c r="F132" s="41">
        <v>2500000</v>
      </c>
      <c r="G132" s="41">
        <v>0</v>
      </c>
      <c r="H132" s="41">
        <v>50000000</v>
      </c>
      <c r="I132" s="41">
        <v>0</v>
      </c>
      <c r="J132" s="41">
        <v>0</v>
      </c>
      <c r="K132" s="41">
        <v>0</v>
      </c>
      <c r="L132" s="41">
        <v>0</v>
      </c>
      <c r="M132" s="41">
        <v>0</v>
      </c>
      <c r="N132" s="41">
        <v>12333333.33333331</v>
      </c>
      <c r="O132" s="41">
        <v>79166.666666666672</v>
      </c>
      <c r="P132" s="41">
        <v>33333333.333333451</v>
      </c>
      <c r="Q132" s="41">
        <v>166666.66666666669</v>
      </c>
      <c r="R132" s="41">
        <v>2500000</v>
      </c>
      <c r="S132" s="41">
        <v>0</v>
      </c>
      <c r="T132" s="41">
        <v>0</v>
      </c>
      <c r="U132" s="41">
        <v>0</v>
      </c>
      <c r="V132" s="41">
        <v>104166666.66666681</v>
      </c>
      <c r="W132" s="41">
        <v>245833.33333333331</v>
      </c>
      <c r="X132" s="38">
        <f t="shared" si="6"/>
        <v>0.20833333333333362</v>
      </c>
      <c r="Y132" s="39">
        <f t="shared" si="7"/>
        <v>4.9166666666666662E-4</v>
      </c>
      <c r="Z132" s="39">
        <f t="shared" si="11"/>
        <v>2.365582775349824E-3</v>
      </c>
      <c r="AA132" s="41">
        <f t="shared" si="8"/>
        <v>395833333.33333319</v>
      </c>
      <c r="AB132" s="39">
        <f t="shared" si="9"/>
        <v>6.2105263157894754E-4</v>
      </c>
      <c r="AC132" s="38">
        <f t="shared" si="10"/>
        <v>0.47058823529411914</v>
      </c>
      <c r="AD132" s="3"/>
    </row>
    <row r="133" spans="1:30" x14ac:dyDescent="0.25">
      <c r="A133" s="37">
        <v>45769</v>
      </c>
      <c r="B133" s="41">
        <v>1000000</v>
      </c>
      <c r="C133" s="41">
        <v>0</v>
      </c>
      <c r="D133" s="41">
        <v>2500000</v>
      </c>
      <c r="E133" s="41">
        <v>0</v>
      </c>
      <c r="F133" s="41">
        <v>2500000</v>
      </c>
      <c r="G133" s="41">
        <v>0</v>
      </c>
      <c r="H133" s="41">
        <v>50000000</v>
      </c>
      <c r="I133" s="41">
        <v>0</v>
      </c>
      <c r="J133" s="41">
        <v>0</v>
      </c>
      <c r="K133" s="41">
        <v>0</v>
      </c>
      <c r="L133" s="41">
        <v>0</v>
      </c>
      <c r="M133" s="41">
        <v>0</v>
      </c>
      <c r="N133" s="41">
        <v>12412499.99999998</v>
      </c>
      <c r="O133" s="41">
        <v>79166.666666666672</v>
      </c>
      <c r="P133" s="41">
        <v>33500000.000000119</v>
      </c>
      <c r="Q133" s="41">
        <v>166666.66666666669</v>
      </c>
      <c r="R133" s="41">
        <v>2500000</v>
      </c>
      <c r="S133" s="41">
        <v>0</v>
      </c>
      <c r="T133" s="41">
        <v>0</v>
      </c>
      <c r="U133" s="41">
        <v>0</v>
      </c>
      <c r="V133" s="41">
        <v>104412500.0000001</v>
      </c>
      <c r="W133" s="41">
        <v>245833.33333333331</v>
      </c>
      <c r="X133" s="38">
        <f t="shared" si="6"/>
        <v>0.2088250000000002</v>
      </c>
      <c r="Y133" s="39">
        <f t="shared" si="7"/>
        <v>4.9166666666666662E-4</v>
      </c>
      <c r="Z133" s="39">
        <f t="shared" si="11"/>
        <v>2.3599999999999966E-3</v>
      </c>
      <c r="AA133" s="41">
        <f t="shared" si="8"/>
        <v>395587499.99999988</v>
      </c>
      <c r="AB133" s="39">
        <f t="shared" si="9"/>
        <v>6.2143857764295732E-4</v>
      </c>
      <c r="AC133" s="38">
        <f t="shared" si="10"/>
        <v>0.47241318526353077</v>
      </c>
      <c r="AD133" s="3"/>
    </row>
    <row r="134" spans="1:30" x14ac:dyDescent="0.25">
      <c r="A134" s="37">
        <v>45770</v>
      </c>
      <c r="B134" s="41">
        <v>1000000</v>
      </c>
      <c r="C134" s="41">
        <v>0</v>
      </c>
      <c r="D134" s="41">
        <v>2500000</v>
      </c>
      <c r="E134" s="41">
        <v>0</v>
      </c>
      <c r="F134" s="41">
        <v>2500000</v>
      </c>
      <c r="G134" s="41">
        <v>0</v>
      </c>
      <c r="H134" s="41">
        <v>50000000</v>
      </c>
      <c r="I134" s="41">
        <v>0</v>
      </c>
      <c r="J134" s="41">
        <v>0</v>
      </c>
      <c r="K134" s="41">
        <v>0</v>
      </c>
      <c r="L134" s="41">
        <v>0</v>
      </c>
      <c r="M134" s="41">
        <v>0</v>
      </c>
      <c r="N134" s="41">
        <v>12491666.66666664</v>
      </c>
      <c r="O134" s="41">
        <v>79166.666666666672</v>
      </c>
      <c r="P134" s="41">
        <v>33666666.666666783</v>
      </c>
      <c r="Q134" s="41">
        <v>166666.66666666669</v>
      </c>
      <c r="R134" s="41">
        <v>2500000</v>
      </c>
      <c r="S134" s="41">
        <v>0</v>
      </c>
      <c r="T134" s="41">
        <v>0</v>
      </c>
      <c r="U134" s="41">
        <v>0</v>
      </c>
      <c r="V134" s="41">
        <v>104658333.3333334</v>
      </c>
      <c r="W134" s="41">
        <v>245833.33333333331</v>
      </c>
      <c r="X134" s="38">
        <f t="shared" si="6"/>
        <v>0.20931666666666682</v>
      </c>
      <c r="Y134" s="39">
        <f t="shared" si="7"/>
        <v>4.9166666666666662E-4</v>
      </c>
      <c r="Z134" s="39">
        <f t="shared" si="11"/>
        <v>2.3544435133085891E-3</v>
      </c>
      <c r="AA134" s="41">
        <f t="shared" si="8"/>
        <v>395341666.66666663</v>
      </c>
      <c r="AB134" s="39">
        <f t="shared" si="9"/>
        <v>6.2182500368879244E-4</v>
      </c>
      <c r="AC134" s="38">
        <f t="shared" si="10"/>
        <v>0.47423406503110882</v>
      </c>
      <c r="AD134" s="3"/>
    </row>
    <row r="135" spans="1:30" x14ac:dyDescent="0.25">
      <c r="A135" s="37">
        <v>45771</v>
      </c>
      <c r="B135" s="41">
        <v>1000000</v>
      </c>
      <c r="C135" s="41">
        <v>0</v>
      </c>
      <c r="D135" s="41">
        <v>2500000</v>
      </c>
      <c r="E135" s="41">
        <v>0</v>
      </c>
      <c r="F135" s="41">
        <v>2500000</v>
      </c>
      <c r="G135" s="41">
        <v>0</v>
      </c>
      <c r="H135" s="41">
        <v>50000000</v>
      </c>
      <c r="I135" s="41">
        <v>0</v>
      </c>
      <c r="J135" s="41">
        <v>0</v>
      </c>
      <c r="K135" s="41">
        <v>0</v>
      </c>
      <c r="L135" s="41">
        <v>0</v>
      </c>
      <c r="M135" s="41">
        <v>0</v>
      </c>
      <c r="N135" s="41">
        <v>12570833.33333331</v>
      </c>
      <c r="O135" s="41">
        <v>79166.666666666672</v>
      </c>
      <c r="P135" s="41">
        <v>33833333.333333448</v>
      </c>
      <c r="Q135" s="41">
        <v>166666.66666666669</v>
      </c>
      <c r="R135" s="41">
        <v>2500000</v>
      </c>
      <c r="S135" s="41">
        <v>0</v>
      </c>
      <c r="T135" s="41">
        <v>0</v>
      </c>
      <c r="U135" s="41">
        <v>0</v>
      </c>
      <c r="V135" s="41">
        <v>104904166.66666681</v>
      </c>
      <c r="W135" s="41">
        <v>245833.33333333331</v>
      </c>
      <c r="X135" s="38">
        <f t="shared" si="6"/>
        <v>0.20980833333333362</v>
      </c>
      <c r="Y135" s="39">
        <f t="shared" si="7"/>
        <v>4.9166666666666662E-4</v>
      </c>
      <c r="Z135" s="39">
        <f t="shared" si="11"/>
        <v>2.3489131300262743E-3</v>
      </c>
      <c r="AA135" s="41">
        <f t="shared" si="8"/>
        <v>395095833.33333319</v>
      </c>
      <c r="AB135" s="39">
        <f t="shared" si="9"/>
        <v>6.2221191061240428E-4</v>
      </c>
      <c r="AC135" s="38">
        <f t="shared" si="10"/>
        <v>0.47605088819839508</v>
      </c>
      <c r="AD135" s="3"/>
    </row>
    <row r="136" spans="1:30" x14ac:dyDescent="0.25">
      <c r="A136" s="37">
        <v>45772</v>
      </c>
      <c r="B136" s="41">
        <v>1000000</v>
      </c>
      <c r="C136" s="41">
        <v>0</v>
      </c>
      <c r="D136" s="41">
        <v>2500000</v>
      </c>
      <c r="E136" s="41">
        <v>0</v>
      </c>
      <c r="F136" s="41">
        <v>2500000</v>
      </c>
      <c r="G136" s="41">
        <v>0</v>
      </c>
      <c r="H136" s="41">
        <v>50000000</v>
      </c>
      <c r="I136" s="41">
        <v>0</v>
      </c>
      <c r="J136" s="41">
        <v>0</v>
      </c>
      <c r="K136" s="41">
        <v>0</v>
      </c>
      <c r="L136" s="41">
        <v>0</v>
      </c>
      <c r="M136" s="41">
        <v>0</v>
      </c>
      <c r="N136" s="41">
        <v>12649999.99999998</v>
      </c>
      <c r="O136" s="41">
        <v>79166.666666666672</v>
      </c>
      <c r="P136" s="41">
        <v>34000000.000000112</v>
      </c>
      <c r="Q136" s="41">
        <v>166666.66666666669</v>
      </c>
      <c r="R136" s="41">
        <v>2500000</v>
      </c>
      <c r="S136" s="41">
        <v>0</v>
      </c>
      <c r="T136" s="41">
        <v>0</v>
      </c>
      <c r="U136" s="41">
        <v>0</v>
      </c>
      <c r="V136" s="41">
        <v>105150000.0000001</v>
      </c>
      <c r="W136" s="41">
        <v>245833.33333333331</v>
      </c>
      <c r="X136" s="38">
        <f t="shared" si="6"/>
        <v>0.21030000000000021</v>
      </c>
      <c r="Y136" s="39">
        <f t="shared" si="7"/>
        <v>4.9166666666666662E-4</v>
      </c>
      <c r="Z136" s="39">
        <f t="shared" si="11"/>
        <v>2.343408666640184E-3</v>
      </c>
      <c r="AA136" s="41">
        <f t="shared" si="8"/>
        <v>394849999.99999988</v>
      </c>
      <c r="AB136" s="39">
        <f t="shared" si="9"/>
        <v>6.225992993119751E-4</v>
      </c>
      <c r="AC136" s="38">
        <f t="shared" si="10"/>
        <v>0.47786366830639654</v>
      </c>
      <c r="AD136" s="3"/>
    </row>
    <row r="137" spans="1:30" x14ac:dyDescent="0.25">
      <c r="A137" s="37">
        <v>45773</v>
      </c>
      <c r="B137" s="41">
        <v>1000000</v>
      </c>
      <c r="C137" s="41">
        <v>0</v>
      </c>
      <c r="D137" s="41">
        <v>2500000</v>
      </c>
      <c r="E137" s="41">
        <v>0</v>
      </c>
      <c r="F137" s="41">
        <v>2500000</v>
      </c>
      <c r="G137" s="41">
        <v>0</v>
      </c>
      <c r="H137" s="41">
        <v>50000000</v>
      </c>
      <c r="I137" s="41">
        <v>0</v>
      </c>
      <c r="J137" s="41">
        <v>0</v>
      </c>
      <c r="K137" s="41">
        <v>0</v>
      </c>
      <c r="L137" s="41">
        <v>0</v>
      </c>
      <c r="M137" s="41">
        <v>0</v>
      </c>
      <c r="N137" s="41">
        <v>12729166.66666664</v>
      </c>
      <c r="O137" s="41">
        <v>79166.666666666672</v>
      </c>
      <c r="P137" s="41">
        <v>34166666.666666783</v>
      </c>
      <c r="Q137" s="41">
        <v>166666.66666666669</v>
      </c>
      <c r="R137" s="41">
        <v>2500000</v>
      </c>
      <c r="S137" s="41">
        <v>0</v>
      </c>
      <c r="T137" s="41">
        <v>0</v>
      </c>
      <c r="U137" s="41">
        <v>0</v>
      </c>
      <c r="V137" s="41">
        <v>105395833.3333334</v>
      </c>
      <c r="W137" s="41">
        <v>245833.33333333331</v>
      </c>
      <c r="X137" s="38">
        <f t="shared" si="6"/>
        <v>0.21079166666666679</v>
      </c>
      <c r="Y137" s="39">
        <f t="shared" si="7"/>
        <v>4.9166666666666662E-4</v>
      </c>
      <c r="Z137" s="39">
        <f t="shared" si="11"/>
        <v>2.3379299413536195E-3</v>
      </c>
      <c r="AA137" s="41">
        <f t="shared" si="8"/>
        <v>394604166.66666663</v>
      </c>
      <c r="AB137" s="39">
        <f t="shared" si="9"/>
        <v>6.2298717068792568E-4</v>
      </c>
      <c r="AC137" s="38">
        <f t="shared" si="10"/>
        <v>0.47967241883591882</v>
      </c>
      <c r="AD137" s="3"/>
    </row>
    <row r="138" spans="1:30" x14ac:dyDescent="0.25">
      <c r="A138" s="37">
        <v>45774</v>
      </c>
      <c r="B138" s="41">
        <v>1000000</v>
      </c>
      <c r="C138" s="41">
        <v>0</v>
      </c>
      <c r="D138" s="41">
        <v>2500000</v>
      </c>
      <c r="E138" s="41">
        <v>0</v>
      </c>
      <c r="F138" s="41">
        <v>2500000</v>
      </c>
      <c r="G138" s="41">
        <v>0</v>
      </c>
      <c r="H138" s="41">
        <v>50000000</v>
      </c>
      <c r="I138" s="41">
        <v>0</v>
      </c>
      <c r="J138" s="41">
        <v>0</v>
      </c>
      <c r="K138" s="41">
        <v>0</v>
      </c>
      <c r="L138" s="41">
        <v>0</v>
      </c>
      <c r="M138" s="41">
        <v>0</v>
      </c>
      <c r="N138" s="41">
        <v>12808333.33333331</v>
      </c>
      <c r="O138" s="41">
        <v>79166.666666666672</v>
      </c>
      <c r="P138" s="41">
        <v>34333333.33333344</v>
      </c>
      <c r="Q138" s="41">
        <v>166666.66666666669</v>
      </c>
      <c r="R138" s="41">
        <v>2500000</v>
      </c>
      <c r="S138" s="41">
        <v>0</v>
      </c>
      <c r="T138" s="41">
        <v>0</v>
      </c>
      <c r="U138" s="41">
        <v>0</v>
      </c>
      <c r="V138" s="41">
        <v>105641666.6666667</v>
      </c>
      <c r="W138" s="41">
        <v>245833.33333333331</v>
      </c>
      <c r="X138" s="38">
        <f t="shared" si="6"/>
        <v>0.21128333333333341</v>
      </c>
      <c r="Y138" s="39">
        <f t="shared" si="7"/>
        <v>4.9166666666666662E-4</v>
      </c>
      <c r="Z138" s="39">
        <f t="shared" si="11"/>
        <v>2.3324767740660192E-3</v>
      </c>
      <c r="AA138" s="41">
        <f t="shared" si="8"/>
        <v>394358333.33333331</v>
      </c>
      <c r="AB138" s="39">
        <f t="shared" si="9"/>
        <v>6.23375525642922E-4</v>
      </c>
      <c r="AC138" s="38">
        <f t="shared" si="10"/>
        <v>0.48147715320790202</v>
      </c>
      <c r="AD138" s="3"/>
    </row>
    <row r="139" spans="1:30" x14ac:dyDescent="0.25">
      <c r="A139" s="37">
        <v>45775</v>
      </c>
      <c r="B139" s="41">
        <v>1000000</v>
      </c>
      <c r="C139" s="41">
        <v>0</v>
      </c>
      <c r="D139" s="41">
        <v>2500000</v>
      </c>
      <c r="E139" s="41">
        <v>0</v>
      </c>
      <c r="F139" s="41">
        <v>2500000</v>
      </c>
      <c r="G139" s="41">
        <v>0</v>
      </c>
      <c r="H139" s="41">
        <v>50000000</v>
      </c>
      <c r="I139" s="41">
        <v>0</v>
      </c>
      <c r="J139" s="41">
        <v>0</v>
      </c>
      <c r="K139" s="41">
        <v>0</v>
      </c>
      <c r="L139" s="41">
        <v>0</v>
      </c>
      <c r="M139" s="41">
        <v>0</v>
      </c>
      <c r="N139" s="41">
        <v>12887499.99999997</v>
      </c>
      <c r="O139" s="41">
        <v>79166.666666666672</v>
      </c>
      <c r="P139" s="41">
        <v>34500000.000000097</v>
      </c>
      <c r="Q139" s="41">
        <v>166666.66666666669</v>
      </c>
      <c r="R139" s="41">
        <v>2500000</v>
      </c>
      <c r="S139" s="41">
        <v>0</v>
      </c>
      <c r="T139" s="41">
        <v>0</v>
      </c>
      <c r="U139" s="41">
        <v>0</v>
      </c>
      <c r="V139" s="41">
        <v>105887500.0000001</v>
      </c>
      <c r="W139" s="41">
        <v>245833.33333333331</v>
      </c>
      <c r="X139" s="38">
        <f t="shared" si="6"/>
        <v>0.21177500000000021</v>
      </c>
      <c r="Y139" s="39">
        <f t="shared" si="7"/>
        <v>4.9166666666666662E-4</v>
      </c>
      <c r="Z139" s="39">
        <f t="shared" si="11"/>
        <v>2.3270489863532373E-3</v>
      </c>
      <c r="AA139" s="41">
        <f t="shared" si="8"/>
        <v>394112499.99999988</v>
      </c>
      <c r="AB139" s="39">
        <f t="shared" si="9"/>
        <v>6.2376436508188244E-4</v>
      </c>
      <c r="AC139" s="38">
        <f t="shared" si="10"/>
        <v>0.483277884783752</v>
      </c>
      <c r="AD139" s="3"/>
    </row>
    <row r="140" spans="1:30" x14ac:dyDescent="0.25">
      <c r="A140" s="37">
        <v>45776</v>
      </c>
      <c r="B140" s="41">
        <v>1000000</v>
      </c>
      <c r="C140" s="41">
        <v>0</v>
      </c>
      <c r="D140" s="41">
        <v>2500000</v>
      </c>
      <c r="E140" s="41">
        <v>0</v>
      </c>
      <c r="F140" s="41">
        <v>2500000</v>
      </c>
      <c r="G140" s="41">
        <v>0</v>
      </c>
      <c r="H140" s="41">
        <v>50000000</v>
      </c>
      <c r="I140" s="41">
        <v>0</v>
      </c>
      <c r="J140" s="41">
        <v>0</v>
      </c>
      <c r="K140" s="41">
        <v>0</v>
      </c>
      <c r="L140" s="41">
        <v>0</v>
      </c>
      <c r="M140" s="41">
        <v>0</v>
      </c>
      <c r="N140" s="41">
        <v>12966666.66666664</v>
      </c>
      <c r="O140" s="41">
        <v>79166.666666666672</v>
      </c>
      <c r="P140" s="41">
        <v>34666666.666666768</v>
      </c>
      <c r="Q140" s="41">
        <v>166666.66666666669</v>
      </c>
      <c r="R140" s="41">
        <v>2500000</v>
      </c>
      <c r="S140" s="41">
        <v>0</v>
      </c>
      <c r="T140" s="41">
        <v>0</v>
      </c>
      <c r="U140" s="41">
        <v>0</v>
      </c>
      <c r="V140" s="41">
        <v>106133333.3333334</v>
      </c>
      <c r="W140" s="41">
        <v>245833.33333333331</v>
      </c>
      <c r="X140" s="38">
        <f t="shared" si="6"/>
        <v>0.2122666666666668</v>
      </c>
      <c r="Y140" s="39">
        <f t="shared" si="7"/>
        <v>4.9166666666666662E-4</v>
      </c>
      <c r="Z140" s="39">
        <f t="shared" si="11"/>
        <v>2.3216464014480754E-3</v>
      </c>
      <c r="AA140" s="41">
        <f t="shared" si="8"/>
        <v>393866666.66666663</v>
      </c>
      <c r="AB140" s="39">
        <f t="shared" si="9"/>
        <v>6.2415368991198378E-4</v>
      </c>
      <c r="AC140" s="38">
        <f t="shared" si="10"/>
        <v>0.48507462686567332</v>
      </c>
      <c r="AD140" s="3"/>
    </row>
    <row r="141" spans="1:30" x14ac:dyDescent="0.25">
      <c r="A141" s="37">
        <v>45777</v>
      </c>
      <c r="B141" s="41">
        <v>1000000</v>
      </c>
      <c r="C141" s="41">
        <v>0</v>
      </c>
      <c r="D141" s="41">
        <v>2500000</v>
      </c>
      <c r="E141" s="41">
        <v>0</v>
      </c>
      <c r="F141" s="41">
        <v>2500000</v>
      </c>
      <c r="G141" s="41">
        <v>0</v>
      </c>
      <c r="H141" s="41">
        <v>50000000</v>
      </c>
      <c r="I141" s="41">
        <v>0</v>
      </c>
      <c r="J141" s="41">
        <v>0</v>
      </c>
      <c r="K141" s="41">
        <v>0</v>
      </c>
      <c r="L141" s="41">
        <v>0</v>
      </c>
      <c r="M141" s="41">
        <v>0</v>
      </c>
      <c r="N141" s="41">
        <v>13045833.33333331</v>
      </c>
      <c r="O141" s="41">
        <v>79166.666666666672</v>
      </c>
      <c r="P141" s="41">
        <v>34833333.333333433</v>
      </c>
      <c r="Q141" s="41">
        <v>166666.66666666669</v>
      </c>
      <c r="R141" s="41">
        <v>2500000</v>
      </c>
      <c r="S141" s="41">
        <v>0</v>
      </c>
      <c r="T141" s="41">
        <v>0</v>
      </c>
      <c r="U141" s="41">
        <v>0</v>
      </c>
      <c r="V141" s="41">
        <v>106379166.6666667</v>
      </c>
      <c r="W141" s="41">
        <v>245833.33333333331</v>
      </c>
      <c r="X141" s="38">
        <f t="shared" si="6"/>
        <v>0.21275833333333341</v>
      </c>
      <c r="Y141" s="39">
        <f t="shared" si="7"/>
        <v>4.9166666666666662E-4</v>
      </c>
      <c r="Z141" s="39">
        <f t="shared" si="11"/>
        <v>2.3162688442211038E-3</v>
      </c>
      <c r="AA141" s="41">
        <f t="shared" si="8"/>
        <v>393620833.33333331</v>
      </c>
      <c r="AB141" s="39">
        <f t="shared" si="9"/>
        <v>6.2454350104267011E-4</v>
      </c>
      <c r="AC141" s="38">
        <f t="shared" si="10"/>
        <v>0.48686739269699092</v>
      </c>
      <c r="AD141" s="3"/>
    </row>
    <row r="142" spans="1:30" x14ac:dyDescent="0.25">
      <c r="A142" s="37">
        <v>45778</v>
      </c>
      <c r="B142" s="41">
        <v>1000000</v>
      </c>
      <c r="C142" s="41">
        <v>0</v>
      </c>
      <c r="D142" s="41">
        <v>2500000</v>
      </c>
      <c r="E142" s="41">
        <v>0</v>
      </c>
      <c r="F142" s="41">
        <v>2500000</v>
      </c>
      <c r="G142" s="41">
        <v>0</v>
      </c>
      <c r="H142" s="41">
        <v>50000000</v>
      </c>
      <c r="I142" s="41">
        <v>0</v>
      </c>
      <c r="J142" s="41">
        <v>0</v>
      </c>
      <c r="K142" s="41">
        <v>0</v>
      </c>
      <c r="L142" s="41">
        <v>0</v>
      </c>
      <c r="M142" s="41">
        <v>0</v>
      </c>
      <c r="N142" s="41">
        <v>13124999.99999997</v>
      </c>
      <c r="O142" s="41">
        <v>79166.666666666672</v>
      </c>
      <c r="P142" s="41">
        <v>35000000.000000097</v>
      </c>
      <c r="Q142" s="41">
        <v>166666.66666666669</v>
      </c>
      <c r="R142" s="41">
        <v>2500000</v>
      </c>
      <c r="S142" s="41">
        <v>0</v>
      </c>
      <c r="T142" s="41">
        <v>0</v>
      </c>
      <c r="U142" s="41">
        <v>0</v>
      </c>
      <c r="V142" s="41">
        <v>106625000.0000001</v>
      </c>
      <c r="W142" s="41">
        <v>245833.33333333331</v>
      </c>
      <c r="X142" s="38">
        <f t="shared" si="6"/>
        <v>0.21325000000000022</v>
      </c>
      <c r="Y142" s="39">
        <f t="shared" si="7"/>
        <v>4.9166666666666662E-4</v>
      </c>
      <c r="Z142" s="39">
        <f t="shared" si="11"/>
        <v>2.3109161411617239E-3</v>
      </c>
      <c r="AA142" s="41">
        <f t="shared" si="8"/>
        <v>393374999.99999988</v>
      </c>
      <c r="AB142" s="39">
        <f t="shared" si="9"/>
        <v>6.249337993856584E-4</v>
      </c>
      <c r="AC142" s="38">
        <f t="shared" si="10"/>
        <v>0.48865619546247951</v>
      </c>
      <c r="AD142" s="3"/>
    </row>
    <row r="143" spans="1:30" x14ac:dyDescent="0.25">
      <c r="A143" s="37">
        <v>45779</v>
      </c>
      <c r="B143" s="41">
        <v>1000000</v>
      </c>
      <c r="C143" s="41">
        <v>0</v>
      </c>
      <c r="D143" s="41">
        <v>2500000</v>
      </c>
      <c r="E143" s="41">
        <v>0</v>
      </c>
      <c r="F143" s="41">
        <v>2631944.444444444</v>
      </c>
      <c r="G143" s="41">
        <v>131944.44444444441</v>
      </c>
      <c r="H143" s="41">
        <v>50000000</v>
      </c>
      <c r="I143" s="41">
        <v>0</v>
      </c>
      <c r="J143" s="41">
        <v>0</v>
      </c>
      <c r="K143" s="41">
        <v>0</v>
      </c>
      <c r="L143" s="41">
        <v>0</v>
      </c>
      <c r="M143" s="41">
        <v>0</v>
      </c>
      <c r="N143" s="41">
        <v>13204166.66666664</v>
      </c>
      <c r="O143" s="41">
        <v>79166.666666666672</v>
      </c>
      <c r="P143" s="41">
        <v>35166666.666666761</v>
      </c>
      <c r="Q143" s="41">
        <v>166666.66666666669</v>
      </c>
      <c r="R143" s="41">
        <v>2500000</v>
      </c>
      <c r="S143" s="41">
        <v>0</v>
      </c>
      <c r="T143" s="41">
        <v>0</v>
      </c>
      <c r="U143" s="41">
        <v>0</v>
      </c>
      <c r="V143" s="41">
        <v>107002777.7777779</v>
      </c>
      <c r="W143" s="41">
        <v>377777.77777777781</v>
      </c>
      <c r="X143" s="38">
        <f t="shared" si="6"/>
        <v>0.21400555555555578</v>
      </c>
      <c r="Y143" s="39">
        <f t="shared" si="7"/>
        <v>7.5555555555555565E-4</v>
      </c>
      <c r="Z143" s="39">
        <f t="shared" si="11"/>
        <v>3.5430506708349586E-3</v>
      </c>
      <c r="AA143" s="41">
        <f t="shared" si="8"/>
        <v>392997222.22222209</v>
      </c>
      <c r="AB143" s="39">
        <f t="shared" si="9"/>
        <v>9.6127340453353537E-4</v>
      </c>
      <c r="AC143" s="38">
        <f t="shared" si="10"/>
        <v>0.4895402343296868</v>
      </c>
      <c r="AD143" s="3"/>
    </row>
    <row r="144" spans="1:30" x14ac:dyDescent="0.25">
      <c r="A144" s="37">
        <v>45780</v>
      </c>
      <c r="B144" s="41">
        <v>1000000</v>
      </c>
      <c r="C144" s="41">
        <v>0</v>
      </c>
      <c r="D144" s="41">
        <v>2500000</v>
      </c>
      <c r="E144" s="41">
        <v>0</v>
      </c>
      <c r="F144" s="41">
        <v>2763888.888888889</v>
      </c>
      <c r="G144" s="41">
        <v>131944.44444444441</v>
      </c>
      <c r="H144" s="41">
        <v>50000000</v>
      </c>
      <c r="I144" s="41">
        <v>0</v>
      </c>
      <c r="J144" s="41">
        <v>0</v>
      </c>
      <c r="K144" s="41">
        <v>0</v>
      </c>
      <c r="L144" s="41">
        <v>0</v>
      </c>
      <c r="M144" s="41">
        <v>0</v>
      </c>
      <c r="N144" s="41">
        <v>13283333.3333333</v>
      </c>
      <c r="O144" s="41">
        <v>79166.666666666672</v>
      </c>
      <c r="P144" s="41">
        <v>35333333.333333433</v>
      </c>
      <c r="Q144" s="41">
        <v>166666.66666666669</v>
      </c>
      <c r="R144" s="41">
        <v>2500000</v>
      </c>
      <c r="S144" s="41">
        <v>0</v>
      </c>
      <c r="T144" s="41">
        <v>0</v>
      </c>
      <c r="U144" s="41">
        <v>0</v>
      </c>
      <c r="V144" s="41">
        <v>107380555.5555556</v>
      </c>
      <c r="W144" s="41">
        <v>377777.77777777781</v>
      </c>
      <c r="X144" s="38">
        <f t="shared" si="6"/>
        <v>0.21476111111111118</v>
      </c>
      <c r="Y144" s="39">
        <f t="shared" si="7"/>
        <v>7.5555555555555565E-4</v>
      </c>
      <c r="Z144" s="39">
        <f t="shared" si="11"/>
        <v>3.5305417824043994E-3</v>
      </c>
      <c r="AA144" s="41">
        <f t="shared" si="8"/>
        <v>392619444.44444442</v>
      </c>
      <c r="AB144" s="39">
        <f t="shared" si="9"/>
        <v>9.6219834020786334E-4</v>
      </c>
      <c r="AC144" s="38">
        <f t="shared" si="10"/>
        <v>0.4904190924162411</v>
      </c>
      <c r="AD144" s="3"/>
    </row>
    <row r="145" spans="1:30" x14ac:dyDescent="0.25">
      <c r="A145" s="37">
        <v>45781</v>
      </c>
      <c r="B145" s="41">
        <v>1000000</v>
      </c>
      <c r="C145" s="41">
        <v>0</v>
      </c>
      <c r="D145" s="41">
        <v>2500000</v>
      </c>
      <c r="E145" s="41">
        <v>0</v>
      </c>
      <c r="F145" s="41">
        <v>2895833.333333333</v>
      </c>
      <c r="G145" s="41">
        <v>131944.44444444441</v>
      </c>
      <c r="H145" s="41">
        <v>50000000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13362499.99999997</v>
      </c>
      <c r="O145" s="41">
        <v>79166.666666666672</v>
      </c>
      <c r="P145" s="41">
        <v>35500000.000000089</v>
      </c>
      <c r="Q145" s="41">
        <v>166666.66666666669</v>
      </c>
      <c r="R145" s="41">
        <v>2500000</v>
      </c>
      <c r="S145" s="41">
        <v>0</v>
      </c>
      <c r="T145" s="41">
        <v>0</v>
      </c>
      <c r="U145" s="41">
        <v>0</v>
      </c>
      <c r="V145" s="41">
        <v>107758333.3333334</v>
      </c>
      <c r="W145" s="41">
        <v>377777.77777777781</v>
      </c>
      <c r="X145" s="38">
        <f t="shared" si="6"/>
        <v>0.2155166666666668</v>
      </c>
      <c r="Y145" s="39">
        <f t="shared" si="7"/>
        <v>7.5555555555555565E-4</v>
      </c>
      <c r="Z145" s="39">
        <f t="shared" si="11"/>
        <v>3.5181209095377281E-3</v>
      </c>
      <c r="AA145" s="41">
        <f t="shared" si="8"/>
        <v>392241666.66666663</v>
      </c>
      <c r="AB145" s="39">
        <f t="shared" si="9"/>
        <v>9.6312505753964059E-4</v>
      </c>
      <c r="AC145" s="38">
        <f t="shared" si="10"/>
        <v>0.49129281513089745</v>
      </c>
      <c r="AD145" s="3"/>
    </row>
    <row r="146" spans="1:30" x14ac:dyDescent="0.25">
      <c r="A146" s="37">
        <v>45782</v>
      </c>
      <c r="B146" s="41">
        <v>1000000</v>
      </c>
      <c r="C146" s="41">
        <v>0</v>
      </c>
      <c r="D146" s="41">
        <v>2500000</v>
      </c>
      <c r="E146" s="41">
        <v>0</v>
      </c>
      <c r="F146" s="41">
        <v>3027777.777777778</v>
      </c>
      <c r="G146" s="41">
        <v>131944.44444444441</v>
      </c>
      <c r="H146" s="41">
        <v>50000000</v>
      </c>
      <c r="I146" s="41">
        <v>0</v>
      </c>
      <c r="J146" s="41">
        <v>0</v>
      </c>
      <c r="K146" s="41">
        <v>0</v>
      </c>
      <c r="L146" s="41">
        <v>0</v>
      </c>
      <c r="M146" s="41">
        <v>0</v>
      </c>
      <c r="N146" s="41">
        <v>13441666.66666664</v>
      </c>
      <c r="O146" s="41">
        <v>79166.666666666672</v>
      </c>
      <c r="P146" s="41">
        <v>35666666.666666754</v>
      </c>
      <c r="Q146" s="41">
        <v>166666.66666666669</v>
      </c>
      <c r="R146" s="41">
        <v>2500000</v>
      </c>
      <c r="S146" s="41">
        <v>0</v>
      </c>
      <c r="T146" s="41">
        <v>0</v>
      </c>
      <c r="U146" s="41">
        <v>0</v>
      </c>
      <c r="V146" s="41">
        <v>108136111.11111119</v>
      </c>
      <c r="W146" s="41">
        <v>377777.77777777781</v>
      </c>
      <c r="X146" s="38">
        <f t="shared" si="6"/>
        <v>0.21627222222222239</v>
      </c>
      <c r="Y146" s="39">
        <f t="shared" si="7"/>
        <v>7.5555555555555565E-4</v>
      </c>
      <c r="Z146" s="39">
        <f t="shared" si="11"/>
        <v>3.5057871265434465E-3</v>
      </c>
      <c r="AA146" s="41">
        <f t="shared" si="8"/>
        <v>391863888.88888884</v>
      </c>
      <c r="AB146" s="39">
        <f t="shared" si="9"/>
        <v>9.6405356168170655E-4</v>
      </c>
      <c r="AC146" s="38">
        <f t="shared" si="10"/>
        <v>0.49216144735329181</v>
      </c>
      <c r="AD146" s="3"/>
    </row>
    <row r="147" spans="1:30" x14ac:dyDescent="0.25">
      <c r="A147" s="37">
        <v>45783</v>
      </c>
      <c r="B147" s="41">
        <v>1000000</v>
      </c>
      <c r="C147" s="41">
        <v>0</v>
      </c>
      <c r="D147" s="41">
        <v>2500000</v>
      </c>
      <c r="E147" s="41">
        <v>0</v>
      </c>
      <c r="F147" s="41">
        <v>3159722.222222222</v>
      </c>
      <c r="G147" s="41">
        <v>131944.44444444441</v>
      </c>
      <c r="H147" s="41">
        <v>50000000</v>
      </c>
      <c r="I147" s="41">
        <v>0</v>
      </c>
      <c r="J147" s="41">
        <v>0</v>
      </c>
      <c r="K147" s="41">
        <v>0</v>
      </c>
      <c r="L147" s="41">
        <v>0</v>
      </c>
      <c r="M147" s="41">
        <v>0</v>
      </c>
      <c r="N147" s="41">
        <v>13520833.3333333</v>
      </c>
      <c r="O147" s="41">
        <v>79166.666666666672</v>
      </c>
      <c r="P147" s="41">
        <v>35833333.333333418</v>
      </c>
      <c r="Q147" s="41">
        <v>166666.66666666669</v>
      </c>
      <c r="R147" s="41">
        <v>2500000</v>
      </c>
      <c r="S147" s="41">
        <v>0</v>
      </c>
      <c r="T147" s="41">
        <v>0</v>
      </c>
      <c r="U147" s="41">
        <v>0</v>
      </c>
      <c r="V147" s="41">
        <v>108513888.8888889</v>
      </c>
      <c r="W147" s="41">
        <v>377777.77777777781</v>
      </c>
      <c r="X147" s="38">
        <f t="shared" si="6"/>
        <v>0.21702777777777779</v>
      </c>
      <c r="Y147" s="39">
        <f t="shared" si="7"/>
        <v>7.5555555555555565E-4</v>
      </c>
      <c r="Z147" s="39">
        <f t="shared" si="11"/>
        <v>3.4935395206658251E-3</v>
      </c>
      <c r="AA147" s="41">
        <f t="shared" si="8"/>
        <v>391486111.1111111</v>
      </c>
      <c r="AB147" s="39">
        <f t="shared" si="9"/>
        <v>9.6498385780679043E-4</v>
      </c>
      <c r="AC147" s="38">
        <f t="shared" si="10"/>
        <v>0.49302503344162218</v>
      </c>
      <c r="AD147" s="3"/>
    </row>
    <row r="148" spans="1:30" x14ac:dyDescent="0.25">
      <c r="A148" s="37">
        <v>45784</v>
      </c>
      <c r="B148" s="41">
        <v>1000000</v>
      </c>
      <c r="C148" s="41">
        <v>0</v>
      </c>
      <c r="D148" s="41">
        <v>2500000</v>
      </c>
      <c r="E148" s="41">
        <v>0</v>
      </c>
      <c r="F148" s="41">
        <v>3291666.666666667</v>
      </c>
      <c r="G148" s="41">
        <v>131944.44444444441</v>
      </c>
      <c r="H148" s="41">
        <v>50000000</v>
      </c>
      <c r="I148" s="41">
        <v>0</v>
      </c>
      <c r="J148" s="41">
        <v>0</v>
      </c>
      <c r="K148" s="41">
        <v>0</v>
      </c>
      <c r="L148" s="41">
        <v>0</v>
      </c>
      <c r="M148" s="41">
        <v>0</v>
      </c>
      <c r="N148" s="41">
        <v>13599999.99999997</v>
      </c>
      <c r="O148" s="41">
        <v>79166.666666666672</v>
      </c>
      <c r="P148" s="41">
        <v>36000000.000000082</v>
      </c>
      <c r="Q148" s="41">
        <v>166666.66666666669</v>
      </c>
      <c r="R148" s="41">
        <v>2500000</v>
      </c>
      <c r="S148" s="41">
        <v>0</v>
      </c>
      <c r="T148" s="41">
        <v>0</v>
      </c>
      <c r="U148" s="41">
        <v>0</v>
      </c>
      <c r="V148" s="41">
        <v>108891666.6666667</v>
      </c>
      <c r="W148" s="41">
        <v>377777.77777777781</v>
      </c>
      <c r="X148" s="38">
        <f t="shared" si="6"/>
        <v>0.21778333333333341</v>
      </c>
      <c r="Y148" s="39">
        <f t="shared" si="7"/>
        <v>7.5555555555555565E-4</v>
      </c>
      <c r="Z148" s="39">
        <f t="shared" si="11"/>
        <v>3.4813771918597212E-3</v>
      </c>
      <c r="AA148" s="41">
        <f t="shared" si="8"/>
        <v>391108333.33333331</v>
      </c>
      <c r="AB148" s="39">
        <f t="shared" si="9"/>
        <v>9.6591595110760741E-4</v>
      </c>
      <c r="AC148" s="38">
        <f t="shared" si="10"/>
        <v>0.49388361724019803</v>
      </c>
      <c r="AD148" s="3"/>
    </row>
    <row r="149" spans="1:30" x14ac:dyDescent="0.25">
      <c r="A149" s="37">
        <v>45785</v>
      </c>
      <c r="B149" s="41">
        <v>1000000</v>
      </c>
      <c r="C149" s="41">
        <v>0</v>
      </c>
      <c r="D149" s="41">
        <v>2500000</v>
      </c>
      <c r="E149" s="41">
        <v>0</v>
      </c>
      <c r="F149" s="41">
        <v>3423611.111111111</v>
      </c>
      <c r="G149" s="41">
        <v>131944.44444444441</v>
      </c>
      <c r="H149" s="41">
        <v>50000000</v>
      </c>
      <c r="I149" s="41">
        <v>0</v>
      </c>
      <c r="J149" s="41">
        <v>0</v>
      </c>
      <c r="K149" s="41">
        <v>0</v>
      </c>
      <c r="L149" s="41">
        <v>0</v>
      </c>
      <c r="M149" s="41">
        <v>0</v>
      </c>
      <c r="N149" s="41">
        <v>13679166.666666631</v>
      </c>
      <c r="O149" s="41">
        <v>79166.666666666672</v>
      </c>
      <c r="P149" s="41">
        <v>36166666.666666754</v>
      </c>
      <c r="Q149" s="41">
        <v>166666.66666666669</v>
      </c>
      <c r="R149" s="41">
        <v>2500000</v>
      </c>
      <c r="S149" s="41">
        <v>0</v>
      </c>
      <c r="T149" s="41">
        <v>0</v>
      </c>
      <c r="U149" s="41">
        <v>0</v>
      </c>
      <c r="V149" s="41">
        <v>109269444.44444451</v>
      </c>
      <c r="W149" s="41">
        <v>377777.77777777781</v>
      </c>
      <c r="X149" s="38">
        <f t="shared" si="6"/>
        <v>0.218538888888889</v>
      </c>
      <c r="Y149" s="39">
        <f t="shared" si="7"/>
        <v>7.5555555555555565E-4</v>
      </c>
      <c r="Z149" s="39">
        <f t="shared" si="11"/>
        <v>3.4692992525700867E-3</v>
      </c>
      <c r="AA149" s="41">
        <f t="shared" si="8"/>
        <v>390730555.55555546</v>
      </c>
      <c r="AB149" s="39">
        <f t="shared" si="9"/>
        <v>9.668498467969547E-4</v>
      </c>
      <c r="AC149" s="38">
        <f t="shared" si="10"/>
        <v>0.49473724208686531</v>
      </c>
      <c r="AD149" s="3"/>
    </row>
    <row r="150" spans="1:30" x14ac:dyDescent="0.25">
      <c r="A150" s="37">
        <v>45786</v>
      </c>
      <c r="B150" s="41">
        <v>1000000</v>
      </c>
      <c r="C150" s="41">
        <v>0</v>
      </c>
      <c r="D150" s="41">
        <v>2500000</v>
      </c>
      <c r="E150" s="41">
        <v>0</v>
      </c>
      <c r="F150" s="41">
        <v>3555555.555555556</v>
      </c>
      <c r="G150" s="41">
        <v>131944.44444444441</v>
      </c>
      <c r="H150" s="41">
        <v>50000000</v>
      </c>
      <c r="I150" s="41">
        <v>0</v>
      </c>
      <c r="J150" s="41">
        <v>0</v>
      </c>
      <c r="K150" s="41">
        <v>0</v>
      </c>
      <c r="L150" s="41">
        <v>0</v>
      </c>
      <c r="M150" s="41">
        <v>0</v>
      </c>
      <c r="N150" s="41">
        <v>13758333.3333333</v>
      </c>
      <c r="O150" s="41">
        <v>79166.666666666672</v>
      </c>
      <c r="P150" s="41">
        <v>36333333.33333341</v>
      </c>
      <c r="Q150" s="41">
        <v>166666.66666666669</v>
      </c>
      <c r="R150" s="41">
        <v>2500000</v>
      </c>
      <c r="S150" s="41">
        <v>0</v>
      </c>
      <c r="T150" s="41">
        <v>0</v>
      </c>
      <c r="U150" s="41">
        <v>0</v>
      </c>
      <c r="V150" s="41">
        <v>109647222.2222223</v>
      </c>
      <c r="W150" s="41">
        <v>377777.77777777781</v>
      </c>
      <c r="X150" s="38">
        <f t="shared" si="6"/>
        <v>0.2192944444444446</v>
      </c>
      <c r="Y150" s="39">
        <f t="shared" si="7"/>
        <v>7.5555555555555565E-4</v>
      </c>
      <c r="Z150" s="39">
        <f t="shared" si="11"/>
        <v>3.4573048275160774E-3</v>
      </c>
      <c r="AA150" s="41">
        <f t="shared" si="8"/>
        <v>390352777.77777767</v>
      </c>
      <c r="AB150" s="39">
        <f t="shared" si="9"/>
        <v>9.6778555010780878E-4</v>
      </c>
      <c r="AC150" s="38">
        <f t="shared" si="10"/>
        <v>0.49558595082029427</v>
      </c>
      <c r="AD150" s="3"/>
    </row>
    <row r="151" spans="1:30" x14ac:dyDescent="0.25">
      <c r="A151" s="37">
        <v>45787</v>
      </c>
      <c r="B151" s="41">
        <v>1000000</v>
      </c>
      <c r="C151" s="41">
        <v>0</v>
      </c>
      <c r="D151" s="41">
        <v>2500000</v>
      </c>
      <c r="E151" s="41">
        <v>0</v>
      </c>
      <c r="F151" s="41">
        <v>3687500</v>
      </c>
      <c r="G151" s="41">
        <v>131944.44444444441</v>
      </c>
      <c r="H151" s="41">
        <v>50000000</v>
      </c>
      <c r="I151" s="41">
        <v>0</v>
      </c>
      <c r="J151" s="41">
        <v>0</v>
      </c>
      <c r="K151" s="41">
        <v>0</v>
      </c>
      <c r="L151" s="41">
        <v>0</v>
      </c>
      <c r="M151" s="41">
        <v>0</v>
      </c>
      <c r="N151" s="41">
        <v>13837499.99999997</v>
      </c>
      <c r="O151" s="41">
        <v>79166.666666666672</v>
      </c>
      <c r="P151" s="41">
        <v>36500000.000000067</v>
      </c>
      <c r="Q151" s="41">
        <v>166666.66666666669</v>
      </c>
      <c r="R151" s="41">
        <v>2500000</v>
      </c>
      <c r="S151" s="41">
        <v>0</v>
      </c>
      <c r="T151" s="41">
        <v>0</v>
      </c>
      <c r="U151" s="41">
        <v>0</v>
      </c>
      <c r="V151" s="41">
        <v>110025000</v>
      </c>
      <c r="W151" s="41">
        <v>377777.77777777781</v>
      </c>
      <c r="X151" s="38">
        <f t="shared" ref="X151:X214" si="12">V151/$B$6</f>
        <v>0.22005</v>
      </c>
      <c r="Y151" s="39">
        <f t="shared" ref="Y151:Y214" si="13">W151/$B$6</f>
        <v>7.5555555555555565E-4</v>
      </c>
      <c r="Z151" s="39">
        <f t="shared" si="11"/>
        <v>3.4453930534795916E-3</v>
      </c>
      <c r="AA151" s="41">
        <f t="shared" ref="AA151:AA214" si="14">$B$6-V151</f>
        <v>389975000</v>
      </c>
      <c r="AB151" s="39">
        <f t="shared" ref="AB151:AB214" si="15">W151/AA151</f>
        <v>9.6872306629342344E-4</v>
      </c>
      <c r="AC151" s="38">
        <f t="shared" ref="AC151:AC214" si="16" xml:space="preserve"> P151/(V151-P151)</f>
        <v>0.49642978578714853</v>
      </c>
      <c r="AD151" s="3"/>
    </row>
    <row r="152" spans="1:30" x14ac:dyDescent="0.25">
      <c r="A152" s="37">
        <v>45788</v>
      </c>
      <c r="B152" s="41">
        <v>1000000</v>
      </c>
      <c r="C152" s="41">
        <v>0</v>
      </c>
      <c r="D152" s="41">
        <v>2500000</v>
      </c>
      <c r="E152" s="41">
        <v>0</v>
      </c>
      <c r="F152" s="41">
        <v>3819444.444444445</v>
      </c>
      <c r="G152" s="41">
        <v>131944.44444444441</v>
      </c>
      <c r="H152" s="41">
        <v>50000000</v>
      </c>
      <c r="I152" s="41">
        <v>0</v>
      </c>
      <c r="J152" s="41">
        <v>0</v>
      </c>
      <c r="K152" s="41">
        <v>0</v>
      </c>
      <c r="L152" s="41">
        <v>0</v>
      </c>
      <c r="M152" s="41">
        <v>0</v>
      </c>
      <c r="N152" s="41">
        <v>13916666.666666631</v>
      </c>
      <c r="O152" s="41">
        <v>79166.666666666672</v>
      </c>
      <c r="P152" s="41">
        <v>36666666.666666739</v>
      </c>
      <c r="Q152" s="41">
        <v>166666.66666666669</v>
      </c>
      <c r="R152" s="41">
        <v>2500000</v>
      </c>
      <c r="S152" s="41">
        <v>0</v>
      </c>
      <c r="T152" s="41">
        <v>0</v>
      </c>
      <c r="U152" s="41">
        <v>0</v>
      </c>
      <c r="V152" s="41">
        <v>110402777.77777781</v>
      </c>
      <c r="W152" s="41">
        <v>377777.77777777781</v>
      </c>
      <c r="X152" s="38">
        <f t="shared" si="12"/>
        <v>0.22080555555555562</v>
      </c>
      <c r="Y152" s="39">
        <f t="shared" si="13"/>
        <v>7.5555555555555565E-4</v>
      </c>
      <c r="Z152" s="39">
        <f t="shared" ref="Z152:Z215" si="17">W152/V151</f>
        <v>3.4335630790981852E-3</v>
      </c>
      <c r="AA152" s="41">
        <f t="shared" si="14"/>
        <v>389597222.22222221</v>
      </c>
      <c r="AB152" s="39">
        <f t="shared" si="15"/>
        <v>9.6966240062742873E-4</v>
      </c>
      <c r="AC152" s="38">
        <f t="shared" si="16"/>
        <v>0.49726878884912534</v>
      </c>
      <c r="AD152" s="3"/>
    </row>
    <row r="153" spans="1:30" x14ac:dyDescent="0.25">
      <c r="A153" s="37">
        <v>45789</v>
      </c>
      <c r="B153" s="41">
        <v>1000000</v>
      </c>
      <c r="C153" s="41">
        <v>0</v>
      </c>
      <c r="D153" s="41">
        <v>2500000</v>
      </c>
      <c r="E153" s="41">
        <v>0</v>
      </c>
      <c r="F153" s="41">
        <v>3951388.888888889</v>
      </c>
      <c r="G153" s="41">
        <v>131944.44444444441</v>
      </c>
      <c r="H153" s="41">
        <v>50000000</v>
      </c>
      <c r="I153" s="41">
        <v>0</v>
      </c>
      <c r="J153" s="41">
        <v>0</v>
      </c>
      <c r="K153" s="41">
        <v>0</v>
      </c>
      <c r="L153" s="41">
        <v>0</v>
      </c>
      <c r="M153" s="41">
        <v>0</v>
      </c>
      <c r="N153" s="41">
        <v>13995833.3333333</v>
      </c>
      <c r="O153" s="41">
        <v>79166.666666666672</v>
      </c>
      <c r="P153" s="41">
        <v>36833333.333333403</v>
      </c>
      <c r="Q153" s="41">
        <v>166666.66666666669</v>
      </c>
      <c r="R153" s="41">
        <v>2500000</v>
      </c>
      <c r="S153" s="41">
        <v>0</v>
      </c>
      <c r="T153" s="41">
        <v>0</v>
      </c>
      <c r="U153" s="41">
        <v>0</v>
      </c>
      <c r="V153" s="41">
        <v>110780555.5555556</v>
      </c>
      <c r="W153" s="41">
        <v>377777.77777777781</v>
      </c>
      <c r="X153" s="38">
        <f t="shared" si="12"/>
        <v>0.22156111111111118</v>
      </c>
      <c r="Y153" s="39">
        <f t="shared" si="13"/>
        <v>7.5555555555555565E-4</v>
      </c>
      <c r="Z153" s="39">
        <f t="shared" si="17"/>
        <v>3.4218140646622209E-3</v>
      </c>
      <c r="AA153" s="41">
        <f t="shared" si="14"/>
        <v>389219444.44444442</v>
      </c>
      <c r="AB153" s="39">
        <f t="shared" si="15"/>
        <v>9.7060355840392824E-4</v>
      </c>
      <c r="AC153" s="38">
        <f t="shared" si="16"/>
        <v>0.49810300138988128</v>
      </c>
      <c r="AD153" s="3"/>
    </row>
    <row r="154" spans="1:30" x14ac:dyDescent="0.25">
      <c r="A154" s="37">
        <v>45790</v>
      </c>
      <c r="B154" s="41">
        <v>1000000</v>
      </c>
      <c r="C154" s="41">
        <v>0</v>
      </c>
      <c r="D154" s="41">
        <v>2500000</v>
      </c>
      <c r="E154" s="41">
        <v>0</v>
      </c>
      <c r="F154" s="41">
        <v>4083333.333333334</v>
      </c>
      <c r="G154" s="41">
        <v>131944.44444444441</v>
      </c>
      <c r="H154" s="41">
        <v>50000000</v>
      </c>
      <c r="I154" s="41">
        <v>0</v>
      </c>
      <c r="J154" s="41">
        <v>0</v>
      </c>
      <c r="K154" s="41">
        <v>0</v>
      </c>
      <c r="L154" s="41">
        <v>0</v>
      </c>
      <c r="M154" s="41">
        <v>0</v>
      </c>
      <c r="N154" s="41">
        <v>14074999.999999961</v>
      </c>
      <c r="O154" s="41">
        <v>79166.666666666672</v>
      </c>
      <c r="P154" s="41">
        <v>37000000.000000067</v>
      </c>
      <c r="Q154" s="41">
        <v>166666.66666666669</v>
      </c>
      <c r="R154" s="41">
        <v>2500000</v>
      </c>
      <c r="S154" s="41">
        <v>0</v>
      </c>
      <c r="T154" s="41">
        <v>0</v>
      </c>
      <c r="U154" s="41">
        <v>0</v>
      </c>
      <c r="V154" s="41">
        <v>111158333.3333334</v>
      </c>
      <c r="W154" s="41">
        <v>377777.77777777781</v>
      </c>
      <c r="X154" s="38">
        <f t="shared" si="12"/>
        <v>0.2223166666666668</v>
      </c>
      <c r="Y154" s="39">
        <f t="shared" si="13"/>
        <v>7.5555555555555565E-4</v>
      </c>
      <c r="Z154" s="39">
        <f t="shared" si="17"/>
        <v>3.4101451819161998E-3</v>
      </c>
      <c r="AA154" s="41">
        <f t="shared" si="14"/>
        <v>388841666.66666663</v>
      </c>
      <c r="AB154" s="39">
        <f t="shared" si="15"/>
        <v>9.7154654493759971E-4</v>
      </c>
      <c r="AC154" s="38">
        <f t="shared" si="16"/>
        <v>0.49893246432183475</v>
      </c>
      <c r="AD154" s="3"/>
    </row>
    <row r="155" spans="1:30" x14ac:dyDescent="0.25">
      <c r="A155" s="37">
        <v>45791</v>
      </c>
      <c r="B155" s="41">
        <v>1000000</v>
      </c>
      <c r="C155" s="41">
        <v>0</v>
      </c>
      <c r="D155" s="41">
        <v>2500000</v>
      </c>
      <c r="E155" s="41">
        <v>0</v>
      </c>
      <c r="F155" s="41">
        <v>4215277.777777778</v>
      </c>
      <c r="G155" s="41">
        <v>131944.44444444441</v>
      </c>
      <c r="H155" s="41">
        <v>50000000</v>
      </c>
      <c r="I155" s="41">
        <v>0</v>
      </c>
      <c r="J155" s="41">
        <v>0</v>
      </c>
      <c r="K155" s="41">
        <v>0</v>
      </c>
      <c r="L155" s="41">
        <v>0</v>
      </c>
      <c r="M155" s="41">
        <v>0</v>
      </c>
      <c r="N155" s="41">
        <v>14154166.666666631</v>
      </c>
      <c r="O155" s="41">
        <v>79166.666666666672</v>
      </c>
      <c r="P155" s="41">
        <v>37166666.666666731</v>
      </c>
      <c r="Q155" s="41">
        <v>166666.66666666669</v>
      </c>
      <c r="R155" s="41">
        <v>2500000</v>
      </c>
      <c r="S155" s="41">
        <v>0</v>
      </c>
      <c r="T155" s="41">
        <v>0</v>
      </c>
      <c r="U155" s="41">
        <v>0</v>
      </c>
      <c r="V155" s="41">
        <v>111536111.1111111</v>
      </c>
      <c r="W155" s="41">
        <v>377777.77777777781</v>
      </c>
      <c r="X155" s="38">
        <f t="shared" si="12"/>
        <v>0.2230722222222222</v>
      </c>
      <c r="Y155" s="39">
        <f t="shared" si="13"/>
        <v>7.5555555555555565E-4</v>
      </c>
      <c r="Z155" s="39">
        <f t="shared" si="17"/>
        <v>3.398555613864106E-3</v>
      </c>
      <c r="AA155" s="41">
        <f t="shared" si="14"/>
        <v>388463888.8888889</v>
      </c>
      <c r="AB155" s="39">
        <f t="shared" si="15"/>
        <v>9.7249136556379475E-4</v>
      </c>
      <c r="AC155" s="38">
        <f t="shared" si="16"/>
        <v>0.49975721809285611</v>
      </c>
      <c r="AD155" s="3"/>
    </row>
    <row r="156" spans="1:30" x14ac:dyDescent="0.25">
      <c r="A156" s="37">
        <v>45792</v>
      </c>
      <c r="B156" s="41">
        <v>1000000</v>
      </c>
      <c r="C156" s="41">
        <v>0</v>
      </c>
      <c r="D156" s="41">
        <v>2500000</v>
      </c>
      <c r="E156" s="41">
        <v>0</v>
      </c>
      <c r="F156" s="41">
        <v>4347222.222222222</v>
      </c>
      <c r="G156" s="41">
        <v>131944.44444444441</v>
      </c>
      <c r="H156" s="41">
        <v>50000000</v>
      </c>
      <c r="I156" s="41">
        <v>0</v>
      </c>
      <c r="J156" s="41">
        <v>0</v>
      </c>
      <c r="K156" s="41">
        <v>0</v>
      </c>
      <c r="L156" s="41">
        <v>0</v>
      </c>
      <c r="M156" s="41">
        <v>0</v>
      </c>
      <c r="N156" s="41">
        <v>14233333.3333333</v>
      </c>
      <c r="O156" s="41">
        <v>79166.666666666672</v>
      </c>
      <c r="P156" s="41">
        <v>37333333.333333403</v>
      </c>
      <c r="Q156" s="41">
        <v>166666.66666666669</v>
      </c>
      <c r="R156" s="41">
        <v>2500000</v>
      </c>
      <c r="S156" s="41">
        <v>0</v>
      </c>
      <c r="T156" s="41">
        <v>0</v>
      </c>
      <c r="U156" s="41">
        <v>0</v>
      </c>
      <c r="V156" s="41">
        <v>111913888.8888889</v>
      </c>
      <c r="W156" s="41">
        <v>377777.77777777781</v>
      </c>
      <c r="X156" s="38">
        <f t="shared" si="12"/>
        <v>0.22382777777777779</v>
      </c>
      <c r="Y156" s="39">
        <f t="shared" si="13"/>
        <v>7.5555555555555565E-4</v>
      </c>
      <c r="Z156" s="39">
        <f t="shared" si="17"/>
        <v>3.3870445545787367E-3</v>
      </c>
      <c r="AA156" s="41">
        <f t="shared" si="14"/>
        <v>388086111.1111111</v>
      </c>
      <c r="AB156" s="39">
        <f t="shared" si="15"/>
        <v>9.7343802563863984E-4</v>
      </c>
      <c r="AC156" s="38">
        <f t="shared" si="16"/>
        <v>0.50057730269283907</v>
      </c>
      <c r="AD156" s="3"/>
    </row>
    <row r="157" spans="1:30" x14ac:dyDescent="0.25">
      <c r="A157" s="37">
        <v>45793</v>
      </c>
      <c r="B157" s="41">
        <v>1000000</v>
      </c>
      <c r="C157" s="41">
        <v>0</v>
      </c>
      <c r="D157" s="41">
        <v>2500000</v>
      </c>
      <c r="E157" s="41">
        <v>0</v>
      </c>
      <c r="F157" s="41">
        <v>4479166.666666666</v>
      </c>
      <c r="G157" s="41">
        <v>131944.44444444441</v>
      </c>
      <c r="H157" s="41">
        <v>50000000</v>
      </c>
      <c r="I157" s="41">
        <v>0</v>
      </c>
      <c r="J157" s="41">
        <v>0</v>
      </c>
      <c r="K157" s="41">
        <v>0</v>
      </c>
      <c r="L157" s="41">
        <v>0</v>
      </c>
      <c r="M157" s="41">
        <v>0</v>
      </c>
      <c r="N157" s="41">
        <v>14312499.999999961</v>
      </c>
      <c r="O157" s="41">
        <v>79166.666666666672</v>
      </c>
      <c r="P157" s="41">
        <v>37500000.00000006</v>
      </c>
      <c r="Q157" s="41">
        <v>166666.66666666669</v>
      </c>
      <c r="R157" s="41">
        <v>2500000</v>
      </c>
      <c r="S157" s="41">
        <v>0</v>
      </c>
      <c r="T157" s="41">
        <v>0</v>
      </c>
      <c r="U157" s="41">
        <v>0</v>
      </c>
      <c r="V157" s="41">
        <v>112291666.6666667</v>
      </c>
      <c r="W157" s="41">
        <v>377777.77777777781</v>
      </c>
      <c r="X157" s="38">
        <f t="shared" si="12"/>
        <v>0.22458333333333341</v>
      </c>
      <c r="Y157" s="39">
        <f t="shared" si="13"/>
        <v>7.5555555555555565E-4</v>
      </c>
      <c r="Z157" s="39">
        <f t="shared" si="17"/>
        <v>3.3756112090148676E-3</v>
      </c>
      <c r="AA157" s="41">
        <f t="shared" si="14"/>
        <v>387708333.33333331</v>
      </c>
      <c r="AB157" s="39">
        <f t="shared" si="15"/>
        <v>9.7438653053913676E-4</v>
      </c>
      <c r="AC157" s="38">
        <f t="shared" si="16"/>
        <v>0.50139275766016811</v>
      </c>
      <c r="AD157" s="3"/>
    </row>
    <row r="158" spans="1:30" x14ac:dyDescent="0.25">
      <c r="A158" s="37">
        <v>45794</v>
      </c>
      <c r="B158" s="41">
        <v>1000000</v>
      </c>
      <c r="C158" s="41">
        <v>0</v>
      </c>
      <c r="D158" s="41">
        <v>2500000</v>
      </c>
      <c r="E158" s="41">
        <v>0</v>
      </c>
      <c r="F158" s="41">
        <v>4611111.1111111101</v>
      </c>
      <c r="G158" s="41">
        <v>131944.44444444441</v>
      </c>
      <c r="H158" s="41">
        <v>50000000</v>
      </c>
      <c r="I158" s="41">
        <v>0</v>
      </c>
      <c r="J158" s="41">
        <v>0</v>
      </c>
      <c r="K158" s="41">
        <v>0</v>
      </c>
      <c r="L158" s="41">
        <v>0</v>
      </c>
      <c r="M158" s="41">
        <v>0</v>
      </c>
      <c r="N158" s="41">
        <v>14391666.666666631</v>
      </c>
      <c r="O158" s="41">
        <v>79166.666666666672</v>
      </c>
      <c r="P158" s="41">
        <v>37666666.666666716</v>
      </c>
      <c r="Q158" s="41">
        <v>166666.66666666669</v>
      </c>
      <c r="R158" s="41">
        <v>2500000</v>
      </c>
      <c r="S158" s="41">
        <v>0</v>
      </c>
      <c r="T158" s="41">
        <v>0</v>
      </c>
      <c r="U158" s="41">
        <v>0</v>
      </c>
      <c r="V158" s="41">
        <v>112669444.44444451</v>
      </c>
      <c r="W158" s="41">
        <v>377777.77777777781</v>
      </c>
      <c r="X158" s="38">
        <f t="shared" si="12"/>
        <v>0.22533888888888901</v>
      </c>
      <c r="Y158" s="39">
        <f t="shared" si="13"/>
        <v>7.5555555555555565E-4</v>
      </c>
      <c r="Z158" s="39">
        <f t="shared" si="17"/>
        <v>3.3642547928262206E-3</v>
      </c>
      <c r="AA158" s="41">
        <f t="shared" si="14"/>
        <v>387330555.55555546</v>
      </c>
      <c r="AB158" s="39">
        <f t="shared" si="15"/>
        <v>9.7533688566326521E-4</v>
      </c>
      <c r="AC158" s="38">
        <f t="shared" si="16"/>
        <v>0.50220362208807134</v>
      </c>
      <c r="AD158" s="3"/>
    </row>
    <row r="159" spans="1:30" x14ac:dyDescent="0.25">
      <c r="A159" s="37">
        <v>45795</v>
      </c>
      <c r="B159" s="41">
        <v>1000000</v>
      </c>
      <c r="C159" s="41">
        <v>0</v>
      </c>
      <c r="D159" s="41">
        <v>2500000</v>
      </c>
      <c r="E159" s="41">
        <v>0</v>
      </c>
      <c r="F159" s="41">
        <v>4743055.5555555541</v>
      </c>
      <c r="G159" s="41">
        <v>131944.44444444441</v>
      </c>
      <c r="H159" s="41">
        <v>50000000</v>
      </c>
      <c r="I159" s="41">
        <v>0</v>
      </c>
      <c r="J159" s="41">
        <v>0</v>
      </c>
      <c r="K159" s="41">
        <v>0</v>
      </c>
      <c r="L159" s="41">
        <v>0</v>
      </c>
      <c r="M159" s="41">
        <v>0</v>
      </c>
      <c r="N159" s="41">
        <v>14470833.333333289</v>
      </c>
      <c r="O159" s="41">
        <v>79166.666666666672</v>
      </c>
      <c r="P159" s="41">
        <v>37833333.333333388</v>
      </c>
      <c r="Q159" s="41">
        <v>166666.66666666669</v>
      </c>
      <c r="R159" s="41">
        <v>2500000</v>
      </c>
      <c r="S159" s="41">
        <v>0</v>
      </c>
      <c r="T159" s="41">
        <v>0</v>
      </c>
      <c r="U159" s="41">
        <v>0</v>
      </c>
      <c r="V159" s="41">
        <v>113047222.22222219</v>
      </c>
      <c r="W159" s="41">
        <v>377777.77777777781</v>
      </c>
      <c r="X159" s="38">
        <f t="shared" si="12"/>
        <v>0.22609444444444438</v>
      </c>
      <c r="Y159" s="39">
        <f t="shared" si="13"/>
        <v>7.5555555555555565E-4</v>
      </c>
      <c r="Z159" s="39">
        <f t="shared" si="17"/>
        <v>3.3529745321860885E-3</v>
      </c>
      <c r="AA159" s="41">
        <f t="shared" si="14"/>
        <v>386952777.77777779</v>
      </c>
      <c r="AB159" s="39">
        <f t="shared" si="15"/>
        <v>9.7628909643008416E-4</v>
      </c>
      <c r="AC159" s="38">
        <f t="shared" si="16"/>
        <v>0.50300993463086885</v>
      </c>
      <c r="AD159" s="3"/>
    </row>
    <row r="160" spans="1:30" x14ac:dyDescent="0.25">
      <c r="A160" s="37">
        <v>45796</v>
      </c>
      <c r="B160" s="41">
        <v>1000000</v>
      </c>
      <c r="C160" s="41">
        <v>0</v>
      </c>
      <c r="D160" s="41">
        <v>2500000</v>
      </c>
      <c r="E160" s="41">
        <v>0</v>
      </c>
      <c r="F160" s="41">
        <v>4874999.9999999981</v>
      </c>
      <c r="G160" s="41">
        <v>131944.44444444441</v>
      </c>
      <c r="H160" s="41">
        <v>50000000</v>
      </c>
      <c r="I160" s="41">
        <v>0</v>
      </c>
      <c r="J160" s="41">
        <v>0</v>
      </c>
      <c r="K160" s="41">
        <v>0</v>
      </c>
      <c r="L160" s="41">
        <v>0</v>
      </c>
      <c r="M160" s="41">
        <v>0</v>
      </c>
      <c r="N160" s="41">
        <v>14549999.999999961</v>
      </c>
      <c r="O160" s="41">
        <v>79166.666666666672</v>
      </c>
      <c r="P160" s="41">
        <v>38000000.000000052</v>
      </c>
      <c r="Q160" s="41">
        <v>166666.66666666669</v>
      </c>
      <c r="R160" s="41">
        <v>2500000</v>
      </c>
      <c r="S160" s="41">
        <v>0</v>
      </c>
      <c r="T160" s="41">
        <v>0</v>
      </c>
      <c r="U160" s="41">
        <v>0</v>
      </c>
      <c r="V160" s="41">
        <v>113425000</v>
      </c>
      <c r="W160" s="41">
        <v>377777.77777777781</v>
      </c>
      <c r="X160" s="38">
        <f t="shared" si="12"/>
        <v>0.22685</v>
      </c>
      <c r="Y160" s="39">
        <f t="shared" si="13"/>
        <v>7.5555555555555565E-4</v>
      </c>
      <c r="Z160" s="39">
        <f t="shared" si="17"/>
        <v>3.3417696636115694E-3</v>
      </c>
      <c r="AA160" s="41">
        <f t="shared" si="14"/>
        <v>386575000</v>
      </c>
      <c r="AB160" s="39">
        <f t="shared" si="15"/>
        <v>9.772431682798365E-4</v>
      </c>
      <c r="AC160" s="38">
        <f t="shared" si="16"/>
        <v>0.50381173351011044</v>
      </c>
      <c r="AD160" s="3"/>
    </row>
    <row r="161" spans="1:30" x14ac:dyDescent="0.25">
      <c r="A161" s="37">
        <v>45797</v>
      </c>
      <c r="B161" s="41">
        <v>1000000</v>
      </c>
      <c r="C161" s="41">
        <v>0</v>
      </c>
      <c r="D161" s="41">
        <v>2500000</v>
      </c>
      <c r="E161" s="41">
        <v>0</v>
      </c>
      <c r="F161" s="41">
        <v>5006944.4444444422</v>
      </c>
      <c r="G161" s="41">
        <v>131944.44444444441</v>
      </c>
      <c r="H161" s="41">
        <v>50000000</v>
      </c>
      <c r="I161" s="41">
        <v>0</v>
      </c>
      <c r="J161" s="41">
        <v>0</v>
      </c>
      <c r="K161" s="41">
        <v>0</v>
      </c>
      <c r="L161" s="41">
        <v>0</v>
      </c>
      <c r="M161" s="41">
        <v>0</v>
      </c>
      <c r="N161" s="41">
        <v>14629166.666666631</v>
      </c>
      <c r="O161" s="41">
        <v>79166.666666666672</v>
      </c>
      <c r="P161" s="41">
        <v>38166666.666666716</v>
      </c>
      <c r="Q161" s="41">
        <v>166666.66666666669</v>
      </c>
      <c r="R161" s="41">
        <v>2500000</v>
      </c>
      <c r="S161" s="41">
        <v>0</v>
      </c>
      <c r="T161" s="41">
        <v>0</v>
      </c>
      <c r="U161" s="41">
        <v>0</v>
      </c>
      <c r="V161" s="41">
        <v>113802777.77777781</v>
      </c>
      <c r="W161" s="41">
        <v>377777.77777777781</v>
      </c>
      <c r="X161" s="38">
        <f t="shared" si="12"/>
        <v>0.22760555555555562</v>
      </c>
      <c r="Y161" s="39">
        <f t="shared" si="13"/>
        <v>7.5555555555555565E-4</v>
      </c>
      <c r="Z161" s="39">
        <f t="shared" si="17"/>
        <v>3.3306394337912965E-3</v>
      </c>
      <c r="AA161" s="41">
        <f t="shared" si="14"/>
        <v>386197222.22222221</v>
      </c>
      <c r="AB161" s="39">
        <f t="shared" si="15"/>
        <v>9.7819910667405123E-4</v>
      </c>
      <c r="AC161" s="38">
        <f t="shared" si="16"/>
        <v>0.50460905652062216</v>
      </c>
      <c r="AD161" s="3"/>
    </row>
    <row r="162" spans="1:30" x14ac:dyDescent="0.25">
      <c r="A162" s="37">
        <v>45798</v>
      </c>
      <c r="B162" s="41">
        <v>1000000</v>
      </c>
      <c r="C162" s="41">
        <v>0</v>
      </c>
      <c r="D162" s="41">
        <v>2500000</v>
      </c>
      <c r="E162" s="41">
        <v>0</v>
      </c>
      <c r="F162" s="41">
        <v>5138888.8888888862</v>
      </c>
      <c r="G162" s="41">
        <v>131944.44444444441</v>
      </c>
      <c r="H162" s="41">
        <v>50000000</v>
      </c>
      <c r="I162" s="41">
        <v>0</v>
      </c>
      <c r="J162" s="41">
        <v>0</v>
      </c>
      <c r="K162" s="41">
        <v>0</v>
      </c>
      <c r="L162" s="41">
        <v>0</v>
      </c>
      <c r="M162" s="41">
        <v>0</v>
      </c>
      <c r="N162" s="41">
        <v>14708333.333333289</v>
      </c>
      <c r="O162" s="41">
        <v>79166.666666666672</v>
      </c>
      <c r="P162" s="41">
        <v>38333333.333333381</v>
      </c>
      <c r="Q162" s="41">
        <v>166666.66666666669</v>
      </c>
      <c r="R162" s="41">
        <v>2500000</v>
      </c>
      <c r="S162" s="41">
        <v>0</v>
      </c>
      <c r="T162" s="41">
        <v>0</v>
      </c>
      <c r="U162" s="41">
        <v>0</v>
      </c>
      <c r="V162" s="41">
        <v>114180555.5555556</v>
      </c>
      <c r="W162" s="41">
        <v>377777.77777777781</v>
      </c>
      <c r="X162" s="38">
        <f t="shared" si="12"/>
        <v>0.22836111111111118</v>
      </c>
      <c r="Y162" s="39">
        <f t="shared" si="13"/>
        <v>7.5555555555555565E-4</v>
      </c>
      <c r="Z162" s="39">
        <f t="shared" si="17"/>
        <v>3.3195830994166317E-3</v>
      </c>
      <c r="AA162" s="41">
        <f t="shared" si="14"/>
        <v>385819444.44444442</v>
      </c>
      <c r="AB162" s="39">
        <f t="shared" si="15"/>
        <v>9.7915691709564803E-4</v>
      </c>
      <c r="AC162" s="38">
        <f t="shared" si="16"/>
        <v>0.50540194103644087</v>
      </c>
      <c r="AD162" s="3"/>
    </row>
    <row r="163" spans="1:30" x14ac:dyDescent="0.25">
      <c r="A163" s="37">
        <v>45799</v>
      </c>
      <c r="B163" s="41">
        <v>1000000</v>
      </c>
      <c r="C163" s="41">
        <v>0</v>
      </c>
      <c r="D163" s="41">
        <v>2500000</v>
      </c>
      <c r="E163" s="41">
        <v>0</v>
      </c>
      <c r="F163" s="41">
        <v>5270833.3333333302</v>
      </c>
      <c r="G163" s="41">
        <v>131944.44444444441</v>
      </c>
      <c r="H163" s="41">
        <v>50000000</v>
      </c>
      <c r="I163" s="41">
        <v>0</v>
      </c>
      <c r="J163" s="41">
        <v>0</v>
      </c>
      <c r="K163" s="41">
        <v>0</v>
      </c>
      <c r="L163" s="41">
        <v>0</v>
      </c>
      <c r="M163" s="41">
        <v>0</v>
      </c>
      <c r="N163" s="41">
        <v>14787499.999999961</v>
      </c>
      <c r="O163" s="41">
        <v>79166.666666666672</v>
      </c>
      <c r="P163" s="41">
        <v>38500000.000000037</v>
      </c>
      <c r="Q163" s="41">
        <v>166666.66666666669</v>
      </c>
      <c r="R163" s="41">
        <v>2500000</v>
      </c>
      <c r="S163" s="41">
        <v>0</v>
      </c>
      <c r="T163" s="41">
        <v>0</v>
      </c>
      <c r="U163" s="41">
        <v>0</v>
      </c>
      <c r="V163" s="41">
        <v>114558333.3333333</v>
      </c>
      <c r="W163" s="41">
        <v>377777.77777777781</v>
      </c>
      <c r="X163" s="38">
        <f t="shared" si="12"/>
        <v>0.22911666666666661</v>
      </c>
      <c r="Y163" s="39">
        <f t="shared" si="13"/>
        <v>7.5555555555555565E-4</v>
      </c>
      <c r="Z163" s="39">
        <f t="shared" si="17"/>
        <v>3.3085999270161771E-3</v>
      </c>
      <c r="AA163" s="41">
        <f t="shared" si="14"/>
        <v>385441666.66666669</v>
      </c>
      <c r="AB163" s="39">
        <f t="shared" si="15"/>
        <v>9.8011660504904196E-4</v>
      </c>
      <c r="AC163" s="38">
        <f t="shared" si="16"/>
        <v>0.50619042401665493</v>
      </c>
      <c r="AD163" s="3"/>
    </row>
    <row r="164" spans="1:30" x14ac:dyDescent="0.25">
      <c r="A164" s="37">
        <v>45800</v>
      </c>
      <c r="B164" s="41">
        <v>1000000</v>
      </c>
      <c r="C164" s="41">
        <v>0</v>
      </c>
      <c r="D164" s="41">
        <v>2500000</v>
      </c>
      <c r="E164" s="41">
        <v>0</v>
      </c>
      <c r="F164" s="41">
        <v>5402777.7777777743</v>
      </c>
      <c r="G164" s="41">
        <v>131944.44444444441</v>
      </c>
      <c r="H164" s="41">
        <v>50000000</v>
      </c>
      <c r="I164" s="41">
        <v>0</v>
      </c>
      <c r="J164" s="41">
        <v>0</v>
      </c>
      <c r="K164" s="41">
        <v>0</v>
      </c>
      <c r="L164" s="41">
        <v>0</v>
      </c>
      <c r="M164" s="41">
        <v>0</v>
      </c>
      <c r="N164" s="41">
        <v>14866666.666666631</v>
      </c>
      <c r="O164" s="41">
        <v>79166.666666666672</v>
      </c>
      <c r="P164" s="41">
        <v>38666666.666666709</v>
      </c>
      <c r="Q164" s="41">
        <v>166666.66666666669</v>
      </c>
      <c r="R164" s="41">
        <v>2500000</v>
      </c>
      <c r="S164" s="41">
        <v>0</v>
      </c>
      <c r="T164" s="41">
        <v>0</v>
      </c>
      <c r="U164" s="41">
        <v>0</v>
      </c>
      <c r="V164" s="41">
        <v>114936111.1111111</v>
      </c>
      <c r="W164" s="41">
        <v>377777.77777777781</v>
      </c>
      <c r="X164" s="38">
        <f t="shared" si="12"/>
        <v>0.2298722222222222</v>
      </c>
      <c r="Y164" s="39">
        <f t="shared" si="13"/>
        <v>7.5555555555555565E-4</v>
      </c>
      <c r="Z164" s="39">
        <f t="shared" si="17"/>
        <v>3.2976891927935805E-3</v>
      </c>
      <c r="AA164" s="41">
        <f t="shared" si="14"/>
        <v>385063888.8888889</v>
      </c>
      <c r="AB164" s="39">
        <f t="shared" si="15"/>
        <v>9.8107817606024974E-4</v>
      </c>
      <c r="AC164" s="38">
        <f t="shared" si="16"/>
        <v>0.50697454201114567</v>
      </c>
      <c r="AD164" s="3"/>
    </row>
    <row r="165" spans="1:30" x14ac:dyDescent="0.25">
      <c r="A165" s="37">
        <v>45801</v>
      </c>
      <c r="B165" s="41">
        <v>1000000</v>
      </c>
      <c r="C165" s="41">
        <v>0</v>
      </c>
      <c r="D165" s="41">
        <v>2500000</v>
      </c>
      <c r="E165" s="41">
        <v>0</v>
      </c>
      <c r="F165" s="41">
        <v>5534722.2222222183</v>
      </c>
      <c r="G165" s="41">
        <v>131944.44444444441</v>
      </c>
      <c r="H165" s="41">
        <v>50000000</v>
      </c>
      <c r="I165" s="41">
        <v>0</v>
      </c>
      <c r="J165" s="41">
        <v>0</v>
      </c>
      <c r="K165" s="41">
        <v>0</v>
      </c>
      <c r="L165" s="41">
        <v>0</v>
      </c>
      <c r="M165" s="41">
        <v>0</v>
      </c>
      <c r="N165" s="41">
        <v>14945833.333333289</v>
      </c>
      <c r="O165" s="41">
        <v>79166.666666666672</v>
      </c>
      <c r="P165" s="41">
        <v>38833333.333333373</v>
      </c>
      <c r="Q165" s="41">
        <v>166666.66666666669</v>
      </c>
      <c r="R165" s="41">
        <v>2500000</v>
      </c>
      <c r="S165" s="41">
        <v>0</v>
      </c>
      <c r="T165" s="41">
        <v>0</v>
      </c>
      <c r="U165" s="41">
        <v>0</v>
      </c>
      <c r="V165" s="41">
        <v>115313888.8888889</v>
      </c>
      <c r="W165" s="41">
        <v>377777.77777777781</v>
      </c>
      <c r="X165" s="38">
        <f t="shared" si="12"/>
        <v>0.23062777777777779</v>
      </c>
      <c r="Y165" s="39">
        <f t="shared" si="13"/>
        <v>7.5555555555555565E-4</v>
      </c>
      <c r="Z165" s="39">
        <f t="shared" si="17"/>
        <v>3.2868501824685216E-3</v>
      </c>
      <c r="AA165" s="41">
        <f t="shared" si="14"/>
        <v>384686111.1111111</v>
      </c>
      <c r="AB165" s="39">
        <f t="shared" si="15"/>
        <v>9.820416356769951E-4</v>
      </c>
      <c r="AC165" s="38">
        <f t="shared" si="16"/>
        <v>0.50775433116623758</v>
      </c>
      <c r="AD165" s="3"/>
    </row>
    <row r="166" spans="1:30" x14ac:dyDescent="0.25">
      <c r="A166" s="37">
        <v>45802</v>
      </c>
      <c r="B166" s="41">
        <v>1000000</v>
      </c>
      <c r="C166" s="41">
        <v>0</v>
      </c>
      <c r="D166" s="41">
        <v>2500000</v>
      </c>
      <c r="E166" s="41">
        <v>0</v>
      </c>
      <c r="F166" s="41">
        <v>5666666.6666666623</v>
      </c>
      <c r="G166" s="41">
        <v>131944.44444444441</v>
      </c>
      <c r="H166" s="41">
        <v>50000000</v>
      </c>
      <c r="I166" s="41">
        <v>0</v>
      </c>
      <c r="J166" s="41">
        <v>0</v>
      </c>
      <c r="K166" s="41">
        <v>0</v>
      </c>
      <c r="L166" s="41">
        <v>0</v>
      </c>
      <c r="M166" s="41">
        <v>0</v>
      </c>
      <c r="N166" s="41">
        <v>15024999.999999961</v>
      </c>
      <c r="O166" s="41">
        <v>79166.666666666672</v>
      </c>
      <c r="P166" s="41">
        <v>39000000.000000037</v>
      </c>
      <c r="Q166" s="41">
        <v>166666.66666666669</v>
      </c>
      <c r="R166" s="41">
        <v>2500000</v>
      </c>
      <c r="S166" s="41">
        <v>0</v>
      </c>
      <c r="T166" s="41">
        <v>0</v>
      </c>
      <c r="U166" s="41">
        <v>0</v>
      </c>
      <c r="V166" s="41">
        <v>115691666.6666667</v>
      </c>
      <c r="W166" s="41">
        <v>377777.77777777781</v>
      </c>
      <c r="X166" s="38">
        <f t="shared" si="12"/>
        <v>0.23138333333333341</v>
      </c>
      <c r="Y166" s="39">
        <f t="shared" si="13"/>
        <v>7.5555555555555565E-4</v>
      </c>
      <c r="Z166" s="39">
        <f t="shared" si="17"/>
        <v>3.276082191120854E-3</v>
      </c>
      <c r="AA166" s="41">
        <f t="shared" si="14"/>
        <v>384308333.33333331</v>
      </c>
      <c r="AB166" s="39">
        <f t="shared" si="15"/>
        <v>9.8300698946881485E-4</v>
      </c>
      <c r="AC166" s="38">
        <f t="shared" si="16"/>
        <v>0.50852982723025153</v>
      </c>
      <c r="AD166" s="3"/>
    </row>
    <row r="167" spans="1:30" x14ac:dyDescent="0.25">
      <c r="A167" s="37">
        <v>45803</v>
      </c>
      <c r="B167" s="41">
        <v>1000000</v>
      </c>
      <c r="C167" s="41">
        <v>0</v>
      </c>
      <c r="D167" s="41">
        <v>2500000</v>
      </c>
      <c r="E167" s="41">
        <v>0</v>
      </c>
      <c r="F167" s="41">
        <v>5798611.1111111064</v>
      </c>
      <c r="G167" s="41">
        <v>131944.44444444441</v>
      </c>
      <c r="H167" s="41">
        <v>50000000</v>
      </c>
      <c r="I167" s="41">
        <v>0</v>
      </c>
      <c r="J167" s="41">
        <v>0</v>
      </c>
      <c r="K167" s="41">
        <v>0</v>
      </c>
      <c r="L167" s="41">
        <v>0</v>
      </c>
      <c r="M167" s="41">
        <v>0</v>
      </c>
      <c r="N167" s="41">
        <v>15104166.666666619</v>
      </c>
      <c r="O167" s="41">
        <v>79166.666666666672</v>
      </c>
      <c r="P167" s="41">
        <v>39166666.666666701</v>
      </c>
      <c r="Q167" s="41">
        <v>166666.66666666669</v>
      </c>
      <c r="R167" s="41">
        <v>2500000</v>
      </c>
      <c r="S167" s="41">
        <v>0</v>
      </c>
      <c r="T167" s="41">
        <v>0</v>
      </c>
      <c r="U167" s="41">
        <v>0</v>
      </c>
      <c r="V167" s="41">
        <v>116069444.4444444</v>
      </c>
      <c r="W167" s="41">
        <v>377777.77777777781</v>
      </c>
      <c r="X167" s="38">
        <f t="shared" si="12"/>
        <v>0.23213888888888881</v>
      </c>
      <c r="Y167" s="39">
        <f t="shared" si="13"/>
        <v>7.5555555555555565E-4</v>
      </c>
      <c r="Z167" s="39">
        <f t="shared" si="17"/>
        <v>3.2653845230377673E-3</v>
      </c>
      <c r="AA167" s="41">
        <f t="shared" si="14"/>
        <v>383930555.55555558</v>
      </c>
      <c r="AB167" s="39">
        <f t="shared" si="15"/>
        <v>9.8397424302716792E-4</v>
      </c>
      <c r="AC167" s="38">
        <f t="shared" si="16"/>
        <v>0.50930106555896792</v>
      </c>
      <c r="AD167" s="3"/>
    </row>
    <row r="168" spans="1:30" x14ac:dyDescent="0.25">
      <c r="A168" s="37">
        <v>45804</v>
      </c>
      <c r="B168" s="41">
        <v>1000000</v>
      </c>
      <c r="C168" s="41">
        <v>0</v>
      </c>
      <c r="D168" s="41">
        <v>2500000</v>
      </c>
      <c r="E168" s="41">
        <v>0</v>
      </c>
      <c r="F168" s="41">
        <v>5930555.5555555504</v>
      </c>
      <c r="G168" s="41">
        <v>131944.44444444441</v>
      </c>
      <c r="H168" s="41">
        <v>50000000</v>
      </c>
      <c r="I168" s="41">
        <v>0</v>
      </c>
      <c r="J168" s="41">
        <v>0</v>
      </c>
      <c r="K168" s="41">
        <v>0</v>
      </c>
      <c r="L168" s="41">
        <v>0</v>
      </c>
      <c r="M168" s="41">
        <v>0</v>
      </c>
      <c r="N168" s="41">
        <v>15183333.333333289</v>
      </c>
      <c r="O168" s="41">
        <v>79166.666666666672</v>
      </c>
      <c r="P168" s="41">
        <v>39333333.333333373</v>
      </c>
      <c r="Q168" s="41">
        <v>166666.66666666669</v>
      </c>
      <c r="R168" s="41">
        <v>2500000</v>
      </c>
      <c r="S168" s="41">
        <v>0</v>
      </c>
      <c r="T168" s="41">
        <v>0</v>
      </c>
      <c r="U168" s="41">
        <v>0</v>
      </c>
      <c r="V168" s="41">
        <v>116447222.22222219</v>
      </c>
      <c r="W168" s="41">
        <v>377777.77777777781</v>
      </c>
      <c r="X168" s="38">
        <f t="shared" si="12"/>
        <v>0.23289444444444438</v>
      </c>
      <c r="Y168" s="39">
        <f t="shared" si="13"/>
        <v>7.5555555555555565E-4</v>
      </c>
      <c r="Z168" s="39">
        <f t="shared" si="17"/>
        <v>3.2547564915639598E-3</v>
      </c>
      <c r="AA168" s="41">
        <f t="shared" si="14"/>
        <v>383552777.77777779</v>
      </c>
      <c r="AB168" s="39">
        <f t="shared" si="15"/>
        <v>9.8494340196554142E-4</v>
      </c>
      <c r="AC168" s="38">
        <f t="shared" si="16"/>
        <v>0.510068081120998</v>
      </c>
      <c r="AD168" s="3"/>
    </row>
    <row r="169" spans="1:30" x14ac:dyDescent="0.25">
      <c r="A169" s="37">
        <v>45805</v>
      </c>
      <c r="B169" s="41">
        <v>1000000</v>
      </c>
      <c r="C169" s="41">
        <v>0</v>
      </c>
      <c r="D169" s="41">
        <v>2500000</v>
      </c>
      <c r="E169" s="41">
        <v>0</v>
      </c>
      <c r="F169" s="41">
        <v>6062499.9999999944</v>
      </c>
      <c r="G169" s="41">
        <v>131944.44444444441</v>
      </c>
      <c r="H169" s="41">
        <v>50000000</v>
      </c>
      <c r="I169" s="41">
        <v>0</v>
      </c>
      <c r="J169" s="41">
        <v>0</v>
      </c>
      <c r="K169" s="41">
        <v>0</v>
      </c>
      <c r="L169" s="41">
        <v>0</v>
      </c>
      <c r="M169" s="41">
        <v>0</v>
      </c>
      <c r="N169" s="41">
        <v>15262499.999999961</v>
      </c>
      <c r="O169" s="41">
        <v>79166.666666666672</v>
      </c>
      <c r="P169" s="41">
        <v>39500000.00000003</v>
      </c>
      <c r="Q169" s="41">
        <v>166666.66666666669</v>
      </c>
      <c r="R169" s="41">
        <v>2500000</v>
      </c>
      <c r="S169" s="41">
        <v>0</v>
      </c>
      <c r="T169" s="41">
        <v>0</v>
      </c>
      <c r="U169" s="41">
        <v>0</v>
      </c>
      <c r="V169" s="41">
        <v>116825000</v>
      </c>
      <c r="W169" s="41">
        <v>377777.77777777781</v>
      </c>
      <c r="X169" s="38">
        <f t="shared" si="12"/>
        <v>0.23365</v>
      </c>
      <c r="Y169" s="39">
        <f t="shared" si="13"/>
        <v>7.5555555555555565E-4</v>
      </c>
      <c r="Z169" s="39">
        <f t="shared" si="17"/>
        <v>3.2441974189547015E-3</v>
      </c>
      <c r="AA169" s="41">
        <f t="shared" si="14"/>
        <v>383175000</v>
      </c>
      <c r="AB169" s="39">
        <f t="shared" si="15"/>
        <v>9.85914471919561E-4</v>
      </c>
      <c r="AC169" s="38">
        <f t="shared" si="16"/>
        <v>0.510830908503072</v>
      </c>
      <c r="AD169" s="3"/>
    </row>
    <row r="170" spans="1:30" x14ac:dyDescent="0.25">
      <c r="A170" s="37">
        <v>45806</v>
      </c>
      <c r="B170" s="41">
        <v>1000000</v>
      </c>
      <c r="C170" s="41">
        <v>0</v>
      </c>
      <c r="D170" s="41">
        <v>2500000</v>
      </c>
      <c r="E170" s="41">
        <v>0</v>
      </c>
      <c r="F170" s="41">
        <v>6194444.4444444384</v>
      </c>
      <c r="G170" s="41">
        <v>131944.44444444441</v>
      </c>
      <c r="H170" s="41">
        <v>50000000</v>
      </c>
      <c r="I170" s="41">
        <v>0</v>
      </c>
      <c r="J170" s="41">
        <v>0</v>
      </c>
      <c r="K170" s="41">
        <v>0</v>
      </c>
      <c r="L170" s="41">
        <v>0</v>
      </c>
      <c r="M170" s="41">
        <v>0</v>
      </c>
      <c r="N170" s="41">
        <v>15341666.666666619</v>
      </c>
      <c r="O170" s="41">
        <v>79166.666666666672</v>
      </c>
      <c r="P170" s="41">
        <v>39666666.666666687</v>
      </c>
      <c r="Q170" s="41">
        <v>166666.66666666669</v>
      </c>
      <c r="R170" s="41">
        <v>2500000</v>
      </c>
      <c r="S170" s="41">
        <v>0</v>
      </c>
      <c r="T170" s="41">
        <v>0</v>
      </c>
      <c r="U170" s="41">
        <v>0</v>
      </c>
      <c r="V170" s="41">
        <v>117202777.77777781</v>
      </c>
      <c r="W170" s="41">
        <v>377777.77777777781</v>
      </c>
      <c r="X170" s="38">
        <f t="shared" si="12"/>
        <v>0.23440555555555562</v>
      </c>
      <c r="Y170" s="39">
        <f t="shared" si="13"/>
        <v>7.5555555555555565E-4</v>
      </c>
      <c r="Z170" s="39">
        <f t="shared" si="17"/>
        <v>3.2337066362317811E-3</v>
      </c>
      <c r="AA170" s="41">
        <f t="shared" si="14"/>
        <v>382797222.22222221</v>
      </c>
      <c r="AB170" s="39">
        <f t="shared" si="15"/>
        <v>9.8688745854709861E-4</v>
      </c>
      <c r="AC170" s="38">
        <f t="shared" si="16"/>
        <v>0.51158958191523685</v>
      </c>
      <c r="AD170" s="3"/>
    </row>
    <row r="171" spans="1:30" x14ac:dyDescent="0.25">
      <c r="A171" s="37">
        <v>45807</v>
      </c>
      <c r="B171" s="41">
        <v>1000000</v>
      </c>
      <c r="C171" s="41">
        <v>0</v>
      </c>
      <c r="D171" s="41">
        <v>2500000</v>
      </c>
      <c r="E171" s="41">
        <v>0</v>
      </c>
      <c r="F171" s="41">
        <v>6326388.8888888815</v>
      </c>
      <c r="G171" s="41">
        <v>131944.44444444441</v>
      </c>
      <c r="H171" s="41">
        <v>50000000</v>
      </c>
      <c r="I171" s="41">
        <v>0</v>
      </c>
      <c r="J171" s="41">
        <v>0</v>
      </c>
      <c r="K171" s="41">
        <v>0</v>
      </c>
      <c r="L171" s="41">
        <v>0</v>
      </c>
      <c r="M171" s="41">
        <v>0</v>
      </c>
      <c r="N171" s="41">
        <v>15420833.333333289</v>
      </c>
      <c r="O171" s="41">
        <v>79166.666666666672</v>
      </c>
      <c r="P171" s="41">
        <v>39833333.333333358</v>
      </c>
      <c r="Q171" s="41">
        <v>166666.66666666669</v>
      </c>
      <c r="R171" s="41">
        <v>2500000</v>
      </c>
      <c r="S171" s="41">
        <v>0</v>
      </c>
      <c r="T171" s="41">
        <v>0</v>
      </c>
      <c r="U171" s="41">
        <v>0</v>
      </c>
      <c r="V171" s="41">
        <v>117580555.55555549</v>
      </c>
      <c r="W171" s="41">
        <v>377777.77777777781</v>
      </c>
      <c r="X171" s="38">
        <f t="shared" si="12"/>
        <v>0.23516111111111099</v>
      </c>
      <c r="Y171" s="39">
        <f t="shared" si="13"/>
        <v>7.5555555555555565E-4</v>
      </c>
      <c r="Z171" s="39">
        <f t="shared" si="17"/>
        <v>3.2232834830422104E-3</v>
      </c>
      <c r="AA171" s="41">
        <f t="shared" si="14"/>
        <v>382419444.44444454</v>
      </c>
      <c r="AB171" s="39">
        <f t="shared" si="15"/>
        <v>9.8786236752838267E-4</v>
      </c>
      <c r="AC171" s="38">
        <f t="shared" si="16"/>
        <v>0.51234413519597077</v>
      </c>
      <c r="AD171" s="3"/>
    </row>
    <row r="172" spans="1:30" x14ac:dyDescent="0.25">
      <c r="A172" s="37">
        <v>45808</v>
      </c>
      <c r="B172" s="41">
        <v>1000000</v>
      </c>
      <c r="C172" s="41">
        <v>0</v>
      </c>
      <c r="D172" s="41">
        <v>2500000</v>
      </c>
      <c r="E172" s="41">
        <v>0</v>
      </c>
      <c r="F172" s="41">
        <v>6458333.3333333274</v>
      </c>
      <c r="G172" s="41">
        <v>131944.44444444441</v>
      </c>
      <c r="H172" s="41">
        <v>50000000</v>
      </c>
      <c r="I172" s="41">
        <v>0</v>
      </c>
      <c r="J172" s="41">
        <v>0</v>
      </c>
      <c r="K172" s="41">
        <v>0</v>
      </c>
      <c r="L172" s="41">
        <v>0</v>
      </c>
      <c r="M172" s="41">
        <v>0</v>
      </c>
      <c r="N172" s="41">
        <v>15499999.99999995</v>
      </c>
      <c r="O172" s="41">
        <v>79166.666666666672</v>
      </c>
      <c r="P172" s="41">
        <v>40000000.000000022</v>
      </c>
      <c r="Q172" s="41">
        <v>166666.66666666669</v>
      </c>
      <c r="R172" s="41">
        <v>2500000</v>
      </c>
      <c r="S172" s="41">
        <v>0</v>
      </c>
      <c r="T172" s="41">
        <v>0</v>
      </c>
      <c r="U172" s="41">
        <v>0</v>
      </c>
      <c r="V172" s="41">
        <v>117958333.3333333</v>
      </c>
      <c r="W172" s="41">
        <v>377777.77777777781</v>
      </c>
      <c r="X172" s="38">
        <f t="shared" si="12"/>
        <v>0.23591666666666661</v>
      </c>
      <c r="Y172" s="39">
        <f t="shared" si="13"/>
        <v>7.5555555555555565E-4</v>
      </c>
      <c r="Z172" s="39">
        <f t="shared" si="17"/>
        <v>3.2129273075196694E-3</v>
      </c>
      <c r="AA172" s="41">
        <f t="shared" si="14"/>
        <v>382041666.66666669</v>
      </c>
      <c r="AB172" s="39">
        <f t="shared" si="15"/>
        <v>9.888392045661104E-4</v>
      </c>
      <c r="AC172" s="38">
        <f t="shared" si="16"/>
        <v>0.51309460181721067</v>
      </c>
      <c r="AD172" s="3"/>
    </row>
    <row r="173" spans="1:30" x14ac:dyDescent="0.25">
      <c r="A173" s="37">
        <v>45809</v>
      </c>
      <c r="B173" s="41">
        <v>1000000</v>
      </c>
      <c r="C173" s="41">
        <v>0</v>
      </c>
      <c r="D173" s="41">
        <v>2500000</v>
      </c>
      <c r="E173" s="41">
        <v>0</v>
      </c>
      <c r="F173" s="41">
        <v>6590277.7777777715</v>
      </c>
      <c r="G173" s="41">
        <v>131944.44444444441</v>
      </c>
      <c r="H173" s="41">
        <v>50000000</v>
      </c>
      <c r="I173" s="41">
        <v>0</v>
      </c>
      <c r="J173" s="41">
        <v>0</v>
      </c>
      <c r="K173" s="41">
        <v>0</v>
      </c>
      <c r="L173" s="41">
        <v>0</v>
      </c>
      <c r="M173" s="41">
        <v>0</v>
      </c>
      <c r="N173" s="41">
        <v>15579166.666666619</v>
      </c>
      <c r="O173" s="41">
        <v>79166.666666666672</v>
      </c>
      <c r="P173" s="41">
        <v>40166666.666666687</v>
      </c>
      <c r="Q173" s="41">
        <v>166666.66666666669</v>
      </c>
      <c r="R173" s="41">
        <v>2500000</v>
      </c>
      <c r="S173" s="41">
        <v>0</v>
      </c>
      <c r="T173" s="41">
        <v>0</v>
      </c>
      <c r="U173" s="41">
        <v>0</v>
      </c>
      <c r="V173" s="41">
        <v>118336111.1111111</v>
      </c>
      <c r="W173" s="41">
        <v>377777.77777777781</v>
      </c>
      <c r="X173" s="38">
        <f t="shared" si="12"/>
        <v>0.2366722222222222</v>
      </c>
      <c r="Y173" s="39">
        <f t="shared" si="13"/>
        <v>7.5555555555555565E-4</v>
      </c>
      <c r="Z173" s="39">
        <f t="shared" si="17"/>
        <v>3.202637466148594E-3</v>
      </c>
      <c r="AA173" s="41">
        <f t="shared" si="14"/>
        <v>381663888.8888889</v>
      </c>
      <c r="AB173" s="39">
        <f t="shared" si="15"/>
        <v>9.89817975385556E-4</v>
      </c>
      <c r="AC173" s="38">
        <f t="shared" si="16"/>
        <v>0.51384101488930789</v>
      </c>
      <c r="AD173" s="3"/>
    </row>
    <row r="174" spans="1:30" x14ac:dyDescent="0.25">
      <c r="A174" s="37">
        <v>45810</v>
      </c>
      <c r="B174" s="41">
        <v>1000000</v>
      </c>
      <c r="C174" s="41">
        <v>0</v>
      </c>
      <c r="D174" s="41">
        <v>2500000</v>
      </c>
      <c r="E174" s="41">
        <v>0</v>
      </c>
      <c r="F174" s="41">
        <v>6722222.2222222146</v>
      </c>
      <c r="G174" s="41">
        <v>131944.44444444441</v>
      </c>
      <c r="H174" s="41">
        <v>50000000</v>
      </c>
      <c r="I174" s="41">
        <v>0</v>
      </c>
      <c r="J174" s="41">
        <v>0</v>
      </c>
      <c r="K174" s="41">
        <v>0</v>
      </c>
      <c r="L174" s="41">
        <v>0</v>
      </c>
      <c r="M174" s="41">
        <v>0</v>
      </c>
      <c r="N174" s="41">
        <v>15658333.333333289</v>
      </c>
      <c r="O174" s="41">
        <v>79166.666666666672</v>
      </c>
      <c r="P174" s="41">
        <v>40333333.333333351</v>
      </c>
      <c r="Q174" s="41">
        <v>166666.66666666669</v>
      </c>
      <c r="R174" s="41">
        <v>2500000</v>
      </c>
      <c r="S174" s="41">
        <v>0</v>
      </c>
      <c r="T174" s="41">
        <v>0</v>
      </c>
      <c r="U174" s="41">
        <v>0</v>
      </c>
      <c r="V174" s="41">
        <v>118713888.8888889</v>
      </c>
      <c r="W174" s="41">
        <v>377777.77777777781</v>
      </c>
      <c r="X174" s="38">
        <f t="shared" si="12"/>
        <v>0.23742777777777779</v>
      </c>
      <c r="Y174" s="39">
        <f t="shared" si="13"/>
        <v>7.5555555555555565E-4</v>
      </c>
      <c r="Z174" s="39">
        <f t="shared" si="17"/>
        <v>3.192413323630901E-3</v>
      </c>
      <c r="AA174" s="41">
        <f t="shared" si="14"/>
        <v>381286111.1111111</v>
      </c>
      <c r="AB174" s="39">
        <f t="shared" si="15"/>
        <v>9.9079868573468451E-4</v>
      </c>
      <c r="AC174" s="38">
        <f t="shared" si="16"/>
        <v>0.51458340716589313</v>
      </c>
      <c r="AD174" s="3"/>
    </row>
    <row r="175" spans="1:30" x14ac:dyDescent="0.25">
      <c r="A175" s="37">
        <v>45811</v>
      </c>
      <c r="B175" s="41">
        <v>1000000</v>
      </c>
      <c r="C175" s="41">
        <v>0</v>
      </c>
      <c r="D175" s="41">
        <v>2500000</v>
      </c>
      <c r="E175" s="41">
        <v>0</v>
      </c>
      <c r="F175" s="41">
        <v>6854166.6666666586</v>
      </c>
      <c r="G175" s="41">
        <v>131944.44444444441</v>
      </c>
      <c r="H175" s="41">
        <v>50000000</v>
      </c>
      <c r="I175" s="41">
        <v>0</v>
      </c>
      <c r="J175" s="41">
        <v>0</v>
      </c>
      <c r="K175" s="41">
        <v>0</v>
      </c>
      <c r="L175" s="41">
        <v>0</v>
      </c>
      <c r="M175" s="41">
        <v>0</v>
      </c>
      <c r="N175" s="41">
        <v>15737499.99999995</v>
      </c>
      <c r="O175" s="41">
        <v>79166.666666666672</v>
      </c>
      <c r="P175" s="41">
        <v>40500000.000000007</v>
      </c>
      <c r="Q175" s="41">
        <v>166666.66666666669</v>
      </c>
      <c r="R175" s="41">
        <v>2500000</v>
      </c>
      <c r="S175" s="41">
        <v>0</v>
      </c>
      <c r="T175" s="41">
        <v>0</v>
      </c>
      <c r="U175" s="41">
        <v>0</v>
      </c>
      <c r="V175" s="41">
        <v>119091666.6666666</v>
      </c>
      <c r="W175" s="41">
        <v>377777.77777777781</v>
      </c>
      <c r="X175" s="38">
        <f t="shared" si="12"/>
        <v>0.23818333333333319</v>
      </c>
      <c r="Y175" s="39">
        <f t="shared" si="13"/>
        <v>7.5555555555555565E-4</v>
      </c>
      <c r="Z175" s="39">
        <f t="shared" si="17"/>
        <v>3.1822542527552241E-3</v>
      </c>
      <c r="AA175" s="41">
        <f t="shared" si="14"/>
        <v>380908333.33333337</v>
      </c>
      <c r="AB175" s="39">
        <f t="shared" si="15"/>
        <v>9.9178134138426413E-4</v>
      </c>
      <c r="AC175" s="38">
        <f t="shared" si="16"/>
        <v>0.51532181104866981</v>
      </c>
      <c r="AD175" s="3"/>
    </row>
    <row r="176" spans="1:30" x14ac:dyDescent="0.25">
      <c r="A176" s="37">
        <v>45812</v>
      </c>
      <c r="B176" s="41">
        <v>1000000</v>
      </c>
      <c r="C176" s="41">
        <v>0</v>
      </c>
      <c r="D176" s="41">
        <v>2500000</v>
      </c>
      <c r="E176" s="41">
        <v>0</v>
      </c>
      <c r="F176" s="41">
        <v>6986111.1111111026</v>
      </c>
      <c r="G176" s="41">
        <v>131944.44444444441</v>
      </c>
      <c r="H176" s="41">
        <v>50000000</v>
      </c>
      <c r="I176" s="41">
        <v>0</v>
      </c>
      <c r="J176" s="41">
        <v>0</v>
      </c>
      <c r="K176" s="41">
        <v>0</v>
      </c>
      <c r="L176" s="41">
        <v>0</v>
      </c>
      <c r="M176" s="41">
        <v>0</v>
      </c>
      <c r="N176" s="41">
        <v>15816666.666666619</v>
      </c>
      <c r="O176" s="41">
        <v>79166.666666666672</v>
      </c>
      <c r="P176" s="41">
        <v>40666666.666666679</v>
      </c>
      <c r="Q176" s="41">
        <v>166666.66666666669</v>
      </c>
      <c r="R176" s="41">
        <v>2500000</v>
      </c>
      <c r="S176" s="41">
        <v>0</v>
      </c>
      <c r="T176" s="41">
        <v>0</v>
      </c>
      <c r="U176" s="41">
        <v>0</v>
      </c>
      <c r="V176" s="41">
        <v>119469444.4444444</v>
      </c>
      <c r="W176" s="41">
        <v>377777.77777777781</v>
      </c>
      <c r="X176" s="38">
        <f t="shared" si="12"/>
        <v>0.23893888888888881</v>
      </c>
      <c r="Y176" s="39">
        <f t="shared" si="13"/>
        <v>7.5555555555555565E-4</v>
      </c>
      <c r="Z176" s="39">
        <f t="shared" si="17"/>
        <v>3.1721596342686562E-3</v>
      </c>
      <c r="AA176" s="41">
        <f t="shared" si="14"/>
        <v>380530555.55555558</v>
      </c>
      <c r="AB176" s="39">
        <f t="shared" si="15"/>
        <v>9.9276594812797918E-4</v>
      </c>
      <c r="AC176" s="38">
        <f t="shared" si="16"/>
        <v>0.51605625859212567</v>
      </c>
      <c r="AD176" s="3"/>
    </row>
    <row r="177" spans="1:30" x14ac:dyDescent="0.25">
      <c r="A177" s="37">
        <v>45813</v>
      </c>
      <c r="B177" s="41">
        <v>1000000</v>
      </c>
      <c r="C177" s="41">
        <v>0</v>
      </c>
      <c r="D177" s="41">
        <v>2500000</v>
      </c>
      <c r="E177" s="41">
        <v>0</v>
      </c>
      <c r="F177" s="41">
        <v>7118055.5555555467</v>
      </c>
      <c r="G177" s="41">
        <v>131944.44444444441</v>
      </c>
      <c r="H177" s="41">
        <v>50000000</v>
      </c>
      <c r="I177" s="41">
        <v>0</v>
      </c>
      <c r="J177" s="41">
        <v>0</v>
      </c>
      <c r="K177" s="41">
        <v>0</v>
      </c>
      <c r="L177" s="41">
        <v>0</v>
      </c>
      <c r="M177" s="41">
        <v>0</v>
      </c>
      <c r="N177" s="41">
        <v>15895833.33333328</v>
      </c>
      <c r="O177" s="41">
        <v>79166.666666666672</v>
      </c>
      <c r="P177" s="41">
        <v>40833333.333333343</v>
      </c>
      <c r="Q177" s="41">
        <v>166666.66666666669</v>
      </c>
      <c r="R177" s="41">
        <v>2500000</v>
      </c>
      <c r="S177" s="41">
        <v>0</v>
      </c>
      <c r="T177" s="41">
        <v>0</v>
      </c>
      <c r="U177" s="41">
        <v>0</v>
      </c>
      <c r="V177" s="41">
        <v>119847222.22222219</v>
      </c>
      <c r="W177" s="41">
        <v>377777.77777777781</v>
      </c>
      <c r="X177" s="38">
        <f t="shared" si="12"/>
        <v>0.23969444444444438</v>
      </c>
      <c r="Y177" s="39">
        <f t="shared" si="13"/>
        <v>7.5555555555555565E-4</v>
      </c>
      <c r="Z177" s="39">
        <f t="shared" si="17"/>
        <v>3.1621288567509139E-3</v>
      </c>
      <c r="AA177" s="41">
        <f t="shared" si="14"/>
        <v>380152777.77777779</v>
      </c>
      <c r="AB177" s="39">
        <f t="shared" si="15"/>
        <v>9.9375251178254352E-4</v>
      </c>
      <c r="AC177" s="38">
        <f t="shared" si="16"/>
        <v>0.51678678150817403</v>
      </c>
      <c r="AD177" s="3"/>
    </row>
    <row r="178" spans="1:30" x14ac:dyDescent="0.25">
      <c r="A178" s="37">
        <v>45814</v>
      </c>
      <c r="B178" s="41">
        <v>1000000</v>
      </c>
      <c r="C178" s="41">
        <v>0</v>
      </c>
      <c r="D178" s="41">
        <v>2500000</v>
      </c>
      <c r="E178" s="41">
        <v>0</v>
      </c>
      <c r="F178" s="41">
        <v>7249999.9999999907</v>
      </c>
      <c r="G178" s="41">
        <v>131944.44444444441</v>
      </c>
      <c r="H178" s="41">
        <v>50000000</v>
      </c>
      <c r="I178" s="41">
        <v>0</v>
      </c>
      <c r="J178" s="41">
        <v>0</v>
      </c>
      <c r="K178" s="41">
        <v>0</v>
      </c>
      <c r="L178" s="41">
        <v>0</v>
      </c>
      <c r="M178" s="41">
        <v>0</v>
      </c>
      <c r="N178" s="41">
        <v>15974999.99999995</v>
      </c>
      <c r="O178" s="41">
        <v>79166.666666666672</v>
      </c>
      <c r="P178" s="41">
        <v>41000000.000000007</v>
      </c>
      <c r="Q178" s="41">
        <v>166666.66666666669</v>
      </c>
      <c r="R178" s="41">
        <v>2500000</v>
      </c>
      <c r="S178" s="41">
        <v>0</v>
      </c>
      <c r="T178" s="41">
        <v>0</v>
      </c>
      <c r="U178" s="41">
        <v>0</v>
      </c>
      <c r="V178" s="41">
        <v>120224999.9999999</v>
      </c>
      <c r="W178" s="41">
        <v>377777.77777777781</v>
      </c>
      <c r="X178" s="38">
        <f t="shared" si="12"/>
        <v>0.2404499999999998</v>
      </c>
      <c r="Y178" s="39">
        <f t="shared" si="13"/>
        <v>7.5555555555555565E-4</v>
      </c>
      <c r="Z178" s="39">
        <f t="shared" si="17"/>
        <v>3.1521613164909039E-3</v>
      </c>
      <c r="AA178" s="41">
        <f t="shared" si="14"/>
        <v>379775000.00000012</v>
      </c>
      <c r="AB178" s="39">
        <f t="shared" si="15"/>
        <v>9.947410381878157E-4</v>
      </c>
      <c r="AC178" s="38">
        <f t="shared" si="16"/>
        <v>0.51751341117071714</v>
      </c>
      <c r="AD178" s="3"/>
    </row>
    <row r="179" spans="1:30" x14ac:dyDescent="0.25">
      <c r="A179" s="37">
        <v>45815</v>
      </c>
      <c r="B179" s="41">
        <v>1000000</v>
      </c>
      <c r="C179" s="41">
        <v>0</v>
      </c>
      <c r="D179" s="41">
        <v>2500000</v>
      </c>
      <c r="E179" s="41">
        <v>0</v>
      </c>
      <c r="F179" s="41">
        <v>7381944.4444444347</v>
      </c>
      <c r="G179" s="41">
        <v>131944.44444444441</v>
      </c>
      <c r="H179" s="41">
        <v>50000000</v>
      </c>
      <c r="I179" s="41">
        <v>0</v>
      </c>
      <c r="J179" s="41">
        <v>0</v>
      </c>
      <c r="K179" s="41">
        <v>0</v>
      </c>
      <c r="L179" s="41">
        <v>0</v>
      </c>
      <c r="M179" s="41">
        <v>0</v>
      </c>
      <c r="N179" s="41">
        <v>16054166.666666619</v>
      </c>
      <c r="O179" s="41">
        <v>79166.666666666672</v>
      </c>
      <c r="P179" s="41">
        <v>41166666.666666672</v>
      </c>
      <c r="Q179" s="41">
        <v>166666.66666666669</v>
      </c>
      <c r="R179" s="41">
        <v>2500000</v>
      </c>
      <c r="S179" s="41">
        <v>0</v>
      </c>
      <c r="T179" s="41">
        <v>0</v>
      </c>
      <c r="U179" s="41">
        <v>0</v>
      </c>
      <c r="V179" s="41">
        <v>120602777.7777777</v>
      </c>
      <c r="W179" s="41">
        <v>377777.77777777781</v>
      </c>
      <c r="X179" s="38">
        <f t="shared" si="12"/>
        <v>0.2412055555555554</v>
      </c>
      <c r="Y179" s="39">
        <f t="shared" si="13"/>
        <v>7.5555555555555565E-4</v>
      </c>
      <c r="Z179" s="39">
        <f t="shared" si="17"/>
        <v>3.1422564173655908E-3</v>
      </c>
      <c r="AA179" s="41">
        <f t="shared" si="14"/>
        <v>379397222.22222233</v>
      </c>
      <c r="AB179" s="39">
        <f t="shared" si="15"/>
        <v>9.957315332069143E-4</v>
      </c>
      <c r="AC179" s="38">
        <f t="shared" si="16"/>
        <v>0.5182361786201356</v>
      </c>
      <c r="AD179" s="3"/>
    </row>
    <row r="180" spans="1:30" x14ac:dyDescent="0.25">
      <c r="A180" s="37">
        <v>45816</v>
      </c>
      <c r="B180" s="41">
        <v>1000000</v>
      </c>
      <c r="C180" s="41">
        <v>0</v>
      </c>
      <c r="D180" s="41">
        <v>2500000</v>
      </c>
      <c r="E180" s="41">
        <v>0</v>
      </c>
      <c r="F180" s="41">
        <v>7513888.8888888787</v>
      </c>
      <c r="G180" s="41">
        <v>131944.44444444441</v>
      </c>
      <c r="H180" s="41">
        <v>50000000</v>
      </c>
      <c r="I180" s="41">
        <v>0</v>
      </c>
      <c r="J180" s="41">
        <v>0</v>
      </c>
      <c r="K180" s="41">
        <v>0</v>
      </c>
      <c r="L180" s="41">
        <v>0</v>
      </c>
      <c r="M180" s="41">
        <v>0</v>
      </c>
      <c r="N180" s="41">
        <v>16133333.33333328</v>
      </c>
      <c r="O180" s="41">
        <v>79166.666666666672</v>
      </c>
      <c r="P180" s="41">
        <v>41333333.333333343</v>
      </c>
      <c r="Q180" s="41">
        <v>166666.66666666669</v>
      </c>
      <c r="R180" s="41">
        <v>2500000</v>
      </c>
      <c r="S180" s="41">
        <v>0</v>
      </c>
      <c r="T180" s="41">
        <v>0</v>
      </c>
      <c r="U180" s="41">
        <v>0</v>
      </c>
      <c r="V180" s="41">
        <v>120980555.55555549</v>
      </c>
      <c r="W180" s="41">
        <v>377777.77777777781</v>
      </c>
      <c r="X180" s="38">
        <f t="shared" si="12"/>
        <v>0.24196111111111099</v>
      </c>
      <c r="Y180" s="39">
        <f t="shared" si="13"/>
        <v>7.5555555555555565E-4</v>
      </c>
      <c r="Z180" s="39">
        <f t="shared" si="17"/>
        <v>3.1324135707211484E-3</v>
      </c>
      <c r="AA180" s="41">
        <f t="shared" si="14"/>
        <v>379019444.44444454</v>
      </c>
      <c r="AB180" s="39">
        <f t="shared" si="15"/>
        <v>9.967240027263331E-4</v>
      </c>
      <c r="AC180" s="38">
        <f t="shared" si="16"/>
        <v>0.51895511456771237</v>
      </c>
      <c r="AD180" s="3"/>
    </row>
    <row r="181" spans="1:30" x14ac:dyDescent="0.25">
      <c r="A181" s="37">
        <v>45817</v>
      </c>
      <c r="B181" s="41">
        <v>1000000</v>
      </c>
      <c r="C181" s="41">
        <v>0</v>
      </c>
      <c r="D181" s="41">
        <v>2500000</v>
      </c>
      <c r="E181" s="41">
        <v>0</v>
      </c>
      <c r="F181" s="41">
        <v>7645833.3333333228</v>
      </c>
      <c r="G181" s="41">
        <v>131944.44444444441</v>
      </c>
      <c r="H181" s="41">
        <v>50000000</v>
      </c>
      <c r="I181" s="41">
        <v>0</v>
      </c>
      <c r="J181" s="41">
        <v>0</v>
      </c>
      <c r="K181" s="41">
        <v>0</v>
      </c>
      <c r="L181" s="41">
        <v>0</v>
      </c>
      <c r="M181" s="41">
        <v>0</v>
      </c>
      <c r="N181" s="41">
        <v>16212499.99999995</v>
      </c>
      <c r="O181" s="41">
        <v>79166.666666666672</v>
      </c>
      <c r="P181" s="41">
        <v>41500000</v>
      </c>
      <c r="Q181" s="41">
        <v>166666.66666666669</v>
      </c>
      <c r="R181" s="41">
        <v>2500000</v>
      </c>
      <c r="S181" s="41">
        <v>0</v>
      </c>
      <c r="T181" s="41">
        <v>0</v>
      </c>
      <c r="U181" s="41">
        <v>0</v>
      </c>
      <c r="V181" s="41">
        <v>121358333.3333333</v>
      </c>
      <c r="W181" s="41">
        <v>377777.77777777781</v>
      </c>
      <c r="X181" s="38">
        <f t="shared" si="12"/>
        <v>0.24271666666666661</v>
      </c>
      <c r="Y181" s="39">
        <f t="shared" si="13"/>
        <v>7.5555555555555565E-4</v>
      </c>
      <c r="Z181" s="39">
        <f t="shared" si="17"/>
        <v>3.1226321952563564E-3</v>
      </c>
      <c r="AA181" s="41">
        <f t="shared" si="14"/>
        <v>378641666.66666669</v>
      </c>
      <c r="AB181" s="39">
        <f t="shared" si="15"/>
        <v>9.9771845265605856E-4</v>
      </c>
      <c r="AC181" s="38">
        <f t="shared" si="16"/>
        <v>0.51967024939997941</v>
      </c>
      <c r="AD181" s="3"/>
    </row>
    <row r="182" spans="1:30" x14ac:dyDescent="0.25">
      <c r="A182" s="37">
        <v>45818</v>
      </c>
      <c r="B182" s="41">
        <v>1000000</v>
      </c>
      <c r="C182" s="41">
        <v>0</v>
      </c>
      <c r="D182" s="41">
        <v>2500000</v>
      </c>
      <c r="E182" s="41">
        <v>0</v>
      </c>
      <c r="F182" s="41">
        <v>7777777.7777777668</v>
      </c>
      <c r="G182" s="41">
        <v>131944.44444444441</v>
      </c>
      <c r="H182" s="41">
        <v>50000000</v>
      </c>
      <c r="I182" s="41">
        <v>0</v>
      </c>
      <c r="J182" s="41">
        <v>0</v>
      </c>
      <c r="K182" s="41">
        <v>0</v>
      </c>
      <c r="L182" s="41">
        <v>0</v>
      </c>
      <c r="M182" s="41">
        <v>0</v>
      </c>
      <c r="N182" s="41">
        <v>16291666.66666661</v>
      </c>
      <c r="O182" s="41">
        <v>79166.666666666672</v>
      </c>
      <c r="P182" s="41">
        <v>41666666.666666657</v>
      </c>
      <c r="Q182" s="41">
        <v>166666.66666666669</v>
      </c>
      <c r="R182" s="41">
        <v>2500000</v>
      </c>
      <c r="S182" s="41">
        <v>0</v>
      </c>
      <c r="T182" s="41">
        <v>0</v>
      </c>
      <c r="U182" s="41">
        <v>0</v>
      </c>
      <c r="V182" s="41">
        <v>121736111.111111</v>
      </c>
      <c r="W182" s="41">
        <v>377777.77777777781</v>
      </c>
      <c r="X182" s="38">
        <f t="shared" si="12"/>
        <v>0.24347222222222201</v>
      </c>
      <c r="Y182" s="39">
        <f t="shared" si="13"/>
        <v>7.5555555555555565E-4</v>
      </c>
      <c r="Z182" s="39">
        <f t="shared" si="17"/>
        <v>3.1129117169081473E-3</v>
      </c>
      <c r="AA182" s="41">
        <f t="shared" si="14"/>
        <v>378263888.88888901</v>
      </c>
      <c r="AB182" s="39">
        <f t="shared" si="15"/>
        <v>9.9871488892968588E-4</v>
      </c>
      <c r="AC182" s="38">
        <f t="shared" si="16"/>
        <v>0.52038161318300136</v>
      </c>
      <c r="AD182" s="3"/>
    </row>
    <row r="183" spans="1:30" x14ac:dyDescent="0.25">
      <c r="A183" s="37">
        <v>45819</v>
      </c>
      <c r="B183" s="41">
        <v>1000000</v>
      </c>
      <c r="C183" s="41">
        <v>0</v>
      </c>
      <c r="D183" s="41">
        <v>2500000</v>
      </c>
      <c r="E183" s="41">
        <v>0</v>
      </c>
      <c r="F183" s="41">
        <v>7909722.2222222108</v>
      </c>
      <c r="G183" s="41">
        <v>131944.44444444441</v>
      </c>
      <c r="H183" s="41">
        <v>50000000</v>
      </c>
      <c r="I183" s="41">
        <v>0</v>
      </c>
      <c r="J183" s="41">
        <v>0</v>
      </c>
      <c r="K183" s="41">
        <v>0</v>
      </c>
      <c r="L183" s="41">
        <v>0</v>
      </c>
      <c r="M183" s="41">
        <v>0</v>
      </c>
      <c r="N183" s="41">
        <v>16370833.33333328</v>
      </c>
      <c r="O183" s="41">
        <v>79166.666666666672</v>
      </c>
      <c r="P183" s="41">
        <v>41833333.333333328</v>
      </c>
      <c r="Q183" s="41">
        <v>166666.66666666669</v>
      </c>
      <c r="R183" s="41">
        <v>2500000</v>
      </c>
      <c r="S183" s="41">
        <v>0</v>
      </c>
      <c r="T183" s="41">
        <v>0</v>
      </c>
      <c r="U183" s="41">
        <v>0</v>
      </c>
      <c r="V183" s="41">
        <v>122113888.88888881</v>
      </c>
      <c r="W183" s="41">
        <v>377777.77777777781</v>
      </c>
      <c r="X183" s="38">
        <f t="shared" si="12"/>
        <v>0.2442277777777776</v>
      </c>
      <c r="Y183" s="39">
        <f t="shared" si="13"/>
        <v>7.5555555555555565E-4</v>
      </c>
      <c r="Z183" s="39">
        <f t="shared" si="17"/>
        <v>3.103251568739307E-3</v>
      </c>
      <c r="AA183" s="41">
        <f t="shared" si="14"/>
        <v>377886111.11111116</v>
      </c>
      <c r="AB183" s="39">
        <f t="shared" si="15"/>
        <v>9.997133175045391E-4</v>
      </c>
      <c r="AC183" s="38">
        <f t="shared" si="16"/>
        <v>0.52108923566658638</v>
      </c>
      <c r="AD183" s="3"/>
    </row>
    <row r="184" spans="1:30" x14ac:dyDescent="0.25">
      <c r="A184" s="37">
        <v>45820</v>
      </c>
      <c r="B184" s="41">
        <v>1000000</v>
      </c>
      <c r="C184" s="41">
        <v>0</v>
      </c>
      <c r="D184" s="41">
        <v>2500000</v>
      </c>
      <c r="E184" s="41">
        <v>0</v>
      </c>
      <c r="F184" s="41">
        <v>8041666.6666666549</v>
      </c>
      <c r="G184" s="41">
        <v>131944.44444444441</v>
      </c>
      <c r="H184" s="41">
        <v>50000000</v>
      </c>
      <c r="I184" s="41">
        <v>0</v>
      </c>
      <c r="J184" s="41">
        <v>0</v>
      </c>
      <c r="K184" s="41">
        <v>0</v>
      </c>
      <c r="L184" s="41">
        <v>0</v>
      </c>
      <c r="M184" s="41">
        <v>0</v>
      </c>
      <c r="N184" s="41">
        <v>16449999.99999995</v>
      </c>
      <c r="O184" s="41">
        <v>79166.666666666672</v>
      </c>
      <c r="P184" s="41">
        <v>41999999.999999993</v>
      </c>
      <c r="Q184" s="41">
        <v>166666.66666666669</v>
      </c>
      <c r="R184" s="41">
        <v>2500000</v>
      </c>
      <c r="S184" s="41">
        <v>0</v>
      </c>
      <c r="T184" s="41">
        <v>0</v>
      </c>
      <c r="U184" s="41">
        <v>0</v>
      </c>
      <c r="V184" s="41">
        <v>122491666.6666666</v>
      </c>
      <c r="W184" s="41">
        <v>377777.77777777781</v>
      </c>
      <c r="X184" s="38">
        <f t="shared" si="12"/>
        <v>0.24498333333333319</v>
      </c>
      <c r="Y184" s="39">
        <f t="shared" si="13"/>
        <v>7.5555555555555565E-4</v>
      </c>
      <c r="Z184" s="39">
        <f t="shared" si="17"/>
        <v>3.0936511908282367E-3</v>
      </c>
      <c r="AA184" s="41">
        <f t="shared" si="14"/>
        <v>377508333.33333337</v>
      </c>
      <c r="AB184" s="39">
        <f t="shared" si="15"/>
        <v>1.0007137443617873E-3</v>
      </c>
      <c r="AC184" s="38">
        <f t="shared" si="16"/>
        <v>0.52179314628843598</v>
      </c>
      <c r="AD184" s="3"/>
    </row>
    <row r="185" spans="1:30" x14ac:dyDescent="0.25">
      <c r="A185" s="37">
        <v>45821</v>
      </c>
      <c r="B185" s="41">
        <v>1000000</v>
      </c>
      <c r="C185" s="41">
        <v>0</v>
      </c>
      <c r="D185" s="41">
        <v>2500000</v>
      </c>
      <c r="E185" s="41">
        <v>0</v>
      </c>
      <c r="F185" s="41">
        <v>8173611.1111110989</v>
      </c>
      <c r="G185" s="41">
        <v>131944.44444444441</v>
      </c>
      <c r="H185" s="41">
        <v>50000000</v>
      </c>
      <c r="I185" s="41">
        <v>0</v>
      </c>
      <c r="J185" s="41">
        <v>0</v>
      </c>
      <c r="K185" s="41">
        <v>0</v>
      </c>
      <c r="L185" s="41">
        <v>0</v>
      </c>
      <c r="M185" s="41">
        <v>0</v>
      </c>
      <c r="N185" s="41">
        <v>16529166.66666661</v>
      </c>
      <c r="O185" s="41">
        <v>79166.666666666672</v>
      </c>
      <c r="P185" s="41">
        <v>42166666.666666657</v>
      </c>
      <c r="Q185" s="41">
        <v>166666.66666666669</v>
      </c>
      <c r="R185" s="41">
        <v>2500000</v>
      </c>
      <c r="S185" s="41">
        <v>0</v>
      </c>
      <c r="T185" s="41">
        <v>0</v>
      </c>
      <c r="U185" s="41">
        <v>0</v>
      </c>
      <c r="V185" s="41">
        <v>122869444.4444444</v>
      </c>
      <c r="W185" s="41">
        <v>377777.77777777781</v>
      </c>
      <c r="X185" s="38">
        <f t="shared" si="12"/>
        <v>0.24573888888888881</v>
      </c>
      <c r="Y185" s="39">
        <f t="shared" si="13"/>
        <v>7.5555555555555565E-4</v>
      </c>
      <c r="Z185" s="39">
        <f t="shared" si="17"/>
        <v>3.0841100301607837E-3</v>
      </c>
      <c r="AA185" s="41">
        <f t="shared" si="14"/>
        <v>377130555.55555558</v>
      </c>
      <c r="AB185" s="39">
        <f t="shared" si="15"/>
        <v>1.0017161755065665E-3</v>
      </c>
      <c r="AC185" s="38">
        <f t="shared" si="16"/>
        <v>0.52249337417822606</v>
      </c>
      <c r="AD185" s="3"/>
    </row>
    <row r="186" spans="1:30" x14ac:dyDescent="0.25">
      <c r="A186" s="37">
        <v>45822</v>
      </c>
      <c r="B186" s="41">
        <v>1000000</v>
      </c>
      <c r="C186" s="41">
        <v>0</v>
      </c>
      <c r="D186" s="41">
        <v>2500000</v>
      </c>
      <c r="E186" s="41">
        <v>0</v>
      </c>
      <c r="F186" s="41">
        <v>8305555.5555555429</v>
      </c>
      <c r="G186" s="41">
        <v>131944.44444444441</v>
      </c>
      <c r="H186" s="41">
        <v>50000000</v>
      </c>
      <c r="I186" s="41">
        <v>0</v>
      </c>
      <c r="J186" s="41">
        <v>0</v>
      </c>
      <c r="K186" s="41">
        <v>0</v>
      </c>
      <c r="L186" s="41">
        <v>0</v>
      </c>
      <c r="M186" s="41">
        <v>0</v>
      </c>
      <c r="N186" s="41">
        <v>16608333.33333328</v>
      </c>
      <c r="O186" s="41">
        <v>79166.666666666672</v>
      </c>
      <c r="P186" s="41">
        <v>42333333.333333321</v>
      </c>
      <c r="Q186" s="41">
        <v>166666.66666666669</v>
      </c>
      <c r="R186" s="41">
        <v>2500000</v>
      </c>
      <c r="S186" s="41">
        <v>0</v>
      </c>
      <c r="T186" s="41">
        <v>0</v>
      </c>
      <c r="U186" s="41">
        <v>0</v>
      </c>
      <c r="V186" s="41">
        <v>123247222.2222221</v>
      </c>
      <c r="W186" s="41">
        <v>377777.77777777781</v>
      </c>
      <c r="X186" s="38">
        <f t="shared" si="12"/>
        <v>0.24649444444444421</v>
      </c>
      <c r="Y186" s="39">
        <f t="shared" si="13"/>
        <v>7.5555555555555565E-4</v>
      </c>
      <c r="Z186" s="39">
        <f t="shared" si="17"/>
        <v>3.0746275405240443E-3</v>
      </c>
      <c r="AA186" s="41">
        <f t="shared" si="14"/>
        <v>376752777.77777791</v>
      </c>
      <c r="AB186" s="39">
        <f t="shared" si="15"/>
        <v>1.002720616968097E-3</v>
      </c>
      <c r="AC186" s="38">
        <f t="shared" si="16"/>
        <v>0.52318994816162645</v>
      </c>
      <c r="AD186" s="3"/>
    </row>
    <row r="187" spans="1:30" x14ac:dyDescent="0.25">
      <c r="A187" s="37">
        <v>45823</v>
      </c>
      <c r="B187" s="41">
        <v>1000000</v>
      </c>
      <c r="C187" s="41">
        <v>0</v>
      </c>
      <c r="D187" s="41">
        <v>2500000</v>
      </c>
      <c r="E187" s="41">
        <v>0</v>
      </c>
      <c r="F187" s="41">
        <v>8437499.999999987</v>
      </c>
      <c r="G187" s="41">
        <v>131944.44444444441</v>
      </c>
      <c r="H187" s="41">
        <v>50000000</v>
      </c>
      <c r="I187" s="41">
        <v>0</v>
      </c>
      <c r="J187" s="41">
        <v>0</v>
      </c>
      <c r="K187" s="41">
        <v>0</v>
      </c>
      <c r="L187" s="41">
        <v>0</v>
      </c>
      <c r="M187" s="41">
        <v>0</v>
      </c>
      <c r="N187" s="41">
        <v>16687499.99999994</v>
      </c>
      <c r="O187" s="41">
        <v>79166.666666666672</v>
      </c>
      <c r="P187" s="41">
        <v>42499999.999999993</v>
      </c>
      <c r="Q187" s="41">
        <v>166666.66666666669</v>
      </c>
      <c r="R187" s="41">
        <v>2500000</v>
      </c>
      <c r="S187" s="41">
        <v>0</v>
      </c>
      <c r="T187" s="41">
        <v>0</v>
      </c>
      <c r="U187" s="41">
        <v>0</v>
      </c>
      <c r="V187" s="41">
        <v>123624999.9999999</v>
      </c>
      <c r="W187" s="41">
        <v>377777.77777777781</v>
      </c>
      <c r="X187" s="38">
        <f t="shared" si="12"/>
        <v>0.2472499999999998</v>
      </c>
      <c r="Y187" s="39">
        <f t="shared" si="13"/>
        <v>7.5555555555555565E-4</v>
      </c>
      <c r="Z187" s="39">
        <f t="shared" si="17"/>
        <v>3.065203182402131E-3</v>
      </c>
      <c r="AA187" s="41">
        <f t="shared" si="14"/>
        <v>376375000.00000012</v>
      </c>
      <c r="AB187" s="39">
        <f t="shared" si="15"/>
        <v>1.0037270747998079E-3</v>
      </c>
      <c r="AC187" s="38">
        <f t="shared" si="16"/>
        <v>0.52388289676425315</v>
      </c>
      <c r="AD187" s="3"/>
    </row>
    <row r="188" spans="1:30" x14ac:dyDescent="0.25">
      <c r="A188" s="37">
        <v>45824</v>
      </c>
      <c r="B188" s="41">
        <v>1000000</v>
      </c>
      <c r="C188" s="41">
        <v>0</v>
      </c>
      <c r="D188" s="41">
        <v>2500000</v>
      </c>
      <c r="E188" s="41">
        <v>0</v>
      </c>
      <c r="F188" s="41">
        <v>8569444.444444431</v>
      </c>
      <c r="G188" s="41">
        <v>131944.44444444441</v>
      </c>
      <c r="H188" s="41">
        <v>50000000</v>
      </c>
      <c r="I188" s="41">
        <v>0</v>
      </c>
      <c r="J188" s="41">
        <v>0</v>
      </c>
      <c r="K188" s="41">
        <v>0</v>
      </c>
      <c r="L188" s="41">
        <v>0</v>
      </c>
      <c r="M188" s="41">
        <v>0</v>
      </c>
      <c r="N188" s="41">
        <v>16766666.66666661</v>
      </c>
      <c r="O188" s="41">
        <v>79166.666666666672</v>
      </c>
      <c r="P188" s="41">
        <v>42666666.666666649</v>
      </c>
      <c r="Q188" s="41">
        <v>166666.66666666669</v>
      </c>
      <c r="R188" s="41">
        <v>2500000</v>
      </c>
      <c r="S188" s="41">
        <v>0</v>
      </c>
      <c r="T188" s="41">
        <v>0</v>
      </c>
      <c r="U188" s="41">
        <v>0</v>
      </c>
      <c r="V188" s="41">
        <v>124002777.7777777</v>
      </c>
      <c r="W188" s="41">
        <v>377777.77777777781</v>
      </c>
      <c r="X188" s="38">
        <f t="shared" si="12"/>
        <v>0.2480055555555554</v>
      </c>
      <c r="Y188" s="39">
        <f t="shared" si="13"/>
        <v>7.5555555555555565E-4</v>
      </c>
      <c r="Z188" s="39">
        <f t="shared" si="17"/>
        <v>3.0558364228738372E-3</v>
      </c>
      <c r="AA188" s="41">
        <f t="shared" si="14"/>
        <v>375997222.22222233</v>
      </c>
      <c r="AB188" s="39">
        <f t="shared" si="15"/>
        <v>1.0047355550794551E-3</v>
      </c>
      <c r="AC188" s="38">
        <f t="shared" si="16"/>
        <v>0.52457224821556658</v>
      </c>
      <c r="AD188" s="3"/>
    </row>
    <row r="189" spans="1:30" x14ac:dyDescent="0.25">
      <c r="A189" s="37">
        <v>45825</v>
      </c>
      <c r="B189" s="41">
        <v>1000000</v>
      </c>
      <c r="C189" s="41">
        <v>0</v>
      </c>
      <c r="D189" s="41">
        <v>2500000</v>
      </c>
      <c r="E189" s="41">
        <v>0</v>
      </c>
      <c r="F189" s="41">
        <v>8701388.888888875</v>
      </c>
      <c r="G189" s="41">
        <v>131944.44444444441</v>
      </c>
      <c r="H189" s="41">
        <v>50000000</v>
      </c>
      <c r="I189" s="41">
        <v>0</v>
      </c>
      <c r="J189" s="41">
        <v>0</v>
      </c>
      <c r="K189" s="41">
        <v>0</v>
      </c>
      <c r="L189" s="41">
        <v>0</v>
      </c>
      <c r="M189" s="41">
        <v>0</v>
      </c>
      <c r="N189" s="41">
        <v>16845833.33333328</v>
      </c>
      <c r="O189" s="41">
        <v>79166.666666666672</v>
      </c>
      <c r="P189" s="41">
        <v>42833333.333333313</v>
      </c>
      <c r="Q189" s="41">
        <v>166666.66666666669</v>
      </c>
      <c r="R189" s="41">
        <v>2500000</v>
      </c>
      <c r="S189" s="41">
        <v>0</v>
      </c>
      <c r="T189" s="41">
        <v>0</v>
      </c>
      <c r="U189" s="41">
        <v>0</v>
      </c>
      <c r="V189" s="41">
        <v>124380555.55555549</v>
      </c>
      <c r="W189" s="41">
        <v>377777.77777777781</v>
      </c>
      <c r="X189" s="38">
        <f t="shared" si="12"/>
        <v>0.24876111111111099</v>
      </c>
      <c r="Y189" s="39">
        <f t="shared" si="13"/>
        <v>7.5555555555555565E-4</v>
      </c>
      <c r="Z189" s="39">
        <f t="shared" si="17"/>
        <v>3.0465267355121992E-3</v>
      </c>
      <c r="AA189" s="41">
        <f t="shared" si="14"/>
        <v>375619444.44444454</v>
      </c>
      <c r="AB189" s="39">
        <f t="shared" si="15"/>
        <v>1.005746063909246E-3</v>
      </c>
      <c r="AC189" s="38">
        <f t="shared" si="16"/>
        <v>0.52525803045270292</v>
      </c>
      <c r="AD189" s="3"/>
    </row>
    <row r="190" spans="1:30" x14ac:dyDescent="0.25">
      <c r="A190" s="37">
        <v>45826</v>
      </c>
      <c r="B190" s="41">
        <v>1000000</v>
      </c>
      <c r="C190" s="41">
        <v>0</v>
      </c>
      <c r="D190" s="41">
        <v>2500000</v>
      </c>
      <c r="E190" s="41">
        <v>0</v>
      </c>
      <c r="F190" s="41">
        <v>8833333.3333333191</v>
      </c>
      <c r="G190" s="41">
        <v>131944.44444444441</v>
      </c>
      <c r="H190" s="41">
        <v>50000000</v>
      </c>
      <c r="I190" s="41">
        <v>0</v>
      </c>
      <c r="J190" s="41">
        <v>0</v>
      </c>
      <c r="K190" s="41">
        <v>0</v>
      </c>
      <c r="L190" s="41">
        <v>0</v>
      </c>
      <c r="M190" s="41">
        <v>0</v>
      </c>
      <c r="N190" s="41">
        <v>16924999.99999994</v>
      </c>
      <c r="O190" s="41">
        <v>79166.666666666672</v>
      </c>
      <c r="P190" s="41">
        <v>42999999.999999978</v>
      </c>
      <c r="Q190" s="41">
        <v>166666.66666666669</v>
      </c>
      <c r="R190" s="41">
        <v>2500000</v>
      </c>
      <c r="S190" s="41">
        <v>0</v>
      </c>
      <c r="T190" s="41">
        <v>0</v>
      </c>
      <c r="U190" s="41">
        <v>0</v>
      </c>
      <c r="V190" s="41">
        <v>124758333.3333333</v>
      </c>
      <c r="W190" s="41">
        <v>377777.77777777781</v>
      </c>
      <c r="X190" s="38">
        <f t="shared" si="12"/>
        <v>0.24951666666666661</v>
      </c>
      <c r="Y190" s="39">
        <f t="shared" si="13"/>
        <v>7.5555555555555565E-4</v>
      </c>
      <c r="Z190" s="39">
        <f t="shared" si="17"/>
        <v>3.0372736002858627E-3</v>
      </c>
      <c r="AA190" s="41">
        <f t="shared" si="14"/>
        <v>375241666.66666669</v>
      </c>
      <c r="AB190" s="39">
        <f t="shared" si="15"/>
        <v>1.0067586074159617E-3</v>
      </c>
      <c r="AC190" s="38">
        <f t="shared" si="16"/>
        <v>0.52594027112424813</v>
      </c>
      <c r="AD190" s="3"/>
    </row>
    <row r="191" spans="1:30" x14ac:dyDescent="0.25">
      <c r="A191" s="37">
        <v>45827</v>
      </c>
      <c r="B191" s="41">
        <v>1000000</v>
      </c>
      <c r="C191" s="41">
        <v>0</v>
      </c>
      <c r="D191" s="41">
        <v>2500000</v>
      </c>
      <c r="E191" s="41">
        <v>0</v>
      </c>
      <c r="F191" s="41">
        <v>8965277.7777777631</v>
      </c>
      <c r="G191" s="41">
        <v>131944.44444444441</v>
      </c>
      <c r="H191" s="41">
        <v>50000000</v>
      </c>
      <c r="I191" s="41">
        <v>0</v>
      </c>
      <c r="J191" s="41">
        <v>0</v>
      </c>
      <c r="K191" s="41">
        <v>0</v>
      </c>
      <c r="L191" s="41">
        <v>0</v>
      </c>
      <c r="M191" s="41">
        <v>0</v>
      </c>
      <c r="N191" s="41">
        <v>17004166.666666608</v>
      </c>
      <c r="O191" s="41">
        <v>79166.666666666672</v>
      </c>
      <c r="P191" s="41">
        <v>43166666.666666642</v>
      </c>
      <c r="Q191" s="41">
        <v>166666.66666666669</v>
      </c>
      <c r="R191" s="41">
        <v>2500000</v>
      </c>
      <c r="S191" s="41">
        <v>0</v>
      </c>
      <c r="T191" s="41">
        <v>0</v>
      </c>
      <c r="U191" s="41">
        <v>0</v>
      </c>
      <c r="V191" s="41">
        <v>125136111.111111</v>
      </c>
      <c r="W191" s="41">
        <v>377777.77777777781</v>
      </c>
      <c r="X191" s="38">
        <f t="shared" si="12"/>
        <v>0.25027222222222201</v>
      </c>
      <c r="Y191" s="39">
        <f t="shared" si="13"/>
        <v>7.5555555555555565E-4</v>
      </c>
      <c r="Z191" s="39">
        <f t="shared" si="17"/>
        <v>3.0280765034622504E-3</v>
      </c>
      <c r="AA191" s="41">
        <f t="shared" si="14"/>
        <v>374863888.88888901</v>
      </c>
      <c r="AB191" s="39">
        <f t="shared" si="15"/>
        <v>1.0077731917510799E-3</v>
      </c>
      <c r="AC191" s="38">
        <f t="shared" si="16"/>
        <v>0.52661899759395459</v>
      </c>
      <c r="AD191" s="3"/>
    </row>
    <row r="192" spans="1:30" x14ac:dyDescent="0.25">
      <c r="A192" s="37">
        <v>45828</v>
      </c>
      <c r="B192" s="41">
        <v>1000000</v>
      </c>
      <c r="C192" s="41">
        <v>0</v>
      </c>
      <c r="D192" s="41">
        <v>2500000</v>
      </c>
      <c r="E192" s="41">
        <v>0</v>
      </c>
      <c r="F192" s="41">
        <v>9097222.2222222071</v>
      </c>
      <c r="G192" s="41">
        <v>131944.44444444441</v>
      </c>
      <c r="H192" s="41">
        <v>50000000</v>
      </c>
      <c r="I192" s="41">
        <v>0</v>
      </c>
      <c r="J192" s="41">
        <v>0</v>
      </c>
      <c r="K192" s="41">
        <v>0</v>
      </c>
      <c r="L192" s="41">
        <v>0</v>
      </c>
      <c r="M192" s="41">
        <v>0</v>
      </c>
      <c r="N192" s="41">
        <v>17083333.33333328</v>
      </c>
      <c r="O192" s="41">
        <v>79166.666666666672</v>
      </c>
      <c r="P192" s="41">
        <v>43333333.333333313</v>
      </c>
      <c r="Q192" s="41">
        <v>166666.66666666669</v>
      </c>
      <c r="R192" s="41">
        <v>2500000</v>
      </c>
      <c r="S192" s="41">
        <v>0</v>
      </c>
      <c r="T192" s="41">
        <v>0</v>
      </c>
      <c r="U192" s="41">
        <v>0</v>
      </c>
      <c r="V192" s="41">
        <v>125513888.88888881</v>
      </c>
      <c r="W192" s="41">
        <v>377777.77777777781</v>
      </c>
      <c r="X192" s="38">
        <f t="shared" si="12"/>
        <v>0.25102777777777763</v>
      </c>
      <c r="Y192" s="39">
        <f t="shared" si="13"/>
        <v>7.5555555555555565E-4</v>
      </c>
      <c r="Z192" s="39">
        <f t="shared" si="17"/>
        <v>3.0189349375124895E-3</v>
      </c>
      <c r="AA192" s="41">
        <f t="shared" si="14"/>
        <v>374486111.11111116</v>
      </c>
      <c r="AB192" s="39">
        <f t="shared" si="15"/>
        <v>1.0087898230909022E-3</v>
      </c>
      <c r="AC192" s="38">
        <f t="shared" si="16"/>
        <v>0.5272942369443977</v>
      </c>
      <c r="AD192" s="3"/>
    </row>
    <row r="193" spans="1:30" x14ac:dyDescent="0.25">
      <c r="A193" s="37">
        <v>45829</v>
      </c>
      <c r="B193" s="41">
        <v>1000000</v>
      </c>
      <c r="C193" s="41">
        <v>0</v>
      </c>
      <c r="D193" s="41">
        <v>2500000</v>
      </c>
      <c r="E193" s="41">
        <v>0</v>
      </c>
      <c r="F193" s="41">
        <v>9229166.6666666511</v>
      </c>
      <c r="G193" s="41">
        <v>131944.44444444441</v>
      </c>
      <c r="H193" s="41">
        <v>50000000</v>
      </c>
      <c r="I193" s="41">
        <v>0</v>
      </c>
      <c r="J193" s="41">
        <v>0</v>
      </c>
      <c r="K193" s="41">
        <v>0</v>
      </c>
      <c r="L193" s="41">
        <v>0</v>
      </c>
      <c r="M193" s="41">
        <v>0</v>
      </c>
      <c r="N193" s="41">
        <v>17162499.999999952</v>
      </c>
      <c r="O193" s="41">
        <v>79166.666666666672</v>
      </c>
      <c r="P193" s="41">
        <v>43499999.99999997</v>
      </c>
      <c r="Q193" s="41">
        <v>166666.66666666669</v>
      </c>
      <c r="R193" s="41">
        <v>2500000</v>
      </c>
      <c r="S193" s="41">
        <v>0</v>
      </c>
      <c r="T193" s="41">
        <v>0</v>
      </c>
      <c r="U193" s="41">
        <v>0</v>
      </c>
      <c r="V193" s="41">
        <v>125891666.6666666</v>
      </c>
      <c r="W193" s="41">
        <v>377777.77777777781</v>
      </c>
      <c r="X193" s="38">
        <f t="shared" si="12"/>
        <v>0.25178333333333319</v>
      </c>
      <c r="Y193" s="39">
        <f t="shared" si="13"/>
        <v>7.5555555555555565E-4</v>
      </c>
      <c r="Z193" s="39">
        <f t="shared" si="17"/>
        <v>3.0098484010180394E-3</v>
      </c>
      <c r="AA193" s="41">
        <f t="shared" si="14"/>
        <v>374108333.33333337</v>
      </c>
      <c r="AB193" s="39">
        <f t="shared" si="15"/>
        <v>1.0098085076366769E-3</v>
      </c>
      <c r="AC193" s="38">
        <f t="shared" si="16"/>
        <v>0.52796601598058046</v>
      </c>
      <c r="AD193" s="3"/>
    </row>
    <row r="194" spans="1:30" x14ac:dyDescent="0.25">
      <c r="A194" s="37">
        <v>45830</v>
      </c>
      <c r="B194" s="41">
        <v>1000000</v>
      </c>
      <c r="C194" s="41">
        <v>0</v>
      </c>
      <c r="D194" s="41">
        <v>2500000</v>
      </c>
      <c r="E194" s="41">
        <v>0</v>
      </c>
      <c r="F194" s="41">
        <v>9361111.1111110952</v>
      </c>
      <c r="G194" s="41">
        <v>131944.44444444441</v>
      </c>
      <c r="H194" s="41">
        <v>50000000</v>
      </c>
      <c r="I194" s="41">
        <v>0</v>
      </c>
      <c r="J194" s="41">
        <v>0</v>
      </c>
      <c r="K194" s="41">
        <v>0</v>
      </c>
      <c r="L194" s="41">
        <v>0</v>
      </c>
      <c r="M194" s="41">
        <v>0</v>
      </c>
      <c r="N194" s="41">
        <v>17241666.666666619</v>
      </c>
      <c r="O194" s="41">
        <v>79166.666666666672</v>
      </c>
      <c r="P194" s="41">
        <v>43666666.666666627</v>
      </c>
      <c r="Q194" s="41">
        <v>166666.66666666669</v>
      </c>
      <c r="R194" s="41">
        <v>2500000</v>
      </c>
      <c r="S194" s="41">
        <v>0</v>
      </c>
      <c r="T194" s="41">
        <v>0</v>
      </c>
      <c r="U194" s="41">
        <v>0</v>
      </c>
      <c r="V194" s="41">
        <v>126269444.4444444</v>
      </c>
      <c r="W194" s="41">
        <v>377777.77777777781</v>
      </c>
      <c r="X194" s="38">
        <f t="shared" si="12"/>
        <v>0.25253888888888881</v>
      </c>
      <c r="Y194" s="39">
        <f t="shared" si="13"/>
        <v>7.5555555555555565E-4</v>
      </c>
      <c r="Z194" s="39">
        <f t="shared" si="17"/>
        <v>3.0008163985790269E-3</v>
      </c>
      <c r="AA194" s="41">
        <f t="shared" si="14"/>
        <v>373730555.55555558</v>
      </c>
      <c r="AB194" s="39">
        <f t="shared" si="15"/>
        <v>1.0108292516147253E-3</v>
      </c>
      <c r="AC194" s="38">
        <f t="shared" si="16"/>
        <v>0.52863436123347973</v>
      </c>
      <c r="AD194" s="3"/>
    </row>
    <row r="195" spans="1:30" x14ac:dyDescent="0.25">
      <c r="A195" s="37">
        <v>45831</v>
      </c>
      <c r="B195" s="41">
        <v>1000000</v>
      </c>
      <c r="C195" s="41">
        <v>0</v>
      </c>
      <c r="D195" s="41">
        <v>2500000</v>
      </c>
      <c r="E195" s="41">
        <v>0</v>
      </c>
      <c r="F195" s="41">
        <v>9493055.5555555392</v>
      </c>
      <c r="G195" s="41">
        <v>131944.44444444441</v>
      </c>
      <c r="H195" s="41">
        <v>50000000</v>
      </c>
      <c r="I195" s="41">
        <v>0</v>
      </c>
      <c r="J195" s="41">
        <v>0</v>
      </c>
      <c r="K195" s="41">
        <v>0</v>
      </c>
      <c r="L195" s="41">
        <v>0</v>
      </c>
      <c r="M195" s="41">
        <v>0</v>
      </c>
      <c r="N195" s="41">
        <v>17320833.33333328</v>
      </c>
      <c r="O195" s="41">
        <v>79166.666666666672</v>
      </c>
      <c r="P195" s="41">
        <v>43833333.333333299</v>
      </c>
      <c r="Q195" s="41">
        <v>166666.66666666669</v>
      </c>
      <c r="R195" s="41">
        <v>2500000</v>
      </c>
      <c r="S195" s="41">
        <v>0</v>
      </c>
      <c r="T195" s="41">
        <v>0</v>
      </c>
      <c r="U195" s="41">
        <v>0</v>
      </c>
      <c r="V195" s="41">
        <v>126647222.2222221</v>
      </c>
      <c r="W195" s="41">
        <v>377777.77777777781</v>
      </c>
      <c r="X195" s="38">
        <f t="shared" si="12"/>
        <v>0.25329444444444421</v>
      </c>
      <c r="Y195" s="39">
        <f t="shared" si="13"/>
        <v>7.5555555555555565E-4</v>
      </c>
      <c r="Z195" s="39">
        <f t="shared" si="17"/>
        <v>2.9918384407242021E-3</v>
      </c>
      <c r="AA195" s="41">
        <f t="shared" si="14"/>
        <v>373352777.77777791</v>
      </c>
      <c r="AB195" s="39">
        <f t="shared" si="15"/>
        <v>1.0118520612765701E-3</v>
      </c>
      <c r="AC195" s="38">
        <f t="shared" si="16"/>
        <v>0.52929929896353956</v>
      </c>
      <c r="AD195" s="3"/>
    </row>
    <row r="196" spans="1:30" x14ac:dyDescent="0.25">
      <c r="A196" s="37">
        <v>45832</v>
      </c>
      <c r="B196" s="41">
        <v>1000000</v>
      </c>
      <c r="C196" s="41">
        <v>0</v>
      </c>
      <c r="D196" s="41">
        <v>2500000</v>
      </c>
      <c r="E196" s="41">
        <v>0</v>
      </c>
      <c r="F196" s="41">
        <v>9624999.9999999832</v>
      </c>
      <c r="G196" s="41">
        <v>131944.44444444441</v>
      </c>
      <c r="H196" s="41">
        <v>50000000</v>
      </c>
      <c r="I196" s="41">
        <v>0</v>
      </c>
      <c r="J196" s="41">
        <v>0</v>
      </c>
      <c r="K196" s="41">
        <v>0</v>
      </c>
      <c r="L196" s="41">
        <v>0</v>
      </c>
      <c r="M196" s="41">
        <v>0</v>
      </c>
      <c r="N196" s="41">
        <v>17399999.999999952</v>
      </c>
      <c r="O196" s="41">
        <v>79166.666666666672</v>
      </c>
      <c r="P196" s="41">
        <v>43999999.999999963</v>
      </c>
      <c r="Q196" s="41">
        <v>166666.66666666669</v>
      </c>
      <c r="R196" s="41">
        <v>2500000</v>
      </c>
      <c r="S196" s="41">
        <v>0</v>
      </c>
      <c r="T196" s="41">
        <v>0</v>
      </c>
      <c r="U196" s="41">
        <v>0</v>
      </c>
      <c r="V196" s="41">
        <v>127024999.9999999</v>
      </c>
      <c r="W196" s="41">
        <v>377777.77777777781</v>
      </c>
      <c r="X196" s="38">
        <f t="shared" si="12"/>
        <v>0.25404999999999978</v>
      </c>
      <c r="Y196" s="39">
        <f t="shared" si="13"/>
        <v>7.5555555555555565E-4</v>
      </c>
      <c r="Z196" s="39">
        <f t="shared" si="17"/>
        <v>2.9829140438225195E-3</v>
      </c>
      <c r="AA196" s="41">
        <f t="shared" si="14"/>
        <v>372975000.00000012</v>
      </c>
      <c r="AB196" s="39">
        <f t="shared" si="15"/>
        <v>1.012876942899062E-3</v>
      </c>
      <c r="AC196" s="38">
        <f t="shared" si="16"/>
        <v>0.52996085516410718</v>
      </c>
      <c r="AD196" s="3"/>
    </row>
    <row r="197" spans="1:30" x14ac:dyDescent="0.25">
      <c r="A197" s="37">
        <v>45833</v>
      </c>
      <c r="B197" s="41">
        <v>1000000</v>
      </c>
      <c r="C197" s="41">
        <v>0</v>
      </c>
      <c r="D197" s="41">
        <v>2500000</v>
      </c>
      <c r="E197" s="41">
        <v>0</v>
      </c>
      <c r="F197" s="41">
        <v>9756944.4444444273</v>
      </c>
      <c r="G197" s="41">
        <v>131944.44444444441</v>
      </c>
      <c r="H197" s="41">
        <v>50000000</v>
      </c>
      <c r="I197" s="41">
        <v>0</v>
      </c>
      <c r="J197" s="41">
        <v>0</v>
      </c>
      <c r="K197" s="41">
        <v>0</v>
      </c>
      <c r="L197" s="41">
        <v>0</v>
      </c>
      <c r="M197" s="41">
        <v>0</v>
      </c>
      <c r="N197" s="41">
        <v>17479166.666666619</v>
      </c>
      <c r="O197" s="41">
        <v>79166.666666666672</v>
      </c>
      <c r="P197" s="41">
        <v>44166666.666666627</v>
      </c>
      <c r="Q197" s="41">
        <v>166666.66666666669</v>
      </c>
      <c r="R197" s="41">
        <v>2500000</v>
      </c>
      <c r="S197" s="41">
        <v>0</v>
      </c>
      <c r="T197" s="41">
        <v>0</v>
      </c>
      <c r="U197" s="41">
        <v>0</v>
      </c>
      <c r="V197" s="41">
        <v>127402777.7777777</v>
      </c>
      <c r="W197" s="41">
        <v>377777.77777777781</v>
      </c>
      <c r="X197" s="38">
        <f t="shared" si="12"/>
        <v>0.2548055555555554</v>
      </c>
      <c r="Y197" s="39">
        <f t="shared" si="13"/>
        <v>7.5555555555555565E-4</v>
      </c>
      <c r="Z197" s="39">
        <f t="shared" si="17"/>
        <v>2.9740427299962853E-3</v>
      </c>
      <c r="AA197" s="41">
        <f t="shared" si="14"/>
        <v>372597222.22222233</v>
      </c>
      <c r="AB197" s="39">
        <f t="shared" si="15"/>
        <v>1.013903902784508E-3</v>
      </c>
      <c r="AC197" s="38">
        <f t="shared" si="16"/>
        <v>0.53061905556482536</v>
      </c>
      <c r="AD197" s="3"/>
    </row>
    <row r="198" spans="1:30" x14ac:dyDescent="0.25">
      <c r="A198" s="37">
        <v>45834</v>
      </c>
      <c r="B198" s="41">
        <v>1000000</v>
      </c>
      <c r="C198" s="41">
        <v>0</v>
      </c>
      <c r="D198" s="41">
        <v>2500000</v>
      </c>
      <c r="E198" s="41">
        <v>0</v>
      </c>
      <c r="F198" s="41">
        <v>9888888.8888888713</v>
      </c>
      <c r="G198" s="41">
        <v>131944.44444444441</v>
      </c>
      <c r="H198" s="41">
        <v>50000000</v>
      </c>
      <c r="I198" s="41">
        <v>0</v>
      </c>
      <c r="J198" s="41">
        <v>0</v>
      </c>
      <c r="K198" s="41">
        <v>0</v>
      </c>
      <c r="L198" s="41">
        <v>0</v>
      </c>
      <c r="M198" s="41">
        <v>0</v>
      </c>
      <c r="N198" s="41">
        <v>17558333.333333291</v>
      </c>
      <c r="O198" s="41">
        <v>79166.666666666672</v>
      </c>
      <c r="P198" s="41">
        <v>44333333.333333291</v>
      </c>
      <c r="Q198" s="41">
        <v>166666.66666666669</v>
      </c>
      <c r="R198" s="41">
        <v>2500000</v>
      </c>
      <c r="S198" s="41">
        <v>0</v>
      </c>
      <c r="T198" s="41">
        <v>0</v>
      </c>
      <c r="U198" s="41">
        <v>0</v>
      </c>
      <c r="V198" s="41">
        <v>127780555.55555549</v>
      </c>
      <c r="W198" s="41">
        <v>377777.77777777781</v>
      </c>
      <c r="X198" s="38">
        <f t="shared" si="12"/>
        <v>0.25556111111111096</v>
      </c>
      <c r="Y198" s="39">
        <f t="shared" si="13"/>
        <v>7.5555555555555565E-4</v>
      </c>
      <c r="Z198" s="39">
        <f t="shared" si="17"/>
        <v>2.9652240270358681E-3</v>
      </c>
      <c r="AA198" s="41">
        <f t="shared" si="14"/>
        <v>372219444.44444454</v>
      </c>
      <c r="AB198" s="39">
        <f t="shared" si="15"/>
        <v>1.0149329472608003E-3</v>
      </c>
      <c r="AC198" s="38">
        <f t="shared" si="16"/>
        <v>0.53127392563496512</v>
      </c>
      <c r="AD198" s="3"/>
    </row>
    <row r="199" spans="1:30" x14ac:dyDescent="0.25">
      <c r="A199" s="37">
        <v>45835</v>
      </c>
      <c r="B199" s="41">
        <v>1000000</v>
      </c>
      <c r="C199" s="41">
        <v>0</v>
      </c>
      <c r="D199" s="41">
        <v>2500000</v>
      </c>
      <c r="E199" s="41">
        <v>0</v>
      </c>
      <c r="F199" s="41">
        <v>10020833.333333321</v>
      </c>
      <c r="G199" s="41">
        <v>131944.44444444441</v>
      </c>
      <c r="H199" s="41">
        <v>50000000</v>
      </c>
      <c r="I199" s="41">
        <v>0</v>
      </c>
      <c r="J199" s="41">
        <v>0</v>
      </c>
      <c r="K199" s="41">
        <v>0</v>
      </c>
      <c r="L199" s="41">
        <v>0</v>
      </c>
      <c r="M199" s="41">
        <v>0</v>
      </c>
      <c r="N199" s="41">
        <v>17637499.999999959</v>
      </c>
      <c r="O199" s="41">
        <v>79166.666666666672</v>
      </c>
      <c r="P199" s="41">
        <v>44499999.999999963</v>
      </c>
      <c r="Q199" s="41">
        <v>166666.66666666669</v>
      </c>
      <c r="R199" s="41">
        <v>2500000</v>
      </c>
      <c r="S199" s="41">
        <v>0</v>
      </c>
      <c r="T199" s="41">
        <v>0</v>
      </c>
      <c r="U199" s="41">
        <v>0</v>
      </c>
      <c r="V199" s="41">
        <v>128158333.33333319</v>
      </c>
      <c r="W199" s="41">
        <v>377777.77777777781</v>
      </c>
      <c r="X199" s="38">
        <f t="shared" si="12"/>
        <v>0.25631666666666642</v>
      </c>
      <c r="Y199" s="39">
        <f t="shared" si="13"/>
        <v>7.5555555555555565E-4</v>
      </c>
      <c r="Z199" s="39">
        <f t="shared" si="17"/>
        <v>2.9564574683159078E-3</v>
      </c>
      <c r="AA199" s="41">
        <f t="shared" si="14"/>
        <v>371841666.66666681</v>
      </c>
      <c r="AB199" s="39">
        <f t="shared" si="15"/>
        <v>1.0159640826815472E-3</v>
      </c>
      <c r="AC199" s="38">
        <f t="shared" si="16"/>
        <v>0.53192549058671212</v>
      </c>
      <c r="AD199" s="3"/>
    </row>
    <row r="200" spans="1:30" x14ac:dyDescent="0.25">
      <c r="A200" s="37">
        <v>45836</v>
      </c>
      <c r="B200" s="41">
        <v>1000000</v>
      </c>
      <c r="C200" s="41">
        <v>0</v>
      </c>
      <c r="D200" s="41">
        <v>2500000</v>
      </c>
      <c r="E200" s="41">
        <v>0</v>
      </c>
      <c r="F200" s="41">
        <v>10152777.777777759</v>
      </c>
      <c r="G200" s="41">
        <v>131944.44444444441</v>
      </c>
      <c r="H200" s="41">
        <v>50000000</v>
      </c>
      <c r="I200" s="41">
        <v>0</v>
      </c>
      <c r="J200" s="41">
        <v>0</v>
      </c>
      <c r="K200" s="41">
        <v>0</v>
      </c>
      <c r="L200" s="41">
        <v>0</v>
      </c>
      <c r="M200" s="41">
        <v>0</v>
      </c>
      <c r="N200" s="41">
        <v>17716666.666666619</v>
      </c>
      <c r="O200" s="41">
        <v>79166.666666666672</v>
      </c>
      <c r="P200" s="41">
        <v>44666666.666666619</v>
      </c>
      <c r="Q200" s="41">
        <v>166666.66666666669</v>
      </c>
      <c r="R200" s="41">
        <v>2500000</v>
      </c>
      <c r="S200" s="41">
        <v>0</v>
      </c>
      <c r="T200" s="41">
        <v>0</v>
      </c>
      <c r="U200" s="41">
        <v>0</v>
      </c>
      <c r="V200" s="41">
        <v>128536111.111111</v>
      </c>
      <c r="W200" s="41">
        <v>377777.77777777781</v>
      </c>
      <c r="X200" s="38">
        <f t="shared" si="12"/>
        <v>0.25707222222222198</v>
      </c>
      <c r="Y200" s="39">
        <f t="shared" si="13"/>
        <v>7.5555555555555565E-4</v>
      </c>
      <c r="Z200" s="39">
        <f t="shared" si="17"/>
        <v>2.9477425927130103E-3</v>
      </c>
      <c r="AA200" s="41">
        <f t="shared" si="14"/>
        <v>371463888.88888901</v>
      </c>
      <c r="AB200" s="39">
        <f t="shared" si="15"/>
        <v>1.0169973154262038E-3</v>
      </c>
      <c r="AC200" s="38">
        <f t="shared" si="16"/>
        <v>0.53257377537839878</v>
      </c>
      <c r="AD200" s="3"/>
    </row>
    <row r="201" spans="1:30" x14ac:dyDescent="0.25">
      <c r="A201" s="37">
        <v>45837</v>
      </c>
      <c r="B201" s="41">
        <v>1000000</v>
      </c>
      <c r="C201" s="41">
        <v>0</v>
      </c>
      <c r="D201" s="41">
        <v>2500000</v>
      </c>
      <c r="E201" s="41">
        <v>0</v>
      </c>
      <c r="F201" s="41">
        <v>10284722.2222222</v>
      </c>
      <c r="G201" s="41">
        <v>131944.44444444441</v>
      </c>
      <c r="H201" s="41">
        <v>50000000</v>
      </c>
      <c r="I201" s="41">
        <v>0</v>
      </c>
      <c r="J201" s="41">
        <v>0</v>
      </c>
      <c r="K201" s="41">
        <v>0</v>
      </c>
      <c r="L201" s="41">
        <v>0</v>
      </c>
      <c r="M201" s="41">
        <v>0</v>
      </c>
      <c r="N201" s="41">
        <v>17795833.333333291</v>
      </c>
      <c r="O201" s="41">
        <v>79166.666666666672</v>
      </c>
      <c r="P201" s="41">
        <v>44833333.333333284</v>
      </c>
      <c r="Q201" s="41">
        <v>166666.66666666669</v>
      </c>
      <c r="R201" s="41">
        <v>2500000</v>
      </c>
      <c r="S201" s="41">
        <v>0</v>
      </c>
      <c r="T201" s="41">
        <v>0</v>
      </c>
      <c r="U201" s="41">
        <v>0</v>
      </c>
      <c r="V201" s="41">
        <v>128913888.88888881</v>
      </c>
      <c r="W201" s="41">
        <v>377777.77777777781</v>
      </c>
      <c r="X201" s="38">
        <f t="shared" si="12"/>
        <v>0.2578277777777776</v>
      </c>
      <c r="Y201" s="39">
        <f t="shared" si="13"/>
        <v>7.5555555555555565E-4</v>
      </c>
      <c r="Z201" s="39">
        <f t="shared" si="17"/>
        <v>2.9390789445248879E-3</v>
      </c>
      <c r="AA201" s="41">
        <f t="shared" si="14"/>
        <v>371086111.11111116</v>
      </c>
      <c r="AB201" s="39">
        <f t="shared" si="15"/>
        <v>1.0180326519002028E-3</v>
      </c>
      <c r="AC201" s="38">
        <f t="shared" si="16"/>
        <v>0.53321880471769756</v>
      </c>
      <c r="AD201" s="3"/>
    </row>
    <row r="202" spans="1:30" x14ac:dyDescent="0.25">
      <c r="A202" s="37">
        <v>45838</v>
      </c>
      <c r="B202" s="41">
        <v>1000000</v>
      </c>
      <c r="C202" s="41">
        <v>0</v>
      </c>
      <c r="D202" s="41">
        <v>2500000</v>
      </c>
      <c r="E202" s="41">
        <v>0</v>
      </c>
      <c r="F202" s="41">
        <v>10416666.666666649</v>
      </c>
      <c r="G202" s="41">
        <v>131944.44444444441</v>
      </c>
      <c r="H202" s="41">
        <v>50000000</v>
      </c>
      <c r="I202" s="41">
        <v>0</v>
      </c>
      <c r="J202" s="41">
        <v>0</v>
      </c>
      <c r="K202" s="41">
        <v>0</v>
      </c>
      <c r="L202" s="41">
        <v>0</v>
      </c>
      <c r="M202" s="41">
        <v>0</v>
      </c>
      <c r="N202" s="41">
        <v>17874999.999999959</v>
      </c>
      <c r="O202" s="41">
        <v>79166.666666666672</v>
      </c>
      <c r="P202" s="41">
        <v>44999999.999999948</v>
      </c>
      <c r="Q202" s="41">
        <v>166666.66666666669</v>
      </c>
      <c r="R202" s="41">
        <v>2500000</v>
      </c>
      <c r="S202" s="41">
        <v>0</v>
      </c>
      <c r="T202" s="41">
        <v>0</v>
      </c>
      <c r="U202" s="41">
        <v>0</v>
      </c>
      <c r="V202" s="41">
        <v>129291666.6666666</v>
      </c>
      <c r="W202" s="41">
        <v>377777.77777777781</v>
      </c>
      <c r="X202" s="38">
        <f t="shared" si="12"/>
        <v>0.25858333333333322</v>
      </c>
      <c r="Y202" s="39">
        <f t="shared" si="13"/>
        <v>7.5555555555555565E-4</v>
      </c>
      <c r="Z202" s="39">
        <f t="shared" si="17"/>
        <v>2.9304660733909392E-3</v>
      </c>
      <c r="AA202" s="41">
        <f t="shared" si="14"/>
        <v>370708333.33333337</v>
      </c>
      <c r="AB202" s="39">
        <f t="shared" si="15"/>
        <v>1.0190700985350867E-3</v>
      </c>
      <c r="AC202" s="38">
        <f t="shared" si="16"/>
        <v>0.5338606030647548</v>
      </c>
      <c r="AD202" s="3"/>
    </row>
    <row r="203" spans="1:30" x14ac:dyDescent="0.25">
      <c r="A203" s="37">
        <v>45839</v>
      </c>
      <c r="B203" s="41">
        <v>1035185.1851851851</v>
      </c>
      <c r="C203" s="41">
        <v>35185.185185185182</v>
      </c>
      <c r="D203" s="41">
        <v>2631944.444444444</v>
      </c>
      <c r="E203" s="41">
        <v>131944.44444444441</v>
      </c>
      <c r="F203" s="41">
        <v>10548611.11111109</v>
      </c>
      <c r="G203" s="41">
        <v>131944.44444444441</v>
      </c>
      <c r="H203" s="41">
        <v>50000000</v>
      </c>
      <c r="I203" s="41">
        <v>0</v>
      </c>
      <c r="J203" s="41">
        <v>0</v>
      </c>
      <c r="K203" s="41">
        <v>0</v>
      </c>
      <c r="L203" s="41">
        <v>27777.777777777781</v>
      </c>
      <c r="M203" s="41">
        <v>27777.777777777781</v>
      </c>
      <c r="N203" s="41">
        <v>17954166.666666631</v>
      </c>
      <c r="O203" s="41">
        <v>79166.666666666672</v>
      </c>
      <c r="P203" s="41">
        <v>45166666.666666612</v>
      </c>
      <c r="Q203" s="41">
        <v>166666.66666666669</v>
      </c>
      <c r="R203" s="41">
        <v>2587962.9629629632</v>
      </c>
      <c r="S203" s="41">
        <v>87962.962962962964</v>
      </c>
      <c r="T203" s="41">
        <v>64814.814814814818</v>
      </c>
      <c r="U203" s="41">
        <v>64814.814814814818</v>
      </c>
      <c r="V203" s="41">
        <v>130017129.62962949</v>
      </c>
      <c r="W203" s="41">
        <v>725462.96296296292</v>
      </c>
      <c r="X203" s="38">
        <f t="shared" si="12"/>
        <v>0.26003425925925899</v>
      </c>
      <c r="Y203" s="39">
        <f t="shared" si="13"/>
        <v>1.4509259259259258E-3</v>
      </c>
      <c r="Z203" s="39">
        <f t="shared" si="17"/>
        <v>5.6110573996490882E-3</v>
      </c>
      <c r="AA203" s="41">
        <f t="shared" si="14"/>
        <v>369982870.37037051</v>
      </c>
      <c r="AB203" s="39">
        <f t="shared" si="15"/>
        <v>1.9608014885574023E-3</v>
      </c>
      <c r="AC203" s="38">
        <f t="shared" si="16"/>
        <v>0.5323090185893482</v>
      </c>
      <c r="AD203" s="3"/>
    </row>
    <row r="204" spans="1:30" x14ac:dyDescent="0.25">
      <c r="A204" s="37">
        <v>45840</v>
      </c>
      <c r="B204" s="41">
        <v>1070370.3703703701</v>
      </c>
      <c r="C204" s="41">
        <v>35185.185185185182</v>
      </c>
      <c r="D204" s="41">
        <v>2763888.888888889</v>
      </c>
      <c r="E204" s="41">
        <v>131944.44444444441</v>
      </c>
      <c r="F204" s="41">
        <v>10680555.555555539</v>
      </c>
      <c r="G204" s="41">
        <v>131944.44444444441</v>
      </c>
      <c r="H204" s="41">
        <v>50000000</v>
      </c>
      <c r="I204" s="41">
        <v>0</v>
      </c>
      <c r="J204" s="41">
        <v>0</v>
      </c>
      <c r="K204" s="41">
        <v>0</v>
      </c>
      <c r="L204" s="41">
        <v>55555.555555555547</v>
      </c>
      <c r="M204" s="41">
        <v>27777.777777777781</v>
      </c>
      <c r="N204" s="41">
        <v>18033333.333333291</v>
      </c>
      <c r="O204" s="41">
        <v>79166.666666666672</v>
      </c>
      <c r="P204" s="41">
        <v>45333333.333333284</v>
      </c>
      <c r="Q204" s="41">
        <v>166666.66666666669</v>
      </c>
      <c r="R204" s="41">
        <v>2675925.9259259258</v>
      </c>
      <c r="S204" s="41">
        <v>87962.962962962964</v>
      </c>
      <c r="T204" s="41">
        <v>129629.62962962961</v>
      </c>
      <c r="U204" s="41">
        <v>64814.814814814818</v>
      </c>
      <c r="V204" s="41">
        <v>130742592.59259249</v>
      </c>
      <c r="W204" s="41">
        <v>725462.96296296292</v>
      </c>
      <c r="X204" s="38">
        <f t="shared" si="12"/>
        <v>0.26148518518518499</v>
      </c>
      <c r="Y204" s="39">
        <f t="shared" si="13"/>
        <v>1.4509259259259258E-3</v>
      </c>
      <c r="Z204" s="39">
        <f t="shared" si="17"/>
        <v>5.5797491071333249E-3</v>
      </c>
      <c r="AA204" s="41">
        <f t="shared" si="14"/>
        <v>369257407.40740752</v>
      </c>
      <c r="AB204" s="39">
        <f t="shared" si="15"/>
        <v>1.9646537846227906E-3</v>
      </c>
      <c r="AC204" s="38">
        <f t="shared" si="16"/>
        <v>0.53077773682270524</v>
      </c>
      <c r="AD204" s="3"/>
    </row>
    <row r="205" spans="1:30" x14ac:dyDescent="0.25">
      <c r="A205" s="37">
        <v>45841</v>
      </c>
      <c r="B205" s="41">
        <v>1105555.555555556</v>
      </c>
      <c r="C205" s="41">
        <v>35185.185185185182</v>
      </c>
      <c r="D205" s="41">
        <v>2895833.333333333</v>
      </c>
      <c r="E205" s="41">
        <v>131944.44444444441</v>
      </c>
      <c r="F205" s="41">
        <v>10812499.99999998</v>
      </c>
      <c r="G205" s="41">
        <v>131944.44444444441</v>
      </c>
      <c r="H205" s="41">
        <v>50000000</v>
      </c>
      <c r="I205" s="41">
        <v>0</v>
      </c>
      <c r="J205" s="41">
        <v>0</v>
      </c>
      <c r="K205" s="41">
        <v>0</v>
      </c>
      <c r="L205" s="41">
        <v>83333.333333333328</v>
      </c>
      <c r="M205" s="41">
        <v>27777.777777777781</v>
      </c>
      <c r="N205" s="41">
        <v>18112499.999999959</v>
      </c>
      <c r="O205" s="41">
        <v>79166.666666666672</v>
      </c>
      <c r="P205" s="41">
        <v>45499999.99999994</v>
      </c>
      <c r="Q205" s="41">
        <v>166666.66666666669</v>
      </c>
      <c r="R205" s="41">
        <v>2763888.888888889</v>
      </c>
      <c r="S205" s="41">
        <v>87962.962962962964</v>
      </c>
      <c r="T205" s="41">
        <v>194444.44444444441</v>
      </c>
      <c r="U205" s="41">
        <v>64814.814814814818</v>
      </c>
      <c r="V205" s="41">
        <v>131468055.5555554</v>
      </c>
      <c r="W205" s="41">
        <v>725462.96296296292</v>
      </c>
      <c r="X205" s="38">
        <f t="shared" si="12"/>
        <v>0.26293611111111082</v>
      </c>
      <c r="Y205" s="39">
        <f t="shared" si="13"/>
        <v>1.4509259259259258E-3</v>
      </c>
      <c r="Z205" s="39">
        <f t="shared" si="17"/>
        <v>5.5487882607895113E-3</v>
      </c>
      <c r="AA205" s="41">
        <f t="shared" si="14"/>
        <v>368531944.4444446</v>
      </c>
      <c r="AB205" s="39">
        <f t="shared" si="15"/>
        <v>1.9685212473414906E-3</v>
      </c>
      <c r="AC205" s="38">
        <f t="shared" si="16"/>
        <v>0.5292663618592176</v>
      </c>
      <c r="AD205" s="3"/>
    </row>
    <row r="206" spans="1:30" x14ac:dyDescent="0.25">
      <c r="A206" s="37">
        <v>45842</v>
      </c>
      <c r="B206" s="41">
        <v>1140740.7407407409</v>
      </c>
      <c r="C206" s="41">
        <v>35185.185185185182</v>
      </c>
      <c r="D206" s="41">
        <v>3027777.777777778</v>
      </c>
      <c r="E206" s="41">
        <v>131944.44444444441</v>
      </c>
      <c r="F206" s="41">
        <v>10944444.44444442</v>
      </c>
      <c r="G206" s="41">
        <v>131944.44444444441</v>
      </c>
      <c r="H206" s="41">
        <v>50000000</v>
      </c>
      <c r="I206" s="41">
        <v>0</v>
      </c>
      <c r="J206" s="41">
        <v>0</v>
      </c>
      <c r="K206" s="41">
        <v>0</v>
      </c>
      <c r="L206" s="41">
        <v>111111.11111111109</v>
      </c>
      <c r="M206" s="41">
        <v>27777.777777777781</v>
      </c>
      <c r="N206" s="41">
        <v>18191666.666666631</v>
      </c>
      <c r="O206" s="41">
        <v>79166.666666666672</v>
      </c>
      <c r="P206" s="41">
        <v>45666666.666666597</v>
      </c>
      <c r="Q206" s="41">
        <v>166666.66666666669</v>
      </c>
      <c r="R206" s="41">
        <v>2851851.8518518531</v>
      </c>
      <c r="S206" s="41">
        <v>87962.962962962964</v>
      </c>
      <c r="T206" s="41">
        <v>259259.2592592593</v>
      </c>
      <c r="U206" s="41">
        <v>64814.814814814818</v>
      </c>
      <c r="V206" s="41">
        <v>132193518.5185184</v>
      </c>
      <c r="W206" s="41">
        <v>725462.96296296292</v>
      </c>
      <c r="X206" s="38">
        <f t="shared" si="12"/>
        <v>0.26438703703703681</v>
      </c>
      <c r="Y206" s="39">
        <f t="shared" si="13"/>
        <v>1.4509259259259258E-3</v>
      </c>
      <c r="Z206" s="39">
        <f t="shared" si="17"/>
        <v>5.5181691088174558E-3</v>
      </c>
      <c r="AA206" s="41">
        <f t="shared" si="14"/>
        <v>367806481.48148161</v>
      </c>
      <c r="AB206" s="39">
        <f t="shared" si="15"/>
        <v>1.9724039664578033E-3</v>
      </c>
      <c r="AC206" s="38">
        <f t="shared" si="16"/>
        <v>0.52777450802041703</v>
      </c>
      <c r="AD206" s="3"/>
    </row>
    <row r="207" spans="1:30" x14ac:dyDescent="0.25">
      <c r="A207" s="37">
        <v>45843</v>
      </c>
      <c r="B207" s="41">
        <v>1175925.9259259261</v>
      </c>
      <c r="C207" s="41">
        <v>35185.185185185182</v>
      </c>
      <c r="D207" s="41">
        <v>3159722.222222222</v>
      </c>
      <c r="E207" s="41">
        <v>131944.44444444441</v>
      </c>
      <c r="F207" s="41">
        <v>11076388.888888869</v>
      </c>
      <c r="G207" s="41">
        <v>131944.44444444441</v>
      </c>
      <c r="H207" s="41">
        <v>50000000</v>
      </c>
      <c r="I207" s="41">
        <v>0</v>
      </c>
      <c r="J207" s="41">
        <v>0</v>
      </c>
      <c r="K207" s="41">
        <v>0</v>
      </c>
      <c r="L207" s="41">
        <v>138888.88888888891</v>
      </c>
      <c r="M207" s="41">
        <v>27777.777777777781</v>
      </c>
      <c r="N207" s="41">
        <v>18270833.333333299</v>
      </c>
      <c r="O207" s="41">
        <v>79166.666666666672</v>
      </c>
      <c r="P207" s="41">
        <v>45833333.333333269</v>
      </c>
      <c r="Q207" s="41">
        <v>166666.66666666669</v>
      </c>
      <c r="R207" s="41">
        <v>2939814.8148148162</v>
      </c>
      <c r="S207" s="41">
        <v>87962.962962962964</v>
      </c>
      <c r="T207" s="41">
        <v>324074.0740740741</v>
      </c>
      <c r="U207" s="41">
        <v>64814.814814814818</v>
      </c>
      <c r="V207" s="41">
        <v>132918981.4814814</v>
      </c>
      <c r="W207" s="41">
        <v>725462.96296296292</v>
      </c>
      <c r="X207" s="38">
        <f t="shared" si="12"/>
        <v>0.2658379629629628</v>
      </c>
      <c r="Y207" s="39">
        <f t="shared" si="13"/>
        <v>1.4509259259259258E-3</v>
      </c>
      <c r="Z207" s="39">
        <f t="shared" si="17"/>
        <v>5.4878860256778478E-3</v>
      </c>
      <c r="AA207" s="41">
        <f t="shared" si="14"/>
        <v>367081018.51851857</v>
      </c>
      <c r="AB207" s="39">
        <f t="shared" si="15"/>
        <v>1.9763020324254782E-3</v>
      </c>
      <c r="AC207" s="38">
        <f t="shared" si="16"/>
        <v>0.52630179952685929</v>
      </c>
      <c r="AD207" s="3"/>
    </row>
    <row r="208" spans="1:30" x14ac:dyDescent="0.25">
      <c r="A208" s="37">
        <v>45844</v>
      </c>
      <c r="B208" s="41">
        <v>1211111.111111111</v>
      </c>
      <c r="C208" s="41">
        <v>35185.185185185182</v>
      </c>
      <c r="D208" s="41">
        <v>3291666.666666667</v>
      </c>
      <c r="E208" s="41">
        <v>131944.44444444441</v>
      </c>
      <c r="F208" s="41">
        <v>11208333.33333331</v>
      </c>
      <c r="G208" s="41">
        <v>131944.44444444441</v>
      </c>
      <c r="H208" s="41">
        <v>50000000</v>
      </c>
      <c r="I208" s="41">
        <v>0</v>
      </c>
      <c r="J208" s="41">
        <v>0</v>
      </c>
      <c r="K208" s="41">
        <v>0</v>
      </c>
      <c r="L208" s="41">
        <v>166666.66666666669</v>
      </c>
      <c r="M208" s="41">
        <v>27777.777777777781</v>
      </c>
      <c r="N208" s="41">
        <v>18349999.99999997</v>
      </c>
      <c r="O208" s="41">
        <v>79166.666666666672</v>
      </c>
      <c r="P208" s="41">
        <v>45999999.999999933</v>
      </c>
      <c r="Q208" s="41">
        <v>166666.66666666669</v>
      </c>
      <c r="R208" s="41">
        <v>3027777.7777777789</v>
      </c>
      <c r="S208" s="41">
        <v>87962.962962962964</v>
      </c>
      <c r="T208" s="41">
        <v>388888.88888888888</v>
      </c>
      <c r="U208" s="41">
        <v>64814.814814814818</v>
      </c>
      <c r="V208" s="41">
        <v>133644444.4444443</v>
      </c>
      <c r="W208" s="41">
        <v>725462.96296296292</v>
      </c>
      <c r="X208" s="38">
        <f t="shared" si="12"/>
        <v>0.26728888888888858</v>
      </c>
      <c r="Y208" s="39">
        <f t="shared" si="13"/>
        <v>1.4509259259259258E-3</v>
      </c>
      <c r="Z208" s="39">
        <f t="shared" si="17"/>
        <v>5.4579335086466655E-3</v>
      </c>
      <c r="AA208" s="41">
        <f t="shared" si="14"/>
        <v>366355555.5555557</v>
      </c>
      <c r="AB208" s="39">
        <f t="shared" si="15"/>
        <v>1.9802155364147347E-3</v>
      </c>
      <c r="AC208" s="38">
        <f t="shared" si="16"/>
        <v>0.52484787018255552</v>
      </c>
      <c r="AD208" s="3"/>
    </row>
    <row r="209" spans="1:30" x14ac:dyDescent="0.25">
      <c r="A209" s="37">
        <v>45845</v>
      </c>
      <c r="B209" s="41">
        <v>1246296.2962962959</v>
      </c>
      <c r="C209" s="41">
        <v>35185.185185185182</v>
      </c>
      <c r="D209" s="41">
        <v>3423611.111111111</v>
      </c>
      <c r="E209" s="41">
        <v>131944.44444444441</v>
      </c>
      <c r="F209" s="41">
        <v>11340277.777777759</v>
      </c>
      <c r="G209" s="41">
        <v>131944.44444444441</v>
      </c>
      <c r="H209" s="41">
        <v>50000000</v>
      </c>
      <c r="I209" s="41">
        <v>0</v>
      </c>
      <c r="J209" s="41">
        <v>0</v>
      </c>
      <c r="K209" s="41">
        <v>0</v>
      </c>
      <c r="L209" s="41">
        <v>194444.44444444441</v>
      </c>
      <c r="M209" s="41">
        <v>27777.777777777781</v>
      </c>
      <c r="N209" s="41">
        <v>18429166.666666631</v>
      </c>
      <c r="O209" s="41">
        <v>79166.666666666672</v>
      </c>
      <c r="P209" s="41">
        <v>46166666.666666597</v>
      </c>
      <c r="Q209" s="41">
        <v>166666.66666666669</v>
      </c>
      <c r="R209" s="41">
        <v>3115740.7407407421</v>
      </c>
      <c r="S209" s="41">
        <v>87962.962962962964</v>
      </c>
      <c r="T209" s="41">
        <v>453703.70370370382</v>
      </c>
      <c r="U209" s="41">
        <v>64814.814814814818</v>
      </c>
      <c r="V209" s="41">
        <v>134369907.40740731</v>
      </c>
      <c r="W209" s="41">
        <v>725462.96296296292</v>
      </c>
      <c r="X209" s="38">
        <f t="shared" si="12"/>
        <v>0.26873981481481463</v>
      </c>
      <c r="Y209" s="39">
        <f t="shared" si="13"/>
        <v>1.4509259259259258E-3</v>
      </c>
      <c r="Z209" s="39">
        <f t="shared" si="17"/>
        <v>5.4283061744817701E-3</v>
      </c>
      <c r="AA209" s="41">
        <f t="shared" si="14"/>
        <v>365630092.59259272</v>
      </c>
      <c r="AB209" s="39">
        <f t="shared" si="15"/>
        <v>1.9841445703193744E-3</v>
      </c>
      <c r="AC209" s="38">
        <f t="shared" si="16"/>
        <v>0.52341236307139904</v>
      </c>
      <c r="AD209" s="3"/>
    </row>
    <row r="210" spans="1:30" x14ac:dyDescent="0.25">
      <c r="A210" s="37">
        <v>45846</v>
      </c>
      <c r="B210" s="41">
        <v>1281481.4814814811</v>
      </c>
      <c r="C210" s="41">
        <v>35185.185185185182</v>
      </c>
      <c r="D210" s="41">
        <v>3555555.555555556</v>
      </c>
      <c r="E210" s="41">
        <v>131944.44444444441</v>
      </c>
      <c r="F210" s="41">
        <v>11472222.2222222</v>
      </c>
      <c r="G210" s="41">
        <v>131944.44444444441</v>
      </c>
      <c r="H210" s="41">
        <v>50000000</v>
      </c>
      <c r="I210" s="41">
        <v>0</v>
      </c>
      <c r="J210" s="41">
        <v>0</v>
      </c>
      <c r="K210" s="41">
        <v>0</v>
      </c>
      <c r="L210" s="41">
        <v>222222.22222222219</v>
      </c>
      <c r="M210" s="41">
        <v>27777.777777777781</v>
      </c>
      <c r="N210" s="41">
        <v>18508333.333333299</v>
      </c>
      <c r="O210" s="41">
        <v>79166.666666666672</v>
      </c>
      <c r="P210" s="41">
        <v>46333333.333333261</v>
      </c>
      <c r="Q210" s="41">
        <v>166666.66666666669</v>
      </c>
      <c r="R210" s="41">
        <v>3203703.7037037052</v>
      </c>
      <c r="S210" s="41">
        <v>87962.962962962964</v>
      </c>
      <c r="T210" s="41">
        <v>518518.5185185186</v>
      </c>
      <c r="U210" s="41">
        <v>64814.814814814818</v>
      </c>
      <c r="V210" s="41">
        <v>135095370.37037021</v>
      </c>
      <c r="W210" s="41">
        <v>725462.96296296292</v>
      </c>
      <c r="X210" s="38">
        <f t="shared" si="12"/>
        <v>0.2701907407407404</v>
      </c>
      <c r="Y210" s="39">
        <f t="shared" si="13"/>
        <v>1.4509259259259258E-3</v>
      </c>
      <c r="Z210" s="39">
        <f t="shared" si="17"/>
        <v>5.3989987561974817E-3</v>
      </c>
      <c r="AA210" s="41">
        <f t="shared" si="14"/>
        <v>364904629.62962979</v>
      </c>
      <c r="AB210" s="39">
        <f t="shared" si="15"/>
        <v>1.9880892267639685E-3</v>
      </c>
      <c r="AC210" s="38">
        <f t="shared" si="16"/>
        <v>0.52199493026506549</v>
      </c>
      <c r="AD210" s="3"/>
    </row>
    <row r="211" spans="1:30" x14ac:dyDescent="0.25">
      <c r="A211" s="37">
        <v>45847</v>
      </c>
      <c r="B211" s="41">
        <v>1316666.666666667</v>
      </c>
      <c r="C211" s="41">
        <v>35185.185185185182</v>
      </c>
      <c r="D211" s="41">
        <v>3687500</v>
      </c>
      <c r="E211" s="41">
        <v>131944.44444444441</v>
      </c>
      <c r="F211" s="41">
        <v>11604166.66666664</v>
      </c>
      <c r="G211" s="41">
        <v>131944.44444444441</v>
      </c>
      <c r="H211" s="41">
        <v>50000000</v>
      </c>
      <c r="I211" s="41">
        <v>0</v>
      </c>
      <c r="J211" s="41">
        <v>0</v>
      </c>
      <c r="K211" s="41">
        <v>0</v>
      </c>
      <c r="L211" s="41">
        <v>250000</v>
      </c>
      <c r="M211" s="41">
        <v>27777.777777777781</v>
      </c>
      <c r="N211" s="41">
        <v>18587499.99999997</v>
      </c>
      <c r="O211" s="41">
        <v>79166.666666666672</v>
      </c>
      <c r="P211" s="41">
        <v>46499999.999999933</v>
      </c>
      <c r="Q211" s="41">
        <v>166666.66666666669</v>
      </c>
      <c r="R211" s="41">
        <v>3291666.6666666679</v>
      </c>
      <c r="S211" s="41">
        <v>87962.962962962964</v>
      </c>
      <c r="T211" s="41">
        <v>583333.33333333337</v>
      </c>
      <c r="U211" s="41">
        <v>64814.814814814818</v>
      </c>
      <c r="V211" s="41">
        <v>135820833.33333319</v>
      </c>
      <c r="W211" s="41">
        <v>725462.96296296292</v>
      </c>
      <c r="X211" s="38">
        <f t="shared" si="12"/>
        <v>0.27164166666666639</v>
      </c>
      <c r="Y211" s="39">
        <f t="shared" si="13"/>
        <v>1.4509259259259258E-3</v>
      </c>
      <c r="Z211" s="39">
        <f t="shared" si="17"/>
        <v>5.370006099943119E-3</v>
      </c>
      <c r="AA211" s="41">
        <f t="shared" si="14"/>
        <v>364179166.66666681</v>
      </c>
      <c r="AB211" s="39">
        <f t="shared" si="15"/>
        <v>1.9920495991111405E-3</v>
      </c>
      <c r="AC211" s="38">
        <f t="shared" si="16"/>
        <v>0.52059523254186657</v>
      </c>
      <c r="AD211" s="3"/>
    </row>
    <row r="212" spans="1:30" x14ac:dyDescent="0.25">
      <c r="A212" s="37">
        <v>45848</v>
      </c>
      <c r="B212" s="41">
        <v>1351851.8518518519</v>
      </c>
      <c r="C212" s="41">
        <v>35185.185185185182</v>
      </c>
      <c r="D212" s="41">
        <v>3819444.444444445</v>
      </c>
      <c r="E212" s="41">
        <v>131944.44444444441</v>
      </c>
      <c r="F212" s="41">
        <v>11736111.11111109</v>
      </c>
      <c r="G212" s="41">
        <v>131944.44444444441</v>
      </c>
      <c r="H212" s="41">
        <v>50000000</v>
      </c>
      <c r="I212" s="41">
        <v>0</v>
      </c>
      <c r="J212" s="41">
        <v>0</v>
      </c>
      <c r="K212" s="41">
        <v>0</v>
      </c>
      <c r="L212" s="41">
        <v>277777.77777777781</v>
      </c>
      <c r="M212" s="41">
        <v>27777.777777777781</v>
      </c>
      <c r="N212" s="41">
        <v>18666666.666666642</v>
      </c>
      <c r="O212" s="41">
        <v>79166.666666666672</v>
      </c>
      <c r="P212" s="41">
        <v>46666666.66666659</v>
      </c>
      <c r="Q212" s="41">
        <v>166666.66666666669</v>
      </c>
      <c r="R212" s="41">
        <v>3379629.629629632</v>
      </c>
      <c r="S212" s="41">
        <v>87962.962962962964</v>
      </c>
      <c r="T212" s="41">
        <v>648148.1481481482</v>
      </c>
      <c r="U212" s="41">
        <v>64814.814814814818</v>
      </c>
      <c r="V212" s="41">
        <v>136546296.29629621</v>
      </c>
      <c r="W212" s="41">
        <v>725462.96296296292</v>
      </c>
      <c r="X212" s="38">
        <f t="shared" si="12"/>
        <v>0.27309259259259244</v>
      </c>
      <c r="Y212" s="39">
        <f t="shared" si="13"/>
        <v>1.4509259259259258E-3</v>
      </c>
      <c r="Z212" s="39">
        <f t="shared" si="17"/>
        <v>5.3413231619815101E-3</v>
      </c>
      <c r="AA212" s="41">
        <f t="shared" si="14"/>
        <v>363453703.70370376</v>
      </c>
      <c r="AB212" s="39">
        <f t="shared" si="15"/>
        <v>1.9960257814689319E-3</v>
      </c>
      <c r="AC212" s="38">
        <f t="shared" si="16"/>
        <v>0.519212939116101</v>
      </c>
      <c r="AD212" s="3"/>
    </row>
    <row r="213" spans="1:30" x14ac:dyDescent="0.25">
      <c r="A213" s="37">
        <v>45849</v>
      </c>
      <c r="B213" s="41">
        <v>1387037.0370370371</v>
      </c>
      <c r="C213" s="41">
        <v>35185.185185185182</v>
      </c>
      <c r="D213" s="41">
        <v>3951388.888888889</v>
      </c>
      <c r="E213" s="41">
        <v>131944.44444444441</v>
      </c>
      <c r="F213" s="41">
        <v>11868055.55555553</v>
      </c>
      <c r="G213" s="41">
        <v>131944.44444444441</v>
      </c>
      <c r="H213" s="41">
        <v>50000000</v>
      </c>
      <c r="I213" s="41">
        <v>0</v>
      </c>
      <c r="J213" s="41">
        <v>0</v>
      </c>
      <c r="K213" s="41">
        <v>0</v>
      </c>
      <c r="L213" s="41">
        <v>305555.5555555555</v>
      </c>
      <c r="M213" s="41">
        <v>27777.777777777781</v>
      </c>
      <c r="N213" s="41">
        <v>18745833.33333331</v>
      </c>
      <c r="O213" s="41">
        <v>79166.666666666672</v>
      </c>
      <c r="P213" s="41">
        <v>46833333.333333246</v>
      </c>
      <c r="Q213" s="41">
        <v>166666.66666666669</v>
      </c>
      <c r="R213" s="41">
        <v>3467592.5925925951</v>
      </c>
      <c r="S213" s="41">
        <v>87962.962962962964</v>
      </c>
      <c r="T213" s="41">
        <v>712962.96296296304</v>
      </c>
      <c r="U213" s="41">
        <v>64814.814814814818</v>
      </c>
      <c r="V213" s="41">
        <v>137271759.2592591</v>
      </c>
      <c r="W213" s="41">
        <v>725462.96296296292</v>
      </c>
      <c r="X213" s="38">
        <f t="shared" si="12"/>
        <v>0.27454351851851821</v>
      </c>
      <c r="Y213" s="39">
        <f t="shared" si="13"/>
        <v>1.4509259259259258E-3</v>
      </c>
      <c r="Z213" s="39">
        <f t="shared" si="17"/>
        <v>5.3129450057638871E-3</v>
      </c>
      <c r="AA213" s="41">
        <f t="shared" si="14"/>
        <v>362728240.7407409</v>
      </c>
      <c r="AB213" s="39">
        <f t="shared" si="15"/>
        <v>2.0000178686982516E-3</v>
      </c>
      <c r="AC213" s="38">
        <f t="shared" si="16"/>
        <v>0.51784772737743556</v>
      </c>
      <c r="AD213" s="3"/>
    </row>
    <row r="214" spans="1:30" x14ac:dyDescent="0.25">
      <c r="A214" s="37">
        <v>45850</v>
      </c>
      <c r="B214" s="41">
        <v>1422222.222222222</v>
      </c>
      <c r="C214" s="41">
        <v>35185.185185185182</v>
      </c>
      <c r="D214" s="41">
        <v>4083333.333333334</v>
      </c>
      <c r="E214" s="41">
        <v>131944.44444444441</v>
      </c>
      <c r="F214" s="41">
        <v>11999999.99999998</v>
      </c>
      <c r="G214" s="41">
        <v>131944.44444444441</v>
      </c>
      <c r="H214" s="41">
        <v>50000000</v>
      </c>
      <c r="I214" s="41">
        <v>0</v>
      </c>
      <c r="J214" s="41">
        <v>0</v>
      </c>
      <c r="K214" s="41">
        <v>0</v>
      </c>
      <c r="L214" s="41">
        <v>333333.33333333331</v>
      </c>
      <c r="M214" s="41">
        <v>27777.777777777781</v>
      </c>
      <c r="N214" s="41">
        <v>18824999.99999997</v>
      </c>
      <c r="O214" s="41">
        <v>79166.666666666672</v>
      </c>
      <c r="P214" s="41">
        <v>46999999.999999918</v>
      </c>
      <c r="Q214" s="41">
        <v>166666.66666666669</v>
      </c>
      <c r="R214" s="41">
        <v>3555555.5555555578</v>
      </c>
      <c r="S214" s="41">
        <v>87962.962962962964</v>
      </c>
      <c r="T214" s="41">
        <v>777777.77777777787</v>
      </c>
      <c r="U214" s="41">
        <v>64814.814814814818</v>
      </c>
      <c r="V214" s="41">
        <v>137997222.22222209</v>
      </c>
      <c r="W214" s="41">
        <v>725462.96296296292</v>
      </c>
      <c r="X214" s="38">
        <f t="shared" si="12"/>
        <v>0.27599444444444415</v>
      </c>
      <c r="Y214" s="39">
        <f t="shared" si="13"/>
        <v>1.4509259259259258E-3</v>
      </c>
      <c r="Z214" s="39">
        <f t="shared" si="17"/>
        <v>5.2848667990974974E-3</v>
      </c>
      <c r="AA214" s="41">
        <f t="shared" si="14"/>
        <v>362002777.77777791</v>
      </c>
      <c r="AB214" s="39">
        <f t="shared" si="15"/>
        <v>2.0040259564204277E-3</v>
      </c>
      <c r="AC214" s="38">
        <f t="shared" si="16"/>
        <v>0.51649928263988454</v>
      </c>
      <c r="AD214" s="3"/>
    </row>
    <row r="215" spans="1:30" x14ac:dyDescent="0.25">
      <c r="A215" s="37">
        <v>45851</v>
      </c>
      <c r="B215" s="41">
        <v>1457407.407407407</v>
      </c>
      <c r="C215" s="41">
        <v>35185.185185185182</v>
      </c>
      <c r="D215" s="41">
        <v>4215277.777777778</v>
      </c>
      <c r="E215" s="41">
        <v>131944.44444444441</v>
      </c>
      <c r="F215" s="41">
        <v>12131944.44444442</v>
      </c>
      <c r="G215" s="41">
        <v>131944.44444444441</v>
      </c>
      <c r="H215" s="41">
        <v>50000000</v>
      </c>
      <c r="I215" s="41">
        <v>0</v>
      </c>
      <c r="J215" s="41">
        <v>0</v>
      </c>
      <c r="K215" s="41">
        <v>0</v>
      </c>
      <c r="L215" s="41">
        <v>361111.11111111101</v>
      </c>
      <c r="M215" s="41">
        <v>27777.777777777781</v>
      </c>
      <c r="N215" s="41">
        <v>18904166.666666642</v>
      </c>
      <c r="O215" s="41">
        <v>79166.666666666672</v>
      </c>
      <c r="P215" s="41">
        <v>47166666.666666582</v>
      </c>
      <c r="Q215" s="41">
        <v>166666.66666666669</v>
      </c>
      <c r="R215" s="41">
        <v>3643518.518518521</v>
      </c>
      <c r="S215" s="41">
        <v>87962.962962962964</v>
      </c>
      <c r="T215" s="41">
        <v>842592.5925925927</v>
      </c>
      <c r="U215" s="41">
        <v>64814.814814814818</v>
      </c>
      <c r="V215" s="41">
        <v>138722685.18518499</v>
      </c>
      <c r="W215" s="41">
        <v>725462.96296296292</v>
      </c>
      <c r="X215" s="38">
        <f t="shared" ref="X215:X278" si="18">V215/$B$6</f>
        <v>0.27744537037036998</v>
      </c>
      <c r="Y215" s="39">
        <f t="shared" ref="Y215:Y278" si="19">W215/$B$6</f>
        <v>1.4509259259259258E-3</v>
      </c>
      <c r="Z215" s="39">
        <f t="shared" si="17"/>
        <v>5.2570838114025424E-3</v>
      </c>
      <c r="AA215" s="41">
        <f t="shared" ref="AA215:AA278" si="20">$B$6-V215</f>
        <v>361277314.81481504</v>
      </c>
      <c r="AB215" s="39">
        <f t="shared" ref="AB215:AB278" si="21">W215/AA215</f>
        <v>2.0080501410248345E-3</v>
      </c>
      <c r="AC215" s="38">
        <f t="shared" ref="AC215:AC278" si="22" xml:space="preserve"> P215/(V215-P215)</f>
        <v>0.51516729789999016</v>
      </c>
      <c r="AD215" s="3"/>
    </row>
    <row r="216" spans="1:30" x14ac:dyDescent="0.25">
      <c r="A216" s="37">
        <v>45852</v>
      </c>
      <c r="B216" s="41">
        <v>1492592.5925925919</v>
      </c>
      <c r="C216" s="41">
        <v>35185.185185185182</v>
      </c>
      <c r="D216" s="41">
        <v>4347222.222222222</v>
      </c>
      <c r="E216" s="41">
        <v>131944.44444444441</v>
      </c>
      <c r="F216" s="41">
        <v>12263888.88888886</v>
      </c>
      <c r="G216" s="41">
        <v>131944.44444444441</v>
      </c>
      <c r="H216" s="41">
        <v>50000000</v>
      </c>
      <c r="I216" s="41">
        <v>0</v>
      </c>
      <c r="J216" s="41">
        <v>0</v>
      </c>
      <c r="K216" s="41">
        <v>0</v>
      </c>
      <c r="L216" s="41">
        <v>388888.88888888882</v>
      </c>
      <c r="M216" s="41">
        <v>27777.777777777781</v>
      </c>
      <c r="N216" s="41">
        <v>18983333.33333331</v>
      </c>
      <c r="O216" s="41">
        <v>79166.666666666672</v>
      </c>
      <c r="P216" s="41">
        <v>47333333.333333246</v>
      </c>
      <c r="Q216" s="41">
        <v>166666.66666666669</v>
      </c>
      <c r="R216" s="41">
        <v>3731481.4814814841</v>
      </c>
      <c r="S216" s="41">
        <v>87962.962962962964</v>
      </c>
      <c r="T216" s="41">
        <v>907407.40740740753</v>
      </c>
      <c r="U216" s="41">
        <v>64814.814814814818</v>
      </c>
      <c r="V216" s="41">
        <v>139448148.148148</v>
      </c>
      <c r="W216" s="41">
        <v>725462.96296296292</v>
      </c>
      <c r="X216" s="38">
        <f t="shared" si="18"/>
        <v>0.27889629629629598</v>
      </c>
      <c r="Y216" s="39">
        <f t="shared" si="19"/>
        <v>1.4509259259259258E-3</v>
      </c>
      <c r="Z216" s="39">
        <f t="shared" ref="Z216:Z279" si="23">W216/V215</f>
        <v>5.2295914110552363E-3</v>
      </c>
      <c r="AA216" s="41">
        <f t="shared" si="20"/>
        <v>360551851.851852</v>
      </c>
      <c r="AB216" s="39">
        <f t="shared" si="21"/>
        <v>2.0120905196766266E-3</v>
      </c>
      <c r="AC216" s="38">
        <f t="shared" si="22"/>
        <v>0.51385147360379502</v>
      </c>
      <c r="AD216" s="3"/>
    </row>
    <row r="217" spans="1:30" x14ac:dyDescent="0.25">
      <c r="A217" s="37">
        <v>45853</v>
      </c>
      <c r="B217" s="41">
        <v>1527777.777777778</v>
      </c>
      <c r="C217" s="41">
        <v>35185.185185185182</v>
      </c>
      <c r="D217" s="41">
        <v>4479166.666666666</v>
      </c>
      <c r="E217" s="41">
        <v>131944.44444444441</v>
      </c>
      <c r="F217" s="41">
        <v>12395833.33333331</v>
      </c>
      <c r="G217" s="41">
        <v>131944.44444444441</v>
      </c>
      <c r="H217" s="41">
        <v>50000000</v>
      </c>
      <c r="I217" s="41">
        <v>0</v>
      </c>
      <c r="J217" s="41">
        <v>0</v>
      </c>
      <c r="K217" s="41">
        <v>0</v>
      </c>
      <c r="L217" s="41">
        <v>416666.66666666651</v>
      </c>
      <c r="M217" s="41">
        <v>27777.777777777781</v>
      </c>
      <c r="N217" s="41">
        <v>19062499.999999981</v>
      </c>
      <c r="O217" s="41">
        <v>79166.666666666672</v>
      </c>
      <c r="P217" s="41">
        <v>47499999.999999911</v>
      </c>
      <c r="Q217" s="41">
        <v>166666.66666666669</v>
      </c>
      <c r="R217" s="41">
        <v>3819444.4444444468</v>
      </c>
      <c r="S217" s="41">
        <v>87962.962962962964</v>
      </c>
      <c r="T217" s="41">
        <v>972222.22222222236</v>
      </c>
      <c r="U217" s="41">
        <v>64814.814814814818</v>
      </c>
      <c r="V217" s="41">
        <v>140173611.11111099</v>
      </c>
      <c r="W217" s="41">
        <v>725462.96296296292</v>
      </c>
      <c r="X217" s="38">
        <f t="shared" si="18"/>
        <v>0.28034722222222197</v>
      </c>
      <c r="Y217" s="39">
        <f t="shared" si="19"/>
        <v>1.4509259259259258E-3</v>
      </c>
      <c r="Z217" s="39">
        <f t="shared" si="23"/>
        <v>5.2023850628137415E-3</v>
      </c>
      <c r="AA217" s="41">
        <f t="shared" si="20"/>
        <v>359826388.88888901</v>
      </c>
      <c r="AB217" s="39">
        <f t="shared" si="21"/>
        <v>2.0161471903245511E-3</v>
      </c>
      <c r="AC217" s="38">
        <f t="shared" si="22"/>
        <v>0.5125515174222548</v>
      </c>
      <c r="AD217" s="3"/>
    </row>
    <row r="218" spans="1:30" x14ac:dyDescent="0.25">
      <c r="A218" s="37">
        <v>45854</v>
      </c>
      <c r="B218" s="41">
        <v>1562962.9629629629</v>
      </c>
      <c r="C218" s="41">
        <v>35185.185185185182</v>
      </c>
      <c r="D218" s="41">
        <v>4611111.1111111101</v>
      </c>
      <c r="E218" s="41">
        <v>131944.44444444441</v>
      </c>
      <c r="F218" s="41">
        <v>12527777.77777775</v>
      </c>
      <c r="G218" s="41">
        <v>131944.44444444441</v>
      </c>
      <c r="H218" s="41">
        <v>50000000</v>
      </c>
      <c r="I218" s="41">
        <v>0</v>
      </c>
      <c r="J218" s="41">
        <v>0</v>
      </c>
      <c r="K218" s="41">
        <v>0</v>
      </c>
      <c r="L218" s="41">
        <v>444444.44444444432</v>
      </c>
      <c r="M218" s="41">
        <v>27777.777777777781</v>
      </c>
      <c r="N218" s="41">
        <v>19141666.666666649</v>
      </c>
      <c r="O218" s="41">
        <v>79166.666666666672</v>
      </c>
      <c r="P218" s="41">
        <v>47666666.666666567</v>
      </c>
      <c r="Q218" s="41">
        <v>166666.66666666669</v>
      </c>
      <c r="R218" s="41">
        <v>3907407.40740741</v>
      </c>
      <c r="S218" s="41">
        <v>87962.962962962964</v>
      </c>
      <c r="T218" s="41">
        <v>1037037.037037037</v>
      </c>
      <c r="U218" s="41">
        <v>64814.814814814818</v>
      </c>
      <c r="V218" s="41">
        <v>140899074.07407391</v>
      </c>
      <c r="W218" s="41">
        <v>725462.96296296292</v>
      </c>
      <c r="X218" s="38">
        <f t="shared" si="18"/>
        <v>0.2817981481481478</v>
      </c>
      <c r="Y218" s="39">
        <f t="shared" si="19"/>
        <v>1.4509259259259258E-3</v>
      </c>
      <c r="Z218" s="39">
        <f t="shared" si="23"/>
        <v>5.1754603253240895E-3</v>
      </c>
      <c r="AA218" s="41">
        <f t="shared" si="20"/>
        <v>359100925.92592609</v>
      </c>
      <c r="AB218" s="39">
        <f t="shared" si="21"/>
        <v>2.0202202517088708E-3</v>
      </c>
      <c r="AC218" s="38">
        <f t="shared" si="22"/>
        <v>0.5112671440347194</v>
      </c>
      <c r="AD218" s="3"/>
    </row>
    <row r="219" spans="1:30" x14ac:dyDescent="0.25">
      <c r="A219" s="37">
        <v>45855</v>
      </c>
      <c r="B219" s="41">
        <v>1598148.1481481481</v>
      </c>
      <c r="C219" s="41">
        <v>35185.185185185182</v>
      </c>
      <c r="D219" s="41">
        <v>4743055.5555555541</v>
      </c>
      <c r="E219" s="41">
        <v>131944.44444444441</v>
      </c>
      <c r="F219" s="41">
        <v>12659722.2222222</v>
      </c>
      <c r="G219" s="41">
        <v>131944.44444444441</v>
      </c>
      <c r="H219" s="41">
        <v>50000000</v>
      </c>
      <c r="I219" s="41">
        <v>0</v>
      </c>
      <c r="J219" s="41">
        <v>0</v>
      </c>
      <c r="K219" s="41">
        <v>0</v>
      </c>
      <c r="L219" s="41">
        <v>472222.22222222202</v>
      </c>
      <c r="M219" s="41">
        <v>27777.777777777781</v>
      </c>
      <c r="N219" s="41">
        <v>19220833.33333331</v>
      </c>
      <c r="O219" s="41">
        <v>79166.666666666672</v>
      </c>
      <c r="P219" s="41">
        <v>47833333.333333239</v>
      </c>
      <c r="Q219" s="41">
        <v>166666.66666666669</v>
      </c>
      <c r="R219" s="41">
        <v>3995370.3703703741</v>
      </c>
      <c r="S219" s="41">
        <v>87962.962962962964</v>
      </c>
      <c r="T219" s="41">
        <v>1101851.8518518519</v>
      </c>
      <c r="U219" s="41">
        <v>64814.814814814818</v>
      </c>
      <c r="V219" s="41">
        <v>141624537.0370369</v>
      </c>
      <c r="W219" s="41">
        <v>725462.96296296292</v>
      </c>
      <c r="X219" s="38">
        <f t="shared" si="18"/>
        <v>0.28324907407407379</v>
      </c>
      <c r="Y219" s="39">
        <f t="shared" si="19"/>
        <v>1.4509259259259258E-3</v>
      </c>
      <c r="Z219" s="39">
        <f t="shared" si="23"/>
        <v>5.1488128487031095E-3</v>
      </c>
      <c r="AA219" s="41">
        <f t="shared" si="20"/>
        <v>358375462.9629631</v>
      </c>
      <c r="AB219" s="39">
        <f t="shared" si="21"/>
        <v>2.0243098033693703E-3</v>
      </c>
      <c r="AC219" s="38">
        <f t="shared" si="22"/>
        <v>0.50999807492015781</v>
      </c>
      <c r="AD219" s="3"/>
    </row>
    <row r="220" spans="1:30" x14ac:dyDescent="0.25">
      <c r="A220" s="37">
        <v>45856</v>
      </c>
      <c r="B220" s="41">
        <v>1633333.333333333</v>
      </c>
      <c r="C220" s="41">
        <v>35185.185185185182</v>
      </c>
      <c r="D220" s="41">
        <v>4874999.9999999981</v>
      </c>
      <c r="E220" s="41">
        <v>131944.44444444441</v>
      </c>
      <c r="F220" s="41">
        <v>12791666.66666664</v>
      </c>
      <c r="G220" s="41">
        <v>131944.44444444441</v>
      </c>
      <c r="H220" s="41">
        <v>50000000</v>
      </c>
      <c r="I220" s="41">
        <v>0</v>
      </c>
      <c r="J220" s="41">
        <v>0</v>
      </c>
      <c r="K220" s="41">
        <v>0</v>
      </c>
      <c r="L220" s="41">
        <v>499999.99999999983</v>
      </c>
      <c r="M220" s="41">
        <v>27777.777777777781</v>
      </c>
      <c r="N220" s="41">
        <v>19299999.999999981</v>
      </c>
      <c r="O220" s="41">
        <v>79166.666666666672</v>
      </c>
      <c r="P220" s="41">
        <v>47999999.999999903</v>
      </c>
      <c r="Q220" s="41">
        <v>166666.66666666669</v>
      </c>
      <c r="R220" s="41">
        <v>4083333.3333333372</v>
      </c>
      <c r="S220" s="41">
        <v>87962.962962962964</v>
      </c>
      <c r="T220" s="41">
        <v>1166666.666666667</v>
      </c>
      <c r="U220" s="41">
        <v>64814.814814814818</v>
      </c>
      <c r="V220" s="41">
        <v>142349999.99999991</v>
      </c>
      <c r="W220" s="41">
        <v>725462.96296296292</v>
      </c>
      <c r="X220" s="38">
        <f t="shared" si="18"/>
        <v>0.28469999999999984</v>
      </c>
      <c r="Y220" s="39">
        <f t="shared" si="19"/>
        <v>1.4509259259259258E-3</v>
      </c>
      <c r="Z220" s="39">
        <f t="shared" si="23"/>
        <v>5.122438372195658E-3</v>
      </c>
      <c r="AA220" s="41">
        <f t="shared" si="20"/>
        <v>357650000.00000012</v>
      </c>
      <c r="AB220" s="39">
        <f t="shared" si="21"/>
        <v>2.0284159456534674E-3</v>
      </c>
      <c r="AC220" s="38">
        <f t="shared" si="22"/>
        <v>0.50874403815580183</v>
      </c>
      <c r="AD220" s="3"/>
    </row>
    <row r="221" spans="1:30" x14ac:dyDescent="0.25">
      <c r="A221" s="37">
        <v>45857</v>
      </c>
      <c r="B221" s="41">
        <v>1668518.518518518</v>
      </c>
      <c r="C221" s="41">
        <v>35185.185185185182</v>
      </c>
      <c r="D221" s="41">
        <v>5006944.4444444422</v>
      </c>
      <c r="E221" s="41">
        <v>131944.44444444441</v>
      </c>
      <c r="F221" s="41">
        <v>12923611.11111108</v>
      </c>
      <c r="G221" s="41">
        <v>131944.44444444441</v>
      </c>
      <c r="H221" s="41">
        <v>50000000</v>
      </c>
      <c r="I221" s="41">
        <v>0</v>
      </c>
      <c r="J221" s="41">
        <v>0</v>
      </c>
      <c r="K221" s="41">
        <v>0</v>
      </c>
      <c r="L221" s="41">
        <v>527777.77777777752</v>
      </c>
      <c r="M221" s="41">
        <v>27777.777777777781</v>
      </c>
      <c r="N221" s="41">
        <v>19379166.666666649</v>
      </c>
      <c r="O221" s="41">
        <v>79166.666666666672</v>
      </c>
      <c r="P221" s="41">
        <v>48166666.666666567</v>
      </c>
      <c r="Q221" s="41">
        <v>166666.66666666669</v>
      </c>
      <c r="R221" s="41">
        <v>4171296.2962962999</v>
      </c>
      <c r="S221" s="41">
        <v>87962.962962962964</v>
      </c>
      <c r="T221" s="41">
        <v>1231481.481481482</v>
      </c>
      <c r="U221" s="41">
        <v>64814.814814814818</v>
      </c>
      <c r="V221" s="41">
        <v>143075462.96296281</v>
      </c>
      <c r="W221" s="41">
        <v>725462.96296296292</v>
      </c>
      <c r="X221" s="38">
        <f t="shared" si="18"/>
        <v>0.28615092592592561</v>
      </c>
      <c r="Y221" s="39">
        <f t="shared" si="19"/>
        <v>1.4509259259259258E-3</v>
      </c>
      <c r="Z221" s="39">
        <f t="shared" si="23"/>
        <v>5.0963327219035008E-3</v>
      </c>
      <c r="AA221" s="41">
        <f t="shared" si="20"/>
        <v>356924537.03703719</v>
      </c>
      <c r="AB221" s="39">
        <f t="shared" si="21"/>
        <v>2.0325387797244195E-3</v>
      </c>
      <c r="AC221" s="38">
        <f t="shared" si="22"/>
        <v>0.50750476822290336</v>
      </c>
      <c r="AD221" s="3"/>
    </row>
    <row r="222" spans="1:30" x14ac:dyDescent="0.25">
      <c r="A222" s="37">
        <v>45858</v>
      </c>
      <c r="B222" s="41">
        <v>1703703.7037037029</v>
      </c>
      <c r="C222" s="41">
        <v>35185.185185185182</v>
      </c>
      <c r="D222" s="41">
        <v>5138888.8888888862</v>
      </c>
      <c r="E222" s="41">
        <v>131944.44444444441</v>
      </c>
      <c r="F222" s="41">
        <v>13055555.55555553</v>
      </c>
      <c r="G222" s="41">
        <v>131944.44444444441</v>
      </c>
      <c r="H222" s="41">
        <v>50000000</v>
      </c>
      <c r="I222" s="41">
        <v>0</v>
      </c>
      <c r="J222" s="41">
        <v>0</v>
      </c>
      <c r="K222" s="41">
        <v>0</v>
      </c>
      <c r="L222" s="41">
        <v>555555.55555555527</v>
      </c>
      <c r="M222" s="41">
        <v>27777.777777777781</v>
      </c>
      <c r="N222" s="41">
        <v>19458333.333333321</v>
      </c>
      <c r="O222" s="41">
        <v>79166.666666666672</v>
      </c>
      <c r="P222" s="41">
        <v>48333333.333333232</v>
      </c>
      <c r="Q222" s="41">
        <v>166666.66666666669</v>
      </c>
      <c r="R222" s="41">
        <v>4259259.2592592631</v>
      </c>
      <c r="S222" s="41">
        <v>87962.962962962964</v>
      </c>
      <c r="T222" s="41">
        <v>1296296.2962962959</v>
      </c>
      <c r="U222" s="41">
        <v>64814.814814814818</v>
      </c>
      <c r="V222" s="41">
        <v>143800925.92592579</v>
      </c>
      <c r="W222" s="41">
        <v>725462.96296296292</v>
      </c>
      <c r="X222" s="38">
        <f t="shared" si="18"/>
        <v>0.28760185185185161</v>
      </c>
      <c r="Y222" s="39">
        <f t="shared" si="19"/>
        <v>1.4509259259259258E-3</v>
      </c>
      <c r="Z222" s="39">
        <f t="shared" si="23"/>
        <v>5.0704918085832766E-3</v>
      </c>
      <c r="AA222" s="41">
        <f t="shared" si="20"/>
        <v>356199074.07407421</v>
      </c>
      <c r="AB222" s="39">
        <f t="shared" si="21"/>
        <v>2.0366784075696322E-3</v>
      </c>
      <c r="AC222" s="38">
        <f t="shared" si="22"/>
        <v>0.50628000581930943</v>
      </c>
      <c r="AD222" s="3"/>
    </row>
    <row r="223" spans="1:30" x14ac:dyDescent="0.25">
      <c r="A223" s="37">
        <v>45859</v>
      </c>
      <c r="B223" s="41">
        <v>1738888.888888889</v>
      </c>
      <c r="C223" s="41">
        <v>35185.185185185182</v>
      </c>
      <c r="D223" s="41">
        <v>5270833.3333333302</v>
      </c>
      <c r="E223" s="41">
        <v>131944.44444444441</v>
      </c>
      <c r="F223" s="41">
        <v>13187499.99999997</v>
      </c>
      <c r="G223" s="41">
        <v>131944.44444444441</v>
      </c>
      <c r="H223" s="41">
        <v>50000000</v>
      </c>
      <c r="I223" s="41">
        <v>0</v>
      </c>
      <c r="J223" s="41">
        <v>0</v>
      </c>
      <c r="K223" s="41">
        <v>0</v>
      </c>
      <c r="L223" s="41">
        <v>583333.33333333302</v>
      </c>
      <c r="M223" s="41">
        <v>27777.777777777781</v>
      </c>
      <c r="N223" s="41">
        <v>19537499.999999989</v>
      </c>
      <c r="O223" s="41">
        <v>79166.666666666672</v>
      </c>
      <c r="P223" s="41">
        <v>48499999.999999903</v>
      </c>
      <c r="Q223" s="41">
        <v>166666.66666666669</v>
      </c>
      <c r="R223" s="41">
        <v>4347222.2222222257</v>
      </c>
      <c r="S223" s="41">
        <v>87962.962962962964</v>
      </c>
      <c r="T223" s="41">
        <v>1361111.111111111</v>
      </c>
      <c r="U223" s="41">
        <v>64814.814814814818</v>
      </c>
      <c r="V223" s="41">
        <v>144526388.88888869</v>
      </c>
      <c r="W223" s="41">
        <v>725462.96296296292</v>
      </c>
      <c r="X223" s="38">
        <f t="shared" si="18"/>
        <v>0.28905277777777738</v>
      </c>
      <c r="Y223" s="39">
        <f t="shared" si="19"/>
        <v>1.4509259259259258E-3</v>
      </c>
      <c r="Z223" s="39">
        <f t="shared" si="23"/>
        <v>5.0449116255110952E-3</v>
      </c>
      <c r="AA223" s="41">
        <f t="shared" si="20"/>
        <v>355473611.11111128</v>
      </c>
      <c r="AB223" s="39">
        <f t="shared" si="21"/>
        <v>2.0408349320090685E-3</v>
      </c>
      <c r="AC223" s="38">
        <f t="shared" si="22"/>
        <v>0.50506949767858911</v>
      </c>
      <c r="AD223" s="3"/>
    </row>
    <row r="224" spans="1:30" x14ac:dyDescent="0.25">
      <c r="A224" s="37">
        <v>45860</v>
      </c>
      <c r="B224" s="41">
        <v>1774074.0740740739</v>
      </c>
      <c r="C224" s="41">
        <v>35185.185185185182</v>
      </c>
      <c r="D224" s="41">
        <v>5402777.7777777743</v>
      </c>
      <c r="E224" s="41">
        <v>131944.44444444441</v>
      </c>
      <c r="F224" s="41">
        <v>13319444.44444442</v>
      </c>
      <c r="G224" s="41">
        <v>131944.44444444441</v>
      </c>
      <c r="H224" s="41">
        <v>50000000</v>
      </c>
      <c r="I224" s="41">
        <v>0</v>
      </c>
      <c r="J224" s="41">
        <v>0</v>
      </c>
      <c r="K224" s="41">
        <v>0</v>
      </c>
      <c r="L224" s="41">
        <v>611111.11111111077</v>
      </c>
      <c r="M224" s="41">
        <v>27777.777777777781</v>
      </c>
      <c r="N224" s="41">
        <v>19616666.666666649</v>
      </c>
      <c r="O224" s="41">
        <v>79166.666666666672</v>
      </c>
      <c r="P224" s="41">
        <v>48666666.66666656</v>
      </c>
      <c r="Q224" s="41">
        <v>166666.66666666669</v>
      </c>
      <c r="R224" s="41">
        <v>4435185.1851851884</v>
      </c>
      <c r="S224" s="41">
        <v>87962.962962962964</v>
      </c>
      <c r="T224" s="41">
        <v>1425925.9259259261</v>
      </c>
      <c r="U224" s="41">
        <v>64814.814814814818</v>
      </c>
      <c r="V224" s="41">
        <v>145251851.8518517</v>
      </c>
      <c r="W224" s="41">
        <v>725462.96296296292</v>
      </c>
      <c r="X224" s="38">
        <f t="shared" si="18"/>
        <v>0.29050370370370343</v>
      </c>
      <c r="Y224" s="39">
        <f t="shared" si="19"/>
        <v>1.4509259259259258E-3</v>
      </c>
      <c r="Z224" s="39">
        <f t="shared" si="23"/>
        <v>5.0195882464114973E-3</v>
      </c>
      <c r="AA224" s="41">
        <f t="shared" si="20"/>
        <v>354748148.1481483</v>
      </c>
      <c r="AB224" s="39">
        <f t="shared" si="21"/>
        <v>2.0450084567037639E-3</v>
      </c>
      <c r="AC224" s="38">
        <f t="shared" si="22"/>
        <v>0.50387299639542826</v>
      </c>
      <c r="AD224" s="3"/>
    </row>
    <row r="225" spans="1:30" x14ac:dyDescent="0.25">
      <c r="A225" s="37">
        <v>45861</v>
      </c>
      <c r="B225" s="41">
        <v>1809259.2592592591</v>
      </c>
      <c r="C225" s="41">
        <v>35185.185185185182</v>
      </c>
      <c r="D225" s="41">
        <v>5534722.2222222183</v>
      </c>
      <c r="E225" s="41">
        <v>131944.44444444441</v>
      </c>
      <c r="F225" s="41">
        <v>13451388.88888886</v>
      </c>
      <c r="G225" s="41">
        <v>131944.44444444441</v>
      </c>
      <c r="H225" s="41">
        <v>50000000</v>
      </c>
      <c r="I225" s="41">
        <v>0</v>
      </c>
      <c r="J225" s="41">
        <v>0</v>
      </c>
      <c r="K225" s="41">
        <v>0</v>
      </c>
      <c r="L225" s="41">
        <v>638888.88888888853</v>
      </c>
      <c r="M225" s="41">
        <v>27777.777777777781</v>
      </c>
      <c r="N225" s="41">
        <v>19695833.333333321</v>
      </c>
      <c r="O225" s="41">
        <v>79166.666666666672</v>
      </c>
      <c r="P225" s="41">
        <v>48833333.333333217</v>
      </c>
      <c r="Q225" s="41">
        <v>166666.66666666669</v>
      </c>
      <c r="R225" s="41">
        <v>4523148.1481481511</v>
      </c>
      <c r="S225" s="41">
        <v>87962.962962962964</v>
      </c>
      <c r="T225" s="41">
        <v>1490740.7407407409</v>
      </c>
      <c r="U225" s="41">
        <v>64814.814814814818</v>
      </c>
      <c r="V225" s="41">
        <v>145977314.81481469</v>
      </c>
      <c r="W225" s="41">
        <v>725462.96296296292</v>
      </c>
      <c r="X225" s="38">
        <f t="shared" si="18"/>
        <v>0.29195462962962937</v>
      </c>
      <c r="Y225" s="39">
        <f t="shared" si="19"/>
        <v>1.4509259259259258E-3</v>
      </c>
      <c r="Z225" s="39">
        <f t="shared" si="23"/>
        <v>4.9945178234484218E-3</v>
      </c>
      <c r="AA225" s="41">
        <f t="shared" si="20"/>
        <v>354022685.18518531</v>
      </c>
      <c r="AB225" s="39">
        <f t="shared" si="21"/>
        <v>2.04919908616444E-3</v>
      </c>
      <c r="AC225" s="38">
        <f t="shared" si="22"/>
        <v>0.50269026025706287</v>
      </c>
      <c r="AD225" s="3"/>
    </row>
    <row r="226" spans="1:30" x14ac:dyDescent="0.25">
      <c r="A226" s="37">
        <v>45862</v>
      </c>
      <c r="B226" s="41">
        <v>1844444.444444444</v>
      </c>
      <c r="C226" s="41">
        <v>35185.185185185182</v>
      </c>
      <c r="D226" s="41">
        <v>5666666.6666666623</v>
      </c>
      <c r="E226" s="41">
        <v>131944.44444444441</v>
      </c>
      <c r="F226" s="41">
        <v>13583333.3333333</v>
      </c>
      <c r="G226" s="41">
        <v>131944.44444444441</v>
      </c>
      <c r="H226" s="41">
        <v>50000000</v>
      </c>
      <c r="I226" s="41">
        <v>0</v>
      </c>
      <c r="J226" s="41">
        <v>0</v>
      </c>
      <c r="K226" s="41">
        <v>0</v>
      </c>
      <c r="L226" s="41">
        <v>666666.66666666628</v>
      </c>
      <c r="M226" s="41">
        <v>27777.777777777781</v>
      </c>
      <c r="N226" s="41">
        <v>19774999.999999989</v>
      </c>
      <c r="O226" s="41">
        <v>79166.666666666672</v>
      </c>
      <c r="P226" s="41">
        <v>48999999.999999888</v>
      </c>
      <c r="Q226" s="41">
        <v>166666.66666666669</v>
      </c>
      <c r="R226" s="41">
        <v>4611111.1111111138</v>
      </c>
      <c r="S226" s="41">
        <v>87962.962962962964</v>
      </c>
      <c r="T226" s="41">
        <v>1555555.555555556</v>
      </c>
      <c r="U226" s="41">
        <v>64814.814814814818</v>
      </c>
      <c r="V226" s="41">
        <v>146702777.77777761</v>
      </c>
      <c r="W226" s="41">
        <v>725462.96296296292</v>
      </c>
      <c r="X226" s="38">
        <f t="shared" si="18"/>
        <v>0.2934055555555552</v>
      </c>
      <c r="Y226" s="39">
        <f t="shared" si="19"/>
        <v>1.4509259259259258E-3</v>
      </c>
      <c r="Z226" s="39">
        <f t="shared" si="23"/>
        <v>4.9696965852761279E-3</v>
      </c>
      <c r="AA226" s="41">
        <f t="shared" si="20"/>
        <v>353297222.22222239</v>
      </c>
      <c r="AB226" s="39">
        <f t="shared" si="21"/>
        <v>2.0534069257602313E-3</v>
      </c>
      <c r="AC226" s="38">
        <f t="shared" si="22"/>
        <v>0.501521053080487</v>
      </c>
      <c r="AD226" s="3"/>
    </row>
    <row r="227" spans="1:30" x14ac:dyDescent="0.25">
      <c r="A227" s="37">
        <v>45863</v>
      </c>
      <c r="B227" s="41">
        <v>1879629.629629629</v>
      </c>
      <c r="C227" s="41">
        <v>35185.185185185182</v>
      </c>
      <c r="D227" s="41">
        <v>5798611.1111111064</v>
      </c>
      <c r="E227" s="41">
        <v>131944.44444444441</v>
      </c>
      <c r="F227" s="41">
        <v>13715277.77777775</v>
      </c>
      <c r="G227" s="41">
        <v>131944.44444444441</v>
      </c>
      <c r="H227" s="41">
        <v>50000000</v>
      </c>
      <c r="I227" s="41">
        <v>0</v>
      </c>
      <c r="J227" s="41">
        <v>0</v>
      </c>
      <c r="K227" s="41">
        <v>0</v>
      </c>
      <c r="L227" s="41">
        <v>694444.44444444403</v>
      </c>
      <c r="M227" s="41">
        <v>27777.777777777781</v>
      </c>
      <c r="N227" s="41">
        <v>19854166.66666666</v>
      </c>
      <c r="O227" s="41">
        <v>79166.666666666672</v>
      </c>
      <c r="P227" s="41">
        <v>49166666.666666552</v>
      </c>
      <c r="Q227" s="41">
        <v>166666.66666666669</v>
      </c>
      <c r="R227" s="41">
        <v>4699074.0740740756</v>
      </c>
      <c r="S227" s="41">
        <v>87962.962962962964</v>
      </c>
      <c r="T227" s="41">
        <v>1620370.370370371</v>
      </c>
      <c r="U227" s="41">
        <v>64814.814814814818</v>
      </c>
      <c r="V227" s="41">
        <v>147428240.7407406</v>
      </c>
      <c r="W227" s="41">
        <v>725462.96296296292</v>
      </c>
      <c r="X227" s="38">
        <f t="shared" si="18"/>
        <v>0.29485648148148119</v>
      </c>
      <c r="Y227" s="39">
        <f t="shared" si="19"/>
        <v>1.4509259259259258E-3</v>
      </c>
      <c r="Z227" s="39">
        <f t="shared" si="23"/>
        <v>4.9451208351479169E-3</v>
      </c>
      <c r="AA227" s="41">
        <f t="shared" si="20"/>
        <v>352571759.2592594</v>
      </c>
      <c r="AB227" s="39">
        <f t="shared" si="21"/>
        <v>2.0576320817275169E-3</v>
      </c>
      <c r="AC227" s="38">
        <f t="shared" si="22"/>
        <v>0.50036514405521815</v>
      </c>
      <c r="AD227" s="3"/>
    </row>
    <row r="228" spans="1:30" x14ac:dyDescent="0.25">
      <c r="A228" s="37">
        <v>45864</v>
      </c>
      <c r="B228" s="41">
        <v>1914814.8148148139</v>
      </c>
      <c r="C228" s="41">
        <v>35185.185185185182</v>
      </c>
      <c r="D228" s="41">
        <v>5930555.5555555504</v>
      </c>
      <c r="E228" s="41">
        <v>131944.44444444441</v>
      </c>
      <c r="F228" s="41">
        <v>13847222.22222219</v>
      </c>
      <c r="G228" s="41">
        <v>131944.44444444441</v>
      </c>
      <c r="H228" s="41">
        <v>50000000</v>
      </c>
      <c r="I228" s="41">
        <v>0</v>
      </c>
      <c r="J228" s="41">
        <v>0</v>
      </c>
      <c r="K228" s="41">
        <v>0</v>
      </c>
      <c r="L228" s="41">
        <v>722222.22222222178</v>
      </c>
      <c r="M228" s="41">
        <v>27777.777777777781</v>
      </c>
      <c r="N228" s="41">
        <v>19933333.333333321</v>
      </c>
      <c r="O228" s="41">
        <v>79166.666666666672</v>
      </c>
      <c r="P228" s="41">
        <v>49333333.333333217</v>
      </c>
      <c r="Q228" s="41">
        <v>166666.66666666669</v>
      </c>
      <c r="R228" s="41">
        <v>4787037.0370370392</v>
      </c>
      <c r="S228" s="41">
        <v>87962.962962962964</v>
      </c>
      <c r="T228" s="41">
        <v>1685185.1851851849</v>
      </c>
      <c r="U228" s="41">
        <v>64814.814814814818</v>
      </c>
      <c r="V228" s="41">
        <v>148153703.70370361</v>
      </c>
      <c r="W228" s="41">
        <v>725462.96296296292</v>
      </c>
      <c r="X228" s="38">
        <f t="shared" si="18"/>
        <v>0.29630740740740724</v>
      </c>
      <c r="Y228" s="39">
        <f t="shared" si="19"/>
        <v>1.4509259259259258E-3</v>
      </c>
      <c r="Z228" s="39">
        <f t="shared" si="23"/>
        <v>4.9207869490806933E-3</v>
      </c>
      <c r="AA228" s="41">
        <f t="shared" si="20"/>
        <v>351846296.29629636</v>
      </c>
      <c r="AB228" s="39">
        <f t="shared" si="21"/>
        <v>2.0618746611788604E-3</v>
      </c>
      <c r="AC228" s="38">
        <f t="shared" si="22"/>
        <v>0.49922230759140102</v>
      </c>
      <c r="AD228" s="3"/>
    </row>
    <row r="229" spans="1:30" x14ac:dyDescent="0.25">
      <c r="A229" s="37">
        <v>45865</v>
      </c>
      <c r="B229" s="41">
        <v>1950000</v>
      </c>
      <c r="C229" s="41">
        <v>35185.185185185182</v>
      </c>
      <c r="D229" s="41">
        <v>6062499.9999999944</v>
      </c>
      <c r="E229" s="41">
        <v>131944.44444444441</v>
      </c>
      <c r="F229" s="41">
        <v>13979166.66666664</v>
      </c>
      <c r="G229" s="41">
        <v>131944.44444444441</v>
      </c>
      <c r="H229" s="41">
        <v>50000000</v>
      </c>
      <c r="I229" s="41">
        <v>0</v>
      </c>
      <c r="J229" s="41">
        <v>0</v>
      </c>
      <c r="K229" s="41">
        <v>0</v>
      </c>
      <c r="L229" s="41">
        <v>749999.99999999953</v>
      </c>
      <c r="M229" s="41">
        <v>27777.777777777781</v>
      </c>
      <c r="N229" s="41">
        <v>20012499.999999989</v>
      </c>
      <c r="O229" s="41">
        <v>79166.666666666672</v>
      </c>
      <c r="P229" s="41">
        <v>49499999.999999881</v>
      </c>
      <c r="Q229" s="41">
        <v>166666.66666666669</v>
      </c>
      <c r="R229" s="41">
        <v>4875000.0000000019</v>
      </c>
      <c r="S229" s="41">
        <v>87962.962962962964</v>
      </c>
      <c r="T229" s="41">
        <v>1750000</v>
      </c>
      <c r="U229" s="41">
        <v>64814.814814814818</v>
      </c>
      <c r="V229" s="41">
        <v>148879166.66666651</v>
      </c>
      <c r="W229" s="41">
        <v>725462.96296296292</v>
      </c>
      <c r="X229" s="38">
        <f t="shared" si="18"/>
        <v>0.29775833333333301</v>
      </c>
      <c r="Y229" s="39">
        <f t="shared" si="19"/>
        <v>1.4509259259259258E-3</v>
      </c>
      <c r="Z229" s="39">
        <f t="shared" si="23"/>
        <v>4.8966913740734752E-3</v>
      </c>
      <c r="AA229" s="41">
        <f t="shared" si="20"/>
        <v>351120833.33333349</v>
      </c>
      <c r="AB229" s="39">
        <f t="shared" si="21"/>
        <v>2.0661347721120582E-3</v>
      </c>
      <c r="AC229" s="38">
        <f t="shared" si="22"/>
        <v>0.49809232317303159</v>
      </c>
      <c r="AD229" s="3"/>
    </row>
    <row r="230" spans="1:30" x14ac:dyDescent="0.25">
      <c r="A230" s="37">
        <v>45866</v>
      </c>
      <c r="B230" s="41">
        <v>1985185.1851851849</v>
      </c>
      <c r="C230" s="41">
        <v>35185.185185185182</v>
      </c>
      <c r="D230" s="41">
        <v>6194444.4444444384</v>
      </c>
      <c r="E230" s="41">
        <v>131944.44444444441</v>
      </c>
      <c r="F230" s="41">
        <v>14111111.11111108</v>
      </c>
      <c r="G230" s="41">
        <v>131944.44444444441</v>
      </c>
      <c r="H230" s="41">
        <v>50000000</v>
      </c>
      <c r="I230" s="41">
        <v>0</v>
      </c>
      <c r="J230" s="41">
        <v>0</v>
      </c>
      <c r="K230" s="41">
        <v>0</v>
      </c>
      <c r="L230" s="41">
        <v>777777.77777777729</v>
      </c>
      <c r="M230" s="41">
        <v>27777.777777777781</v>
      </c>
      <c r="N230" s="41">
        <v>20091666.66666666</v>
      </c>
      <c r="O230" s="41">
        <v>79166.666666666672</v>
      </c>
      <c r="P230" s="41">
        <v>49666666.666666538</v>
      </c>
      <c r="Q230" s="41">
        <v>166666.66666666669</v>
      </c>
      <c r="R230" s="41">
        <v>4962962.9629629645</v>
      </c>
      <c r="S230" s="41">
        <v>87962.962962962964</v>
      </c>
      <c r="T230" s="41">
        <v>1814814.8148148151</v>
      </c>
      <c r="U230" s="41">
        <v>64814.814814814818</v>
      </c>
      <c r="V230" s="41">
        <v>149604629.6296294</v>
      </c>
      <c r="W230" s="41">
        <v>725462.96296296292</v>
      </c>
      <c r="X230" s="38">
        <f t="shared" si="18"/>
        <v>0.29920925925925879</v>
      </c>
      <c r="Y230" s="39">
        <f t="shared" si="19"/>
        <v>1.4509259259259258E-3</v>
      </c>
      <c r="Z230" s="39">
        <f t="shared" si="23"/>
        <v>4.8728306263779711E-3</v>
      </c>
      <c r="AA230" s="41">
        <f t="shared" si="20"/>
        <v>350395370.37037063</v>
      </c>
      <c r="AB230" s="39">
        <f t="shared" si="21"/>
        <v>2.0704125234193103E-3</v>
      </c>
      <c r="AC230" s="38">
        <f t="shared" si="22"/>
        <v>0.49697497521610545</v>
      </c>
      <c r="AD230" s="3"/>
    </row>
    <row r="231" spans="1:30" x14ac:dyDescent="0.25">
      <c r="A231" s="37">
        <v>45867</v>
      </c>
      <c r="B231" s="41">
        <v>2020370.3703703701</v>
      </c>
      <c r="C231" s="41">
        <v>35185.185185185182</v>
      </c>
      <c r="D231" s="41">
        <v>6326388.8888888815</v>
      </c>
      <c r="E231" s="41">
        <v>131944.44444444441</v>
      </c>
      <c r="F231" s="41">
        <v>14243055.555555521</v>
      </c>
      <c r="G231" s="41">
        <v>131944.44444444441</v>
      </c>
      <c r="H231" s="41">
        <v>50000000</v>
      </c>
      <c r="I231" s="41">
        <v>0</v>
      </c>
      <c r="J231" s="41">
        <v>0</v>
      </c>
      <c r="K231" s="41">
        <v>0</v>
      </c>
      <c r="L231" s="41">
        <v>805555.55555555504</v>
      </c>
      <c r="M231" s="41">
        <v>27777.777777777781</v>
      </c>
      <c r="N231" s="41">
        <v>20170833.333333328</v>
      </c>
      <c r="O231" s="41">
        <v>79166.666666666672</v>
      </c>
      <c r="P231" s="41">
        <v>49833333.333333209</v>
      </c>
      <c r="Q231" s="41">
        <v>166666.66666666669</v>
      </c>
      <c r="R231" s="41">
        <v>5050925.9259259272</v>
      </c>
      <c r="S231" s="41">
        <v>87962.962962962964</v>
      </c>
      <c r="T231" s="41">
        <v>1879629.6296296299</v>
      </c>
      <c r="U231" s="41">
        <v>64814.814814814818</v>
      </c>
      <c r="V231" s="41">
        <v>150330092.59259239</v>
      </c>
      <c r="W231" s="41">
        <v>725462.96296296292</v>
      </c>
      <c r="X231" s="38">
        <f t="shared" si="18"/>
        <v>0.30066018518518478</v>
      </c>
      <c r="Y231" s="39">
        <f t="shared" si="19"/>
        <v>1.4509259259259258E-3</v>
      </c>
      <c r="Z231" s="39">
        <f t="shared" si="23"/>
        <v>4.8492012898194697E-3</v>
      </c>
      <c r="AA231" s="41">
        <f t="shared" si="20"/>
        <v>349669907.40740764</v>
      </c>
      <c r="AB231" s="39">
        <f t="shared" si="21"/>
        <v>2.0747080248964948E-3</v>
      </c>
      <c r="AC231" s="38">
        <f t="shared" si="22"/>
        <v>0.49587005293150144</v>
      </c>
      <c r="AD231" s="3"/>
    </row>
    <row r="232" spans="1:30" x14ac:dyDescent="0.25">
      <c r="A232" s="37">
        <v>45868</v>
      </c>
      <c r="B232" s="41">
        <v>2055555.555555555</v>
      </c>
      <c r="C232" s="41">
        <v>35185.185185185182</v>
      </c>
      <c r="D232" s="41">
        <v>6458333.3333333274</v>
      </c>
      <c r="E232" s="41">
        <v>131944.44444444441</v>
      </c>
      <c r="F232" s="41">
        <v>14374999.99999997</v>
      </c>
      <c r="G232" s="41">
        <v>131944.44444444441</v>
      </c>
      <c r="H232" s="41">
        <v>50000000</v>
      </c>
      <c r="I232" s="41">
        <v>0</v>
      </c>
      <c r="J232" s="41">
        <v>0</v>
      </c>
      <c r="K232" s="41">
        <v>0</v>
      </c>
      <c r="L232" s="41">
        <v>833333.33333333279</v>
      </c>
      <c r="M232" s="41">
        <v>27777.777777777781</v>
      </c>
      <c r="N232" s="41">
        <v>20250000</v>
      </c>
      <c r="O232" s="41">
        <v>79166.666666666672</v>
      </c>
      <c r="P232" s="41">
        <v>49999999.999999873</v>
      </c>
      <c r="Q232" s="41">
        <v>166666.66666666669</v>
      </c>
      <c r="R232" s="41">
        <v>5138888.8888888899</v>
      </c>
      <c r="S232" s="41">
        <v>87962.962962962964</v>
      </c>
      <c r="T232" s="41">
        <v>1944444.444444445</v>
      </c>
      <c r="U232" s="41">
        <v>64814.814814814818</v>
      </c>
      <c r="V232" s="41">
        <v>151055555.5555554</v>
      </c>
      <c r="W232" s="41">
        <v>725462.96296296292</v>
      </c>
      <c r="X232" s="38">
        <f t="shared" si="18"/>
        <v>0.30211111111111083</v>
      </c>
      <c r="Y232" s="39">
        <f t="shared" si="19"/>
        <v>1.4509259259259258E-3</v>
      </c>
      <c r="Z232" s="39">
        <f t="shared" si="23"/>
        <v>4.8258000141663624E-3</v>
      </c>
      <c r="AA232" s="41">
        <f t="shared" si="20"/>
        <v>348944444.4444446</v>
      </c>
      <c r="AB232" s="39">
        <f t="shared" si="21"/>
        <v>2.0790213872525598E-3</v>
      </c>
      <c r="AC232" s="38">
        <f t="shared" si="22"/>
        <v>0.49477735019241231</v>
      </c>
      <c r="AD232" s="3"/>
    </row>
    <row r="233" spans="1:30" x14ac:dyDescent="0.25">
      <c r="A233" s="37">
        <v>45869</v>
      </c>
      <c r="B233" s="41">
        <v>2090740.74074074</v>
      </c>
      <c r="C233" s="41">
        <v>35185.185185185182</v>
      </c>
      <c r="D233" s="41">
        <v>6590277.7777777715</v>
      </c>
      <c r="E233" s="41">
        <v>131944.44444444441</v>
      </c>
      <c r="F233" s="41">
        <v>14506944.444444411</v>
      </c>
      <c r="G233" s="41">
        <v>131944.44444444441</v>
      </c>
      <c r="H233" s="41">
        <v>50000000</v>
      </c>
      <c r="I233" s="41">
        <v>0</v>
      </c>
      <c r="J233" s="41">
        <v>0</v>
      </c>
      <c r="K233" s="41">
        <v>0</v>
      </c>
      <c r="L233" s="41">
        <v>861111.11111111054</v>
      </c>
      <c r="M233" s="41">
        <v>27777.777777777781</v>
      </c>
      <c r="N233" s="41">
        <v>20329166.66666666</v>
      </c>
      <c r="O233" s="41">
        <v>79166.666666666672</v>
      </c>
      <c r="P233" s="41">
        <v>50166666.666666538</v>
      </c>
      <c r="Q233" s="41">
        <v>166666.66666666669</v>
      </c>
      <c r="R233" s="41">
        <v>5226851.8518518526</v>
      </c>
      <c r="S233" s="41">
        <v>87962.962962962964</v>
      </c>
      <c r="T233" s="41">
        <v>2009259.25925926</v>
      </c>
      <c r="U233" s="41">
        <v>64814.814814814818</v>
      </c>
      <c r="V233" s="41">
        <v>151781018.5185183</v>
      </c>
      <c r="W233" s="41">
        <v>725462.96296296292</v>
      </c>
      <c r="X233" s="38">
        <f t="shared" si="18"/>
        <v>0.3035620370370366</v>
      </c>
      <c r="Y233" s="39">
        <f t="shared" si="19"/>
        <v>1.4509259259259258E-3</v>
      </c>
      <c r="Z233" s="39">
        <f t="shared" si="23"/>
        <v>4.802623513546652E-3</v>
      </c>
      <c r="AA233" s="41">
        <f t="shared" si="20"/>
        <v>348218981.48148167</v>
      </c>
      <c r="AB233" s="39">
        <f t="shared" si="21"/>
        <v>2.0833527221190357E-3</v>
      </c>
      <c r="AC233" s="38">
        <f t="shared" si="22"/>
        <v>0.49369666540615076</v>
      </c>
      <c r="AD233" s="3"/>
    </row>
    <row r="234" spans="1:30" x14ac:dyDescent="0.25">
      <c r="A234" s="37">
        <v>45870</v>
      </c>
      <c r="B234" s="41">
        <v>2125925.9259259249</v>
      </c>
      <c r="C234" s="41">
        <v>35185.185185185182</v>
      </c>
      <c r="D234" s="41">
        <v>6722222.2222222146</v>
      </c>
      <c r="E234" s="41">
        <v>131944.44444444441</v>
      </c>
      <c r="F234" s="41">
        <v>14638888.88888886</v>
      </c>
      <c r="G234" s="41">
        <v>131944.44444444441</v>
      </c>
      <c r="H234" s="41">
        <v>50000000</v>
      </c>
      <c r="I234" s="41">
        <v>0</v>
      </c>
      <c r="J234" s="41">
        <v>0</v>
      </c>
      <c r="K234" s="41">
        <v>0</v>
      </c>
      <c r="L234" s="41">
        <v>888888.88888888829</v>
      </c>
      <c r="M234" s="41">
        <v>27777.777777777781</v>
      </c>
      <c r="N234" s="41">
        <v>20408333.333333328</v>
      </c>
      <c r="O234" s="41">
        <v>79166.666666666672</v>
      </c>
      <c r="P234" s="41">
        <v>50333333.333333202</v>
      </c>
      <c r="Q234" s="41">
        <v>166666.66666666669</v>
      </c>
      <c r="R234" s="41">
        <v>5314814.8148148153</v>
      </c>
      <c r="S234" s="41">
        <v>87962.962962962964</v>
      </c>
      <c r="T234" s="41">
        <v>2074074.0740740739</v>
      </c>
      <c r="U234" s="41">
        <v>64814.814814814818</v>
      </c>
      <c r="V234" s="41">
        <v>152506481.48148131</v>
      </c>
      <c r="W234" s="41">
        <v>725462.96296296292</v>
      </c>
      <c r="X234" s="38">
        <f t="shared" si="18"/>
        <v>0.30501296296296265</v>
      </c>
      <c r="Y234" s="39">
        <f t="shared" si="19"/>
        <v>1.4509259259259258E-3</v>
      </c>
      <c r="Z234" s="39">
        <f t="shared" si="23"/>
        <v>4.7796685649098575E-3</v>
      </c>
      <c r="AA234" s="41">
        <f t="shared" si="20"/>
        <v>347493518.51851869</v>
      </c>
      <c r="AB234" s="39">
        <f t="shared" si="21"/>
        <v>2.0877021420596695E-3</v>
      </c>
      <c r="AC234" s="38">
        <f t="shared" si="22"/>
        <v>0.49262780139015899</v>
      </c>
      <c r="AD234" s="3"/>
    </row>
    <row r="235" spans="1:30" x14ac:dyDescent="0.25">
      <c r="A235" s="37">
        <v>45871</v>
      </c>
      <c r="B235" s="41">
        <v>2161111.111111111</v>
      </c>
      <c r="C235" s="41">
        <v>35185.185185185182</v>
      </c>
      <c r="D235" s="41">
        <v>6854166.6666666586</v>
      </c>
      <c r="E235" s="41">
        <v>131944.44444444441</v>
      </c>
      <c r="F235" s="41">
        <v>14770833.3333333</v>
      </c>
      <c r="G235" s="41">
        <v>131944.44444444441</v>
      </c>
      <c r="H235" s="41">
        <v>50000000</v>
      </c>
      <c r="I235" s="41">
        <v>0</v>
      </c>
      <c r="J235" s="41">
        <v>0</v>
      </c>
      <c r="K235" s="41">
        <v>0</v>
      </c>
      <c r="L235" s="41">
        <v>916666.66666666605</v>
      </c>
      <c r="M235" s="41">
        <v>27777.777777777781</v>
      </c>
      <c r="N235" s="41">
        <v>20487500</v>
      </c>
      <c r="O235" s="41">
        <v>79166.666666666672</v>
      </c>
      <c r="P235" s="41">
        <v>50499999.999999873</v>
      </c>
      <c r="Q235" s="41">
        <v>166666.66666666669</v>
      </c>
      <c r="R235" s="41">
        <v>5402777.777777778</v>
      </c>
      <c r="S235" s="41">
        <v>87962.962962962964</v>
      </c>
      <c r="T235" s="41">
        <v>2138888.888888889</v>
      </c>
      <c r="U235" s="41">
        <v>64814.814814814818</v>
      </c>
      <c r="V235" s="41">
        <v>153231944.4444443</v>
      </c>
      <c r="W235" s="41">
        <v>725462.96296296292</v>
      </c>
      <c r="X235" s="38">
        <f t="shared" si="18"/>
        <v>0.30646388888888859</v>
      </c>
      <c r="Y235" s="39">
        <f t="shared" si="19"/>
        <v>1.4509259259259258E-3</v>
      </c>
      <c r="Z235" s="39">
        <f t="shared" si="23"/>
        <v>4.7569320065328179E-3</v>
      </c>
      <c r="AA235" s="41">
        <f t="shared" si="20"/>
        <v>346768055.5555557</v>
      </c>
      <c r="AB235" s="39">
        <f t="shared" si="21"/>
        <v>2.0920697605801711E-3</v>
      </c>
      <c r="AC235" s="38">
        <f t="shared" si="22"/>
        <v>0.49157056525207077</v>
      </c>
      <c r="AD235" s="3"/>
    </row>
    <row r="236" spans="1:30" x14ac:dyDescent="0.25">
      <c r="A236" s="37">
        <v>45872</v>
      </c>
      <c r="B236" s="41">
        <v>2196296.2962962962</v>
      </c>
      <c r="C236" s="41">
        <v>35185.185185185182</v>
      </c>
      <c r="D236" s="41">
        <v>6986111.1111111026</v>
      </c>
      <c r="E236" s="41">
        <v>131944.44444444441</v>
      </c>
      <c r="F236" s="41">
        <v>14902777.777777741</v>
      </c>
      <c r="G236" s="41">
        <v>131944.44444444441</v>
      </c>
      <c r="H236" s="41">
        <v>50000000</v>
      </c>
      <c r="I236" s="41">
        <v>0</v>
      </c>
      <c r="J236" s="41">
        <v>0</v>
      </c>
      <c r="K236" s="41">
        <v>0</v>
      </c>
      <c r="L236" s="41">
        <v>944444.4444444438</v>
      </c>
      <c r="M236" s="41">
        <v>27777.777777777781</v>
      </c>
      <c r="N236" s="41">
        <v>20566666.666666672</v>
      </c>
      <c r="O236" s="41">
        <v>79166.666666666672</v>
      </c>
      <c r="P236" s="41">
        <v>50666666.66666653</v>
      </c>
      <c r="Q236" s="41">
        <v>166666.66666666669</v>
      </c>
      <c r="R236" s="41">
        <v>5490740.7407407407</v>
      </c>
      <c r="S236" s="41">
        <v>87962.962962962964</v>
      </c>
      <c r="T236" s="41">
        <v>2203703.7037037038</v>
      </c>
      <c r="U236" s="41">
        <v>64814.814814814818</v>
      </c>
      <c r="V236" s="41">
        <v>153957407.40740719</v>
      </c>
      <c r="W236" s="41">
        <v>725462.96296296292</v>
      </c>
      <c r="X236" s="38">
        <f t="shared" si="18"/>
        <v>0.30791481481481436</v>
      </c>
      <c r="Y236" s="39">
        <f t="shared" si="19"/>
        <v>1.4509259259259258E-3</v>
      </c>
      <c r="Z236" s="39">
        <f t="shared" si="23"/>
        <v>4.7344107365679643E-3</v>
      </c>
      <c r="AA236" s="41">
        <f t="shared" si="20"/>
        <v>346042592.59259284</v>
      </c>
      <c r="AB236" s="39">
        <f t="shared" si="21"/>
        <v>2.0964556921380887E-3</v>
      </c>
      <c r="AC236" s="38">
        <f t="shared" si="22"/>
        <v>0.49052476827366026</v>
      </c>
      <c r="AD236" s="3"/>
    </row>
    <row r="237" spans="1:30" x14ac:dyDescent="0.25">
      <c r="A237" s="37">
        <v>45873</v>
      </c>
      <c r="B237" s="41">
        <v>2231481.4814814809</v>
      </c>
      <c r="C237" s="41">
        <v>35185.185185185182</v>
      </c>
      <c r="D237" s="41">
        <v>7118055.5555555467</v>
      </c>
      <c r="E237" s="41">
        <v>131944.44444444441</v>
      </c>
      <c r="F237" s="41">
        <v>15034722.22222219</v>
      </c>
      <c r="G237" s="41">
        <v>131944.44444444441</v>
      </c>
      <c r="H237" s="41">
        <v>50000000</v>
      </c>
      <c r="I237" s="41">
        <v>0</v>
      </c>
      <c r="J237" s="41">
        <v>0</v>
      </c>
      <c r="K237" s="41">
        <v>0</v>
      </c>
      <c r="L237" s="41">
        <v>972222.22222222155</v>
      </c>
      <c r="M237" s="41">
        <v>27777.777777777781</v>
      </c>
      <c r="N237" s="41">
        <v>20645833.33333334</v>
      </c>
      <c r="O237" s="41">
        <v>79166.666666666672</v>
      </c>
      <c r="P237" s="41">
        <v>50833333.333333187</v>
      </c>
      <c r="Q237" s="41">
        <v>166666.66666666669</v>
      </c>
      <c r="R237" s="41">
        <v>5578703.7037037034</v>
      </c>
      <c r="S237" s="41">
        <v>87962.962962962964</v>
      </c>
      <c r="T237" s="41">
        <v>2268518.5185185191</v>
      </c>
      <c r="U237" s="41">
        <v>64814.814814814818</v>
      </c>
      <c r="V237" s="41">
        <v>154682870.37037021</v>
      </c>
      <c r="W237" s="41">
        <v>725462.96296296292</v>
      </c>
      <c r="X237" s="38">
        <f t="shared" si="18"/>
        <v>0.30936574074074041</v>
      </c>
      <c r="Y237" s="39">
        <f t="shared" si="19"/>
        <v>1.4509259259259258E-3</v>
      </c>
      <c r="Z237" s="39">
        <f t="shared" si="23"/>
        <v>4.7121017116326129E-3</v>
      </c>
      <c r="AA237" s="41">
        <f t="shared" si="20"/>
        <v>345317129.62962979</v>
      </c>
      <c r="AB237" s="39">
        <f t="shared" si="21"/>
        <v>2.1008600521528107E-3</v>
      </c>
      <c r="AC237" s="38">
        <f t="shared" si="22"/>
        <v>0.4894902257985409</v>
      </c>
      <c r="AD237" s="3"/>
    </row>
    <row r="238" spans="1:30" x14ac:dyDescent="0.25">
      <c r="A238" s="37">
        <v>45874</v>
      </c>
      <c r="B238" s="41">
        <v>2266666.666666666</v>
      </c>
      <c r="C238" s="41">
        <v>35185.185185185182</v>
      </c>
      <c r="D238" s="41">
        <v>7249999.9999999907</v>
      </c>
      <c r="E238" s="41">
        <v>131944.44444444441</v>
      </c>
      <c r="F238" s="41">
        <v>15166666.666666631</v>
      </c>
      <c r="G238" s="41">
        <v>131944.44444444441</v>
      </c>
      <c r="H238" s="41">
        <v>50000000</v>
      </c>
      <c r="I238" s="41">
        <v>0</v>
      </c>
      <c r="J238" s="41">
        <v>0</v>
      </c>
      <c r="K238" s="41">
        <v>0</v>
      </c>
      <c r="L238" s="41">
        <v>999999.9999999993</v>
      </c>
      <c r="M238" s="41">
        <v>27777.777777777781</v>
      </c>
      <c r="N238" s="41">
        <v>20725000</v>
      </c>
      <c r="O238" s="41">
        <v>79166.666666666672</v>
      </c>
      <c r="P238" s="41">
        <v>50999999.999999858</v>
      </c>
      <c r="Q238" s="41">
        <v>166666.66666666669</v>
      </c>
      <c r="R238" s="41">
        <v>5666666.666666666</v>
      </c>
      <c r="S238" s="41">
        <v>87962.962962962964</v>
      </c>
      <c r="T238" s="41">
        <v>2333333.333333333</v>
      </c>
      <c r="U238" s="41">
        <v>64814.814814814818</v>
      </c>
      <c r="V238" s="41">
        <v>155408333.3333331</v>
      </c>
      <c r="W238" s="41">
        <v>725462.96296296292</v>
      </c>
      <c r="X238" s="38">
        <f t="shared" si="18"/>
        <v>0.31081666666666619</v>
      </c>
      <c r="Y238" s="39">
        <f t="shared" si="19"/>
        <v>1.4509259259259258E-3</v>
      </c>
      <c r="Z238" s="39">
        <f t="shared" si="23"/>
        <v>4.6900019454379528E-3</v>
      </c>
      <c r="AA238" s="41">
        <f t="shared" si="20"/>
        <v>344591666.66666687</v>
      </c>
      <c r="AB238" s="39">
        <f t="shared" si="21"/>
        <v>2.1052829570156828E-3</v>
      </c>
      <c r="AC238" s="38">
        <f t="shared" si="22"/>
        <v>0.48846675712347254</v>
      </c>
      <c r="AD238" s="3"/>
    </row>
    <row r="239" spans="1:30" x14ac:dyDescent="0.25">
      <c r="A239" s="37">
        <v>45875</v>
      </c>
      <c r="B239" s="41">
        <v>2301851.8518518512</v>
      </c>
      <c r="C239" s="41">
        <v>35185.185185185182</v>
      </c>
      <c r="D239" s="41">
        <v>7381944.4444444347</v>
      </c>
      <c r="E239" s="41">
        <v>131944.44444444441</v>
      </c>
      <c r="F239" s="41">
        <v>15298611.11111108</v>
      </c>
      <c r="G239" s="41">
        <v>131944.44444444441</v>
      </c>
      <c r="H239" s="41">
        <v>50000000</v>
      </c>
      <c r="I239" s="41">
        <v>0</v>
      </c>
      <c r="J239" s="41">
        <v>0</v>
      </c>
      <c r="K239" s="41">
        <v>0</v>
      </c>
      <c r="L239" s="41">
        <v>1027777.7777777771</v>
      </c>
      <c r="M239" s="41">
        <v>27777.777777777781</v>
      </c>
      <c r="N239" s="41">
        <v>20804166.666666672</v>
      </c>
      <c r="O239" s="41">
        <v>79166.666666666672</v>
      </c>
      <c r="P239" s="41">
        <v>51166666.666666523</v>
      </c>
      <c r="Q239" s="41">
        <v>166666.66666666669</v>
      </c>
      <c r="R239" s="41">
        <v>5754629.6296296287</v>
      </c>
      <c r="S239" s="41">
        <v>87962.962962962964</v>
      </c>
      <c r="T239" s="41">
        <v>2398148.1481481479</v>
      </c>
      <c r="U239" s="41">
        <v>64814.814814814818</v>
      </c>
      <c r="V239" s="41">
        <v>156133796.29629609</v>
      </c>
      <c r="W239" s="41">
        <v>725462.96296296292</v>
      </c>
      <c r="X239" s="38">
        <f t="shared" si="18"/>
        <v>0.31226759259259218</v>
      </c>
      <c r="Y239" s="39">
        <f t="shared" si="19"/>
        <v>1.4509259259259258E-3</v>
      </c>
      <c r="Z239" s="39">
        <f t="shared" si="23"/>
        <v>4.6681085074564681E-3</v>
      </c>
      <c r="AA239" s="41">
        <f t="shared" si="20"/>
        <v>343866203.70370388</v>
      </c>
      <c r="AB239" s="39">
        <f t="shared" si="21"/>
        <v>2.1097245241002691E-3</v>
      </c>
      <c r="AC239" s="38">
        <f t="shared" si="22"/>
        <v>0.48745418539313345</v>
      </c>
      <c r="AD239" s="3"/>
    </row>
    <row r="240" spans="1:30" x14ac:dyDescent="0.25">
      <c r="A240" s="37">
        <v>45876</v>
      </c>
      <c r="B240" s="41">
        <v>2337037.0370370359</v>
      </c>
      <c r="C240" s="41">
        <v>35185.185185185182</v>
      </c>
      <c r="D240" s="41">
        <v>7513888.8888888787</v>
      </c>
      <c r="E240" s="41">
        <v>131944.44444444441</v>
      </c>
      <c r="F240" s="41">
        <v>15430555.555555521</v>
      </c>
      <c r="G240" s="41">
        <v>131944.44444444441</v>
      </c>
      <c r="H240" s="41">
        <v>50000000</v>
      </c>
      <c r="I240" s="41">
        <v>0</v>
      </c>
      <c r="J240" s="41">
        <v>0</v>
      </c>
      <c r="K240" s="41">
        <v>0</v>
      </c>
      <c r="L240" s="41">
        <v>1055555.555555555</v>
      </c>
      <c r="M240" s="41">
        <v>27777.777777777781</v>
      </c>
      <c r="N240" s="41">
        <v>20883333.33333334</v>
      </c>
      <c r="O240" s="41">
        <v>79166.666666666672</v>
      </c>
      <c r="P240" s="41">
        <v>51333333.333333187</v>
      </c>
      <c r="Q240" s="41">
        <v>166666.66666666669</v>
      </c>
      <c r="R240" s="41">
        <v>5842592.5925925914</v>
      </c>
      <c r="S240" s="41">
        <v>87962.962962962964</v>
      </c>
      <c r="T240" s="41">
        <v>2462962.9629629632</v>
      </c>
      <c r="U240" s="41">
        <v>64814.814814814818</v>
      </c>
      <c r="V240" s="41">
        <v>156859259.2592591</v>
      </c>
      <c r="W240" s="41">
        <v>725462.96296296292</v>
      </c>
      <c r="X240" s="38">
        <f t="shared" si="18"/>
        <v>0.31371851851851823</v>
      </c>
      <c r="Y240" s="39">
        <f t="shared" si="19"/>
        <v>1.4509259259259258E-3</v>
      </c>
      <c r="Z240" s="39">
        <f t="shared" si="23"/>
        <v>4.6464185216264602E-3</v>
      </c>
      <c r="AA240" s="41">
        <f t="shared" si="20"/>
        <v>343140740.7407409</v>
      </c>
      <c r="AB240" s="39">
        <f t="shared" si="21"/>
        <v>2.1141848717727302E-3</v>
      </c>
      <c r="AC240" s="38">
        <f t="shared" si="22"/>
        <v>0.48645233749824379</v>
      </c>
      <c r="AD240" s="3"/>
    </row>
    <row r="241" spans="1:30" x14ac:dyDescent="0.25">
      <c r="A241" s="37">
        <v>45877</v>
      </c>
      <c r="B241" s="41">
        <v>2372222.222222222</v>
      </c>
      <c r="C241" s="41">
        <v>35185.185185185182</v>
      </c>
      <c r="D241" s="41">
        <v>7645833.3333333228</v>
      </c>
      <c r="E241" s="41">
        <v>131944.44444444441</v>
      </c>
      <c r="F241" s="41">
        <v>15562499.999999961</v>
      </c>
      <c r="G241" s="41">
        <v>131944.44444444441</v>
      </c>
      <c r="H241" s="41">
        <v>50000000</v>
      </c>
      <c r="I241" s="41">
        <v>0</v>
      </c>
      <c r="J241" s="41">
        <v>0</v>
      </c>
      <c r="K241" s="41">
        <v>0</v>
      </c>
      <c r="L241" s="41">
        <v>1083333.333333333</v>
      </c>
      <c r="M241" s="41">
        <v>27777.777777777781</v>
      </c>
      <c r="N241" s="41">
        <v>20962500.000000011</v>
      </c>
      <c r="O241" s="41">
        <v>79166.666666666672</v>
      </c>
      <c r="P241" s="41">
        <v>51499999.999999851</v>
      </c>
      <c r="Q241" s="41">
        <v>166666.66666666669</v>
      </c>
      <c r="R241" s="41">
        <v>5930555.5555555541</v>
      </c>
      <c r="S241" s="41">
        <v>87962.962962962964</v>
      </c>
      <c r="T241" s="41">
        <v>2527777.777777778</v>
      </c>
      <c r="U241" s="41">
        <v>64814.814814814818</v>
      </c>
      <c r="V241" s="41">
        <v>157584722.222222</v>
      </c>
      <c r="W241" s="41">
        <v>725462.96296296292</v>
      </c>
      <c r="X241" s="38">
        <f t="shared" si="18"/>
        <v>0.315169444444444</v>
      </c>
      <c r="Y241" s="39">
        <f t="shared" si="19"/>
        <v>1.4509259259259258E-3</v>
      </c>
      <c r="Z241" s="39">
        <f t="shared" si="23"/>
        <v>4.6249291650925619E-3</v>
      </c>
      <c r="AA241" s="41">
        <f t="shared" si="20"/>
        <v>342415277.77777803</v>
      </c>
      <c r="AB241" s="39">
        <f t="shared" si="21"/>
        <v>2.1186641194023375E-3</v>
      </c>
      <c r="AC241" s="38">
        <f t="shared" si="22"/>
        <v>0.48546104397690421</v>
      </c>
      <c r="AD241" s="3"/>
    </row>
    <row r="242" spans="1:30" x14ac:dyDescent="0.25">
      <c r="A242" s="37">
        <v>45878</v>
      </c>
      <c r="B242" s="41">
        <v>2407407.4074074072</v>
      </c>
      <c r="C242" s="41">
        <v>35185.185185185182</v>
      </c>
      <c r="D242" s="41">
        <v>7777777.7777777668</v>
      </c>
      <c r="E242" s="41">
        <v>131944.44444444441</v>
      </c>
      <c r="F242" s="41">
        <v>15694444.444444411</v>
      </c>
      <c r="G242" s="41">
        <v>131944.44444444441</v>
      </c>
      <c r="H242" s="41">
        <v>50000000</v>
      </c>
      <c r="I242" s="41">
        <v>0</v>
      </c>
      <c r="J242" s="41">
        <v>0</v>
      </c>
      <c r="K242" s="41">
        <v>0</v>
      </c>
      <c r="L242" s="41">
        <v>1111111.1111111101</v>
      </c>
      <c r="M242" s="41">
        <v>27777.777777777781</v>
      </c>
      <c r="N242" s="41">
        <v>21041666.666666679</v>
      </c>
      <c r="O242" s="41">
        <v>79166.666666666672</v>
      </c>
      <c r="P242" s="41">
        <v>51666666.666666523</v>
      </c>
      <c r="Q242" s="41">
        <v>166666.66666666669</v>
      </c>
      <c r="R242" s="41">
        <v>6018518.5185185168</v>
      </c>
      <c r="S242" s="41">
        <v>87962.962962962964</v>
      </c>
      <c r="T242" s="41">
        <v>2592592.5925925928</v>
      </c>
      <c r="U242" s="41">
        <v>64814.814814814818</v>
      </c>
      <c r="V242" s="41">
        <v>158310185.18518499</v>
      </c>
      <c r="W242" s="41">
        <v>725462.96296296292</v>
      </c>
      <c r="X242" s="38">
        <f t="shared" si="18"/>
        <v>0.31662037037037</v>
      </c>
      <c r="Y242" s="39">
        <f t="shared" si="19"/>
        <v>1.4509259259259258E-3</v>
      </c>
      <c r="Z242" s="39">
        <f t="shared" si="23"/>
        <v>4.6036376669810249E-3</v>
      </c>
      <c r="AA242" s="41">
        <f t="shared" si="20"/>
        <v>341689814.81481504</v>
      </c>
      <c r="AB242" s="39">
        <f t="shared" si="21"/>
        <v>2.1231623873721279E-3</v>
      </c>
      <c r="AC242" s="38">
        <f t="shared" si="22"/>
        <v>0.48448013891903513</v>
      </c>
      <c r="AD242" s="3"/>
    </row>
    <row r="243" spans="1:30" x14ac:dyDescent="0.25">
      <c r="A243" s="37">
        <v>45879</v>
      </c>
      <c r="B243" s="41">
        <v>2442592.5925925919</v>
      </c>
      <c r="C243" s="41">
        <v>35185.185185185182</v>
      </c>
      <c r="D243" s="41">
        <v>7909722.2222222108</v>
      </c>
      <c r="E243" s="41">
        <v>131944.44444444441</v>
      </c>
      <c r="F243" s="41">
        <v>15826388.888888851</v>
      </c>
      <c r="G243" s="41">
        <v>131944.44444444441</v>
      </c>
      <c r="H243" s="41">
        <v>50000000</v>
      </c>
      <c r="I243" s="41">
        <v>0</v>
      </c>
      <c r="J243" s="41">
        <v>0</v>
      </c>
      <c r="K243" s="41">
        <v>0</v>
      </c>
      <c r="L243" s="41">
        <v>1138888.8888888881</v>
      </c>
      <c r="M243" s="41">
        <v>27777.777777777781</v>
      </c>
      <c r="N243" s="41">
        <v>21120833.33333334</v>
      </c>
      <c r="O243" s="41">
        <v>79166.666666666672</v>
      </c>
      <c r="P243" s="41">
        <v>51833333.333333179</v>
      </c>
      <c r="Q243" s="41">
        <v>166666.66666666669</v>
      </c>
      <c r="R243" s="41">
        <v>6106481.4814814785</v>
      </c>
      <c r="S243" s="41">
        <v>87962.962962962964</v>
      </c>
      <c r="T243" s="41">
        <v>2657407.4074074081</v>
      </c>
      <c r="U243" s="41">
        <v>64814.814814814818</v>
      </c>
      <c r="V243" s="41">
        <v>159035648.14814791</v>
      </c>
      <c r="W243" s="41">
        <v>725462.96296296292</v>
      </c>
      <c r="X243" s="38">
        <f t="shared" si="18"/>
        <v>0.31807129629629582</v>
      </c>
      <c r="Y243" s="39">
        <f t="shared" si="19"/>
        <v>1.4509259259259258E-3</v>
      </c>
      <c r="Z243" s="39">
        <f t="shared" si="23"/>
        <v>4.582541307208662E-3</v>
      </c>
      <c r="AA243" s="41">
        <f t="shared" si="20"/>
        <v>340964351.85185206</v>
      </c>
      <c r="AB243" s="39">
        <f t="shared" si="21"/>
        <v>2.1276797970896802E-3</v>
      </c>
      <c r="AC243" s="38">
        <f t="shared" si="22"/>
        <v>0.48350945987380972</v>
      </c>
      <c r="AD243" s="3"/>
    </row>
    <row r="244" spans="1:30" x14ac:dyDescent="0.25">
      <c r="A244" s="37">
        <v>45880</v>
      </c>
      <c r="B244" s="41">
        <v>2477777.7777777771</v>
      </c>
      <c r="C244" s="41">
        <v>35185.185185185182</v>
      </c>
      <c r="D244" s="41">
        <v>8041666.6666666549</v>
      </c>
      <c r="E244" s="41">
        <v>131944.44444444441</v>
      </c>
      <c r="F244" s="41">
        <v>15958333.3333333</v>
      </c>
      <c r="G244" s="41">
        <v>131944.44444444441</v>
      </c>
      <c r="H244" s="41">
        <v>50000000</v>
      </c>
      <c r="I244" s="41">
        <v>0</v>
      </c>
      <c r="J244" s="41">
        <v>0</v>
      </c>
      <c r="K244" s="41">
        <v>0</v>
      </c>
      <c r="L244" s="41">
        <v>1166666.666666666</v>
      </c>
      <c r="M244" s="41">
        <v>27777.777777777781</v>
      </c>
      <c r="N244" s="41">
        <v>21200000.000000011</v>
      </c>
      <c r="O244" s="41">
        <v>79166.666666666672</v>
      </c>
      <c r="P244" s="41">
        <v>51999999.999999844</v>
      </c>
      <c r="Q244" s="41">
        <v>166666.66666666669</v>
      </c>
      <c r="R244" s="41">
        <v>6194444.4444444422</v>
      </c>
      <c r="S244" s="41">
        <v>87962.962962962964</v>
      </c>
      <c r="T244" s="41">
        <v>2722222.222222222</v>
      </c>
      <c r="U244" s="41">
        <v>64814.814814814818</v>
      </c>
      <c r="V244" s="41">
        <v>159761111.1111109</v>
      </c>
      <c r="W244" s="41">
        <v>725462.96296296292</v>
      </c>
      <c r="X244" s="38">
        <f t="shared" si="18"/>
        <v>0.31952222222222182</v>
      </c>
      <c r="Y244" s="39">
        <f t="shared" si="19"/>
        <v>1.4509259259259258E-3</v>
      </c>
      <c r="Z244" s="39">
        <f t="shared" si="23"/>
        <v>4.5616374153244297E-3</v>
      </c>
      <c r="AA244" s="41">
        <f t="shared" si="20"/>
        <v>340238888.88888907</v>
      </c>
      <c r="AB244" s="39">
        <f t="shared" si="21"/>
        <v>2.1322164709980445E-3</v>
      </c>
      <c r="AC244" s="38">
        <f t="shared" si="22"/>
        <v>0.48254884775996171</v>
      </c>
      <c r="AD244" s="3"/>
    </row>
    <row r="245" spans="1:30" x14ac:dyDescent="0.25">
      <c r="A245" s="37">
        <v>45881</v>
      </c>
      <c r="B245" s="41">
        <v>2512962.9629629622</v>
      </c>
      <c r="C245" s="41">
        <v>35185.185185185182</v>
      </c>
      <c r="D245" s="41">
        <v>8173611.1111110989</v>
      </c>
      <c r="E245" s="41">
        <v>131944.44444444441</v>
      </c>
      <c r="F245" s="41">
        <v>16090277.777777741</v>
      </c>
      <c r="G245" s="41">
        <v>131944.44444444441</v>
      </c>
      <c r="H245" s="41">
        <v>50000000</v>
      </c>
      <c r="I245" s="41">
        <v>0</v>
      </c>
      <c r="J245" s="41">
        <v>0</v>
      </c>
      <c r="K245" s="41">
        <v>0</v>
      </c>
      <c r="L245" s="41">
        <v>1194444.444444444</v>
      </c>
      <c r="M245" s="41">
        <v>27777.777777777781</v>
      </c>
      <c r="N245" s="41">
        <v>21279166.666666679</v>
      </c>
      <c r="O245" s="41">
        <v>79166.666666666672</v>
      </c>
      <c r="P245" s="41">
        <v>52166666.666666508</v>
      </c>
      <c r="Q245" s="41">
        <v>166666.66666666669</v>
      </c>
      <c r="R245" s="41">
        <v>6282407.4074074049</v>
      </c>
      <c r="S245" s="41">
        <v>87962.962962962964</v>
      </c>
      <c r="T245" s="41">
        <v>2787037.0370370368</v>
      </c>
      <c r="U245" s="41">
        <v>64814.814814814818</v>
      </c>
      <c r="V245" s="41">
        <v>160486574.07407391</v>
      </c>
      <c r="W245" s="41">
        <v>725462.96296296292</v>
      </c>
      <c r="X245" s="38">
        <f t="shared" si="18"/>
        <v>0.32097314814814781</v>
      </c>
      <c r="Y245" s="39">
        <f t="shared" si="19"/>
        <v>1.4509259259259258E-3</v>
      </c>
      <c r="Z245" s="39">
        <f t="shared" si="23"/>
        <v>4.5409233693825329E-3</v>
      </c>
      <c r="AA245" s="41">
        <f t="shared" si="20"/>
        <v>339513425.92592609</v>
      </c>
      <c r="AB245" s="39">
        <f t="shared" si="21"/>
        <v>2.1367725325868027E-3</v>
      </c>
      <c r="AC245" s="38">
        <f t="shared" si="22"/>
        <v>0.48159814677887286</v>
      </c>
      <c r="AD245" s="3"/>
    </row>
    <row r="246" spans="1:30" x14ac:dyDescent="0.25">
      <c r="A246" s="37">
        <v>45882</v>
      </c>
      <c r="B246" s="41">
        <v>2548148.1481481469</v>
      </c>
      <c r="C246" s="41">
        <v>35185.185185185182</v>
      </c>
      <c r="D246" s="41">
        <v>8305555.5555555429</v>
      </c>
      <c r="E246" s="41">
        <v>131944.44444444441</v>
      </c>
      <c r="F246" s="41">
        <v>16222222.222222179</v>
      </c>
      <c r="G246" s="41">
        <v>131944.44444444441</v>
      </c>
      <c r="H246" s="41">
        <v>50000000</v>
      </c>
      <c r="I246" s="41">
        <v>0</v>
      </c>
      <c r="J246" s="41">
        <v>0</v>
      </c>
      <c r="K246" s="41">
        <v>0</v>
      </c>
      <c r="L246" s="41">
        <v>1222222.2222222211</v>
      </c>
      <c r="M246" s="41">
        <v>27777.777777777781</v>
      </c>
      <c r="N246" s="41">
        <v>21358333.333333351</v>
      </c>
      <c r="O246" s="41">
        <v>79166.666666666672</v>
      </c>
      <c r="P246" s="41">
        <v>52333333.333333172</v>
      </c>
      <c r="Q246" s="41">
        <v>166666.66666666669</v>
      </c>
      <c r="R246" s="41">
        <v>6370370.3703703675</v>
      </c>
      <c r="S246" s="41">
        <v>87962.962962962964</v>
      </c>
      <c r="T246" s="41">
        <v>2851851.8518518521</v>
      </c>
      <c r="U246" s="41">
        <v>64814.814814814818</v>
      </c>
      <c r="V246" s="41">
        <v>161212037.03703681</v>
      </c>
      <c r="W246" s="41">
        <v>725462.96296296292</v>
      </c>
      <c r="X246" s="38">
        <f t="shared" si="18"/>
        <v>0.32242407407407359</v>
      </c>
      <c r="Y246" s="39">
        <f t="shared" si="19"/>
        <v>1.4509259259259258E-3</v>
      </c>
      <c r="Z246" s="39">
        <f t="shared" si="23"/>
        <v>4.520396594846118E-3</v>
      </c>
      <c r="AA246" s="41">
        <f t="shared" si="20"/>
        <v>338787962.96296322</v>
      </c>
      <c r="AB246" s="39">
        <f t="shared" si="21"/>
        <v>2.1413481064032711E-3</v>
      </c>
      <c r="AC246" s="38">
        <f t="shared" si="22"/>
        <v>0.48065720433033582</v>
      </c>
      <c r="AD246" s="3"/>
    </row>
    <row r="247" spans="1:30" x14ac:dyDescent="0.25">
      <c r="A247" s="37">
        <v>45883</v>
      </c>
      <c r="B247" s="41">
        <v>2583333.333333333</v>
      </c>
      <c r="C247" s="41">
        <v>35185.185185185182</v>
      </c>
      <c r="D247" s="41">
        <v>8437499.999999987</v>
      </c>
      <c r="E247" s="41">
        <v>131944.44444444441</v>
      </c>
      <c r="F247" s="41">
        <v>16354166.666666631</v>
      </c>
      <c r="G247" s="41">
        <v>131944.44444444441</v>
      </c>
      <c r="H247" s="41">
        <v>50000000</v>
      </c>
      <c r="I247" s="41">
        <v>0</v>
      </c>
      <c r="J247" s="41">
        <v>0</v>
      </c>
      <c r="K247" s="41">
        <v>0</v>
      </c>
      <c r="L247" s="41">
        <v>1249999.9999999991</v>
      </c>
      <c r="M247" s="41">
        <v>27777.777777777781</v>
      </c>
      <c r="N247" s="41">
        <v>21437500.000000011</v>
      </c>
      <c r="O247" s="41">
        <v>79166.666666666672</v>
      </c>
      <c r="P247" s="41">
        <v>52499999.999999844</v>
      </c>
      <c r="Q247" s="41">
        <v>166666.66666666669</v>
      </c>
      <c r="R247" s="41">
        <v>6458333.3333333302</v>
      </c>
      <c r="S247" s="41">
        <v>87962.962962962964</v>
      </c>
      <c r="T247" s="41">
        <v>2916666.666666667</v>
      </c>
      <c r="U247" s="41">
        <v>64814.814814814818</v>
      </c>
      <c r="V247" s="41">
        <v>161937499.99999979</v>
      </c>
      <c r="W247" s="41">
        <v>725462.96296296292</v>
      </c>
      <c r="X247" s="38">
        <f t="shared" si="18"/>
        <v>0.32387499999999958</v>
      </c>
      <c r="Y247" s="39">
        <f t="shared" si="19"/>
        <v>1.4509259259259258E-3</v>
      </c>
      <c r="Z247" s="39">
        <f t="shared" si="23"/>
        <v>4.5000545635205591E-3</v>
      </c>
      <c r="AA247" s="41">
        <f t="shared" si="20"/>
        <v>338062500.00000024</v>
      </c>
      <c r="AB247" s="39">
        <f t="shared" si="21"/>
        <v>2.1459433180638561E-3</v>
      </c>
      <c r="AC247" s="38">
        <f t="shared" si="22"/>
        <v>0.47972587093089547</v>
      </c>
      <c r="AD247" s="3"/>
    </row>
    <row r="248" spans="1:30" x14ac:dyDescent="0.25">
      <c r="A248" s="37">
        <v>45884</v>
      </c>
      <c r="B248" s="41">
        <v>2618518.5185185182</v>
      </c>
      <c r="C248" s="41">
        <v>35185.185185185182</v>
      </c>
      <c r="D248" s="41">
        <v>8569444.444444431</v>
      </c>
      <c r="E248" s="41">
        <v>131944.44444444441</v>
      </c>
      <c r="F248" s="41">
        <v>16486111.111111069</v>
      </c>
      <c r="G248" s="41">
        <v>131944.44444444441</v>
      </c>
      <c r="H248" s="41">
        <v>50000000</v>
      </c>
      <c r="I248" s="41">
        <v>0</v>
      </c>
      <c r="J248" s="41">
        <v>0</v>
      </c>
      <c r="K248" s="41">
        <v>0</v>
      </c>
      <c r="L248" s="41">
        <v>1277777.7777777771</v>
      </c>
      <c r="M248" s="41">
        <v>27777.777777777781</v>
      </c>
      <c r="N248" s="41">
        <v>21516666.666666679</v>
      </c>
      <c r="O248" s="41">
        <v>79166.666666666672</v>
      </c>
      <c r="P248" s="41">
        <v>52666666.6666665</v>
      </c>
      <c r="Q248" s="41">
        <v>166666.66666666669</v>
      </c>
      <c r="R248" s="41">
        <v>6546296.2962962929</v>
      </c>
      <c r="S248" s="41">
        <v>87962.962962962964</v>
      </c>
      <c r="T248" s="41">
        <v>2981481.4814814818</v>
      </c>
      <c r="U248" s="41">
        <v>64814.814814814818</v>
      </c>
      <c r="V248" s="41">
        <v>162662962.96296281</v>
      </c>
      <c r="W248" s="41">
        <v>725462.96296296292</v>
      </c>
      <c r="X248" s="38">
        <f t="shared" si="18"/>
        <v>0.32532592592592563</v>
      </c>
      <c r="Y248" s="39">
        <f t="shared" si="19"/>
        <v>1.4509259259259258E-3</v>
      </c>
      <c r="Z248" s="39">
        <f t="shared" si="23"/>
        <v>4.4798947925154082E-3</v>
      </c>
      <c r="AA248" s="41">
        <f t="shared" si="20"/>
        <v>337337037.03703719</v>
      </c>
      <c r="AB248" s="39">
        <f t="shared" si="21"/>
        <v>2.1505582942655428E-3</v>
      </c>
      <c r="AC248" s="38">
        <f t="shared" si="22"/>
        <v>0.47880400013468316</v>
      </c>
      <c r="AD248" s="3"/>
    </row>
    <row r="249" spans="1:30" x14ac:dyDescent="0.25">
      <c r="A249" s="37">
        <v>45885</v>
      </c>
      <c r="B249" s="41">
        <v>2653703.7037037029</v>
      </c>
      <c r="C249" s="41">
        <v>35185.185185185182</v>
      </c>
      <c r="D249" s="41">
        <v>8701388.888888875</v>
      </c>
      <c r="E249" s="41">
        <v>131944.44444444441</v>
      </c>
      <c r="F249" s="41">
        <v>16618055.555555521</v>
      </c>
      <c r="G249" s="41">
        <v>131944.44444444441</v>
      </c>
      <c r="H249" s="41">
        <v>50000000</v>
      </c>
      <c r="I249" s="41">
        <v>0</v>
      </c>
      <c r="J249" s="41">
        <v>0</v>
      </c>
      <c r="K249" s="41">
        <v>0</v>
      </c>
      <c r="L249" s="41">
        <v>1305555.555555555</v>
      </c>
      <c r="M249" s="41">
        <v>27777.777777777781</v>
      </c>
      <c r="N249" s="41">
        <v>21595833.333333351</v>
      </c>
      <c r="O249" s="41">
        <v>79166.666666666672</v>
      </c>
      <c r="P249" s="41">
        <v>52833333.333333157</v>
      </c>
      <c r="Q249" s="41">
        <v>166666.66666666669</v>
      </c>
      <c r="R249" s="41">
        <v>6634259.2592592556</v>
      </c>
      <c r="S249" s="41">
        <v>87962.962962962964</v>
      </c>
      <c r="T249" s="41">
        <v>3046296.2962962971</v>
      </c>
      <c r="U249" s="41">
        <v>64814.814814814818</v>
      </c>
      <c r="V249" s="41">
        <v>163388425.9259257</v>
      </c>
      <c r="W249" s="41">
        <v>725462.96296296292</v>
      </c>
      <c r="X249" s="38">
        <f t="shared" si="18"/>
        <v>0.3267768518518514</v>
      </c>
      <c r="Y249" s="39">
        <f t="shared" si="19"/>
        <v>1.4509259259259258E-3</v>
      </c>
      <c r="Z249" s="39">
        <f t="shared" si="23"/>
        <v>4.4599148432341394E-3</v>
      </c>
      <c r="AA249" s="41">
        <f t="shared" si="20"/>
        <v>336611574.07407427</v>
      </c>
      <c r="AB249" s="39">
        <f t="shared" si="21"/>
        <v>2.1551931627975412E-3</v>
      </c>
      <c r="AC249" s="38">
        <f t="shared" si="22"/>
        <v>0.47789144845665049</v>
      </c>
      <c r="AD249" s="3"/>
    </row>
    <row r="250" spans="1:30" x14ac:dyDescent="0.25">
      <c r="A250" s="37">
        <v>45886</v>
      </c>
      <c r="B250" s="41">
        <v>2688888.8888888881</v>
      </c>
      <c r="C250" s="41">
        <v>35185.185185185182</v>
      </c>
      <c r="D250" s="41">
        <v>8833333.3333333191</v>
      </c>
      <c r="E250" s="41">
        <v>131944.44444444441</v>
      </c>
      <c r="F250" s="41">
        <v>16749999.999999961</v>
      </c>
      <c r="G250" s="41">
        <v>131944.44444444441</v>
      </c>
      <c r="H250" s="41">
        <v>50000000</v>
      </c>
      <c r="I250" s="41">
        <v>0</v>
      </c>
      <c r="J250" s="41">
        <v>0</v>
      </c>
      <c r="K250" s="41">
        <v>0</v>
      </c>
      <c r="L250" s="41">
        <v>1333333.3333333321</v>
      </c>
      <c r="M250" s="41">
        <v>27777.777777777781</v>
      </c>
      <c r="N250" s="41">
        <v>21675000.000000019</v>
      </c>
      <c r="O250" s="41">
        <v>79166.666666666672</v>
      </c>
      <c r="P250" s="41">
        <v>52999999.999999829</v>
      </c>
      <c r="Q250" s="41">
        <v>166666.66666666669</v>
      </c>
      <c r="R250" s="41">
        <v>6722222.2222222183</v>
      </c>
      <c r="S250" s="41">
        <v>87962.962962962964</v>
      </c>
      <c r="T250" s="41">
        <v>3111111.111111111</v>
      </c>
      <c r="U250" s="41">
        <v>64814.814814814818</v>
      </c>
      <c r="V250" s="41">
        <v>164113888.88888869</v>
      </c>
      <c r="W250" s="41">
        <v>725462.96296296292</v>
      </c>
      <c r="X250" s="38">
        <f t="shared" si="18"/>
        <v>0.3282277777777774</v>
      </c>
      <c r="Y250" s="39">
        <f t="shared" si="19"/>
        <v>1.4509259259259258E-3</v>
      </c>
      <c r="Z250" s="39">
        <f t="shared" si="23"/>
        <v>4.4401123203908037E-3</v>
      </c>
      <c r="AA250" s="41">
        <f t="shared" si="20"/>
        <v>335886111.11111128</v>
      </c>
      <c r="AB250" s="39">
        <f t="shared" si="21"/>
        <v>2.1598480525530854E-3</v>
      </c>
      <c r="AC250" s="38">
        <f t="shared" si="22"/>
        <v>0.4769880752981161</v>
      </c>
      <c r="AD250" s="3"/>
    </row>
    <row r="251" spans="1:30" x14ac:dyDescent="0.25">
      <c r="A251" s="37">
        <v>45887</v>
      </c>
      <c r="B251" s="41">
        <v>2724074.0740740732</v>
      </c>
      <c r="C251" s="41">
        <v>35185.185185185182</v>
      </c>
      <c r="D251" s="41">
        <v>8965277.7777777631</v>
      </c>
      <c r="E251" s="41">
        <v>131944.44444444441</v>
      </c>
      <c r="F251" s="41">
        <v>16881944.444444411</v>
      </c>
      <c r="G251" s="41">
        <v>131944.44444444441</v>
      </c>
      <c r="H251" s="41">
        <v>50000000</v>
      </c>
      <c r="I251" s="41">
        <v>0</v>
      </c>
      <c r="J251" s="41">
        <v>0</v>
      </c>
      <c r="K251" s="41">
        <v>0</v>
      </c>
      <c r="L251" s="41">
        <v>1361111.1111111101</v>
      </c>
      <c r="M251" s="41">
        <v>27777.777777777781</v>
      </c>
      <c r="N251" s="41">
        <v>21754166.66666669</v>
      </c>
      <c r="O251" s="41">
        <v>79166.666666666672</v>
      </c>
      <c r="P251" s="41">
        <v>53166666.666666493</v>
      </c>
      <c r="Q251" s="41">
        <v>166666.66666666669</v>
      </c>
      <c r="R251" s="41">
        <v>6810185.185185181</v>
      </c>
      <c r="S251" s="41">
        <v>87962.962962962964</v>
      </c>
      <c r="T251" s="41">
        <v>3175925.9259259258</v>
      </c>
      <c r="U251" s="41">
        <v>64814.814814814818</v>
      </c>
      <c r="V251" s="41">
        <v>164839351.8518517</v>
      </c>
      <c r="W251" s="41">
        <v>725462.96296296292</v>
      </c>
      <c r="X251" s="38">
        <f t="shared" si="18"/>
        <v>0.32967870370370339</v>
      </c>
      <c r="Y251" s="39">
        <f t="shared" si="19"/>
        <v>1.4509259259259258E-3</v>
      </c>
      <c r="Z251" s="39">
        <f t="shared" si="23"/>
        <v>4.4204848710527409E-3</v>
      </c>
      <c r="AA251" s="41">
        <f t="shared" si="20"/>
        <v>335160648.1481483</v>
      </c>
      <c r="AB251" s="39">
        <f t="shared" si="21"/>
        <v>2.1645230935413771E-3</v>
      </c>
      <c r="AC251" s="38">
        <f t="shared" si="22"/>
        <v>0.47609374287455319</v>
      </c>
      <c r="AD251" s="3"/>
    </row>
    <row r="252" spans="1:30" x14ac:dyDescent="0.25">
      <c r="A252" s="37">
        <v>45888</v>
      </c>
      <c r="B252" s="41">
        <v>2759259.2592592579</v>
      </c>
      <c r="C252" s="41">
        <v>35185.185185185182</v>
      </c>
      <c r="D252" s="41">
        <v>9097222.2222222071</v>
      </c>
      <c r="E252" s="41">
        <v>131944.44444444441</v>
      </c>
      <c r="F252" s="41">
        <v>17013888.888888851</v>
      </c>
      <c r="G252" s="41">
        <v>131944.44444444441</v>
      </c>
      <c r="H252" s="41">
        <v>50000000</v>
      </c>
      <c r="I252" s="41">
        <v>0</v>
      </c>
      <c r="J252" s="41">
        <v>0</v>
      </c>
      <c r="K252" s="41">
        <v>0</v>
      </c>
      <c r="L252" s="41">
        <v>1388888.8888888881</v>
      </c>
      <c r="M252" s="41">
        <v>27777.777777777781</v>
      </c>
      <c r="N252" s="41">
        <v>21833333.333333351</v>
      </c>
      <c r="O252" s="41">
        <v>79166.666666666672</v>
      </c>
      <c r="P252" s="41">
        <v>53333333.333333157</v>
      </c>
      <c r="Q252" s="41">
        <v>166666.66666666669</v>
      </c>
      <c r="R252" s="41">
        <v>6898148.1481481437</v>
      </c>
      <c r="S252" s="41">
        <v>87962.962962962964</v>
      </c>
      <c r="T252" s="41">
        <v>3240740.7407407411</v>
      </c>
      <c r="U252" s="41">
        <v>64814.814814814818</v>
      </c>
      <c r="V252" s="41">
        <v>165564814.8148146</v>
      </c>
      <c r="W252" s="41">
        <v>725462.96296296292</v>
      </c>
      <c r="X252" s="38">
        <f t="shared" si="18"/>
        <v>0.33112962962962922</v>
      </c>
      <c r="Y252" s="39">
        <f t="shared" si="19"/>
        <v>1.4509259259259258E-3</v>
      </c>
      <c r="Z252" s="39">
        <f t="shared" si="23"/>
        <v>4.4010301837086093E-3</v>
      </c>
      <c r="AA252" s="41">
        <f t="shared" si="20"/>
        <v>334435185.18518543</v>
      </c>
      <c r="AB252" s="39">
        <f t="shared" si="21"/>
        <v>2.1692184168996911E-3</v>
      </c>
      <c r="AC252" s="38">
        <f t="shared" si="22"/>
        <v>0.47520831614553116</v>
      </c>
      <c r="AD252" s="3"/>
    </row>
    <row r="253" spans="1:30" x14ac:dyDescent="0.25">
      <c r="A253" s="37">
        <v>45889</v>
      </c>
      <c r="B253" s="41">
        <v>2794444.444444444</v>
      </c>
      <c r="C253" s="41">
        <v>35185.185185185182</v>
      </c>
      <c r="D253" s="41">
        <v>9229166.6666666511</v>
      </c>
      <c r="E253" s="41">
        <v>131944.44444444441</v>
      </c>
      <c r="F253" s="41">
        <v>17145833.333333291</v>
      </c>
      <c r="G253" s="41">
        <v>131944.44444444441</v>
      </c>
      <c r="H253" s="41">
        <v>50000000</v>
      </c>
      <c r="I253" s="41">
        <v>0</v>
      </c>
      <c r="J253" s="41">
        <v>0</v>
      </c>
      <c r="K253" s="41">
        <v>0</v>
      </c>
      <c r="L253" s="41">
        <v>1416666.666666666</v>
      </c>
      <c r="M253" s="41">
        <v>27777.777777777781</v>
      </c>
      <c r="N253" s="41">
        <v>21912500.000000019</v>
      </c>
      <c r="O253" s="41">
        <v>79166.666666666672</v>
      </c>
      <c r="P253" s="41">
        <v>53499999.999999821</v>
      </c>
      <c r="Q253" s="41">
        <v>166666.66666666669</v>
      </c>
      <c r="R253" s="41">
        <v>6986111.1111111064</v>
      </c>
      <c r="S253" s="41">
        <v>87962.962962962964</v>
      </c>
      <c r="T253" s="41">
        <v>3305555.555555556</v>
      </c>
      <c r="U253" s="41">
        <v>64814.814814814818</v>
      </c>
      <c r="V253" s="41">
        <v>166290277.77777761</v>
      </c>
      <c r="W253" s="41">
        <v>725462.96296296292</v>
      </c>
      <c r="X253" s="38">
        <f t="shared" si="18"/>
        <v>0.33258055555555521</v>
      </c>
      <c r="Y253" s="39">
        <f t="shared" si="19"/>
        <v>1.4509259259259258E-3</v>
      </c>
      <c r="Z253" s="39">
        <f t="shared" si="23"/>
        <v>4.3817459873608912E-3</v>
      </c>
      <c r="AA253" s="41">
        <f t="shared" si="20"/>
        <v>333709722.22222239</v>
      </c>
      <c r="AB253" s="39">
        <f t="shared" si="21"/>
        <v>2.1739341549056402E-3</v>
      </c>
      <c r="AC253" s="38">
        <f t="shared" si="22"/>
        <v>0.47433166274673827</v>
      </c>
      <c r="AD253" s="3"/>
    </row>
    <row r="254" spans="1:30" x14ac:dyDescent="0.25">
      <c r="A254" s="37">
        <v>45890</v>
      </c>
      <c r="B254" s="41">
        <v>2829629.6296296292</v>
      </c>
      <c r="C254" s="41">
        <v>35185.185185185182</v>
      </c>
      <c r="D254" s="41">
        <v>9361111.1111110952</v>
      </c>
      <c r="E254" s="41">
        <v>131944.44444444441</v>
      </c>
      <c r="F254" s="41">
        <v>17277777.777777739</v>
      </c>
      <c r="G254" s="41">
        <v>131944.44444444441</v>
      </c>
      <c r="H254" s="41">
        <v>50000000</v>
      </c>
      <c r="I254" s="41">
        <v>0</v>
      </c>
      <c r="J254" s="41">
        <v>0</v>
      </c>
      <c r="K254" s="41">
        <v>0</v>
      </c>
      <c r="L254" s="41">
        <v>1444444.4444444431</v>
      </c>
      <c r="M254" s="41">
        <v>27777.777777777781</v>
      </c>
      <c r="N254" s="41">
        <v>21991666.66666669</v>
      </c>
      <c r="O254" s="41">
        <v>79166.666666666672</v>
      </c>
      <c r="P254" s="41">
        <v>53666666.666666493</v>
      </c>
      <c r="Q254" s="41">
        <v>166666.66666666669</v>
      </c>
      <c r="R254" s="41">
        <v>7074074.074074069</v>
      </c>
      <c r="S254" s="41">
        <v>87962.962962962964</v>
      </c>
      <c r="T254" s="41">
        <v>3370370.3703703708</v>
      </c>
      <c r="U254" s="41">
        <v>64814.814814814818</v>
      </c>
      <c r="V254" s="41">
        <v>167015740.74074051</v>
      </c>
      <c r="W254" s="41">
        <v>725462.96296296292</v>
      </c>
      <c r="X254" s="38">
        <f t="shared" si="18"/>
        <v>0.33403148148148104</v>
      </c>
      <c r="Y254" s="39">
        <f t="shared" si="19"/>
        <v>1.4509259259259258E-3</v>
      </c>
      <c r="Z254" s="39">
        <f t="shared" si="23"/>
        <v>4.3626300506421486E-3</v>
      </c>
      <c r="AA254" s="41">
        <f t="shared" si="20"/>
        <v>332984259.25925946</v>
      </c>
      <c r="AB254" s="39">
        <f t="shared" si="21"/>
        <v>2.1786704409895905E-3</v>
      </c>
      <c r="AC254" s="38">
        <f t="shared" si="22"/>
        <v>0.47346365292402071</v>
      </c>
      <c r="AD254" s="3"/>
    </row>
    <row r="255" spans="1:30" x14ac:dyDescent="0.25">
      <c r="A255" s="37">
        <v>45891</v>
      </c>
      <c r="B255" s="41">
        <v>2864814.8148148139</v>
      </c>
      <c r="C255" s="41">
        <v>35185.185185185182</v>
      </c>
      <c r="D255" s="41">
        <v>9493055.5555555392</v>
      </c>
      <c r="E255" s="41">
        <v>131944.44444444441</v>
      </c>
      <c r="F255" s="41">
        <v>17409722.222222179</v>
      </c>
      <c r="G255" s="41">
        <v>131944.44444444441</v>
      </c>
      <c r="H255" s="41">
        <v>50000000</v>
      </c>
      <c r="I255" s="41">
        <v>0</v>
      </c>
      <c r="J255" s="41">
        <v>0</v>
      </c>
      <c r="K255" s="41">
        <v>0</v>
      </c>
      <c r="L255" s="41">
        <v>1472222.2222222211</v>
      </c>
      <c r="M255" s="41">
        <v>27777.777777777781</v>
      </c>
      <c r="N255" s="41">
        <v>22070833.333333358</v>
      </c>
      <c r="O255" s="41">
        <v>79166.666666666672</v>
      </c>
      <c r="P255" s="41">
        <v>53833333.33333315</v>
      </c>
      <c r="Q255" s="41">
        <v>166666.66666666669</v>
      </c>
      <c r="R255" s="41">
        <v>7162037.0370370317</v>
      </c>
      <c r="S255" s="41">
        <v>87962.962962962964</v>
      </c>
      <c r="T255" s="41">
        <v>3435185.1851851861</v>
      </c>
      <c r="U255" s="41">
        <v>64814.814814814818</v>
      </c>
      <c r="V255" s="41">
        <v>167741203.70370349</v>
      </c>
      <c r="W255" s="41">
        <v>725462.96296296292</v>
      </c>
      <c r="X255" s="38">
        <f t="shared" si="18"/>
        <v>0.33548240740740698</v>
      </c>
      <c r="Y255" s="39">
        <f t="shared" si="19"/>
        <v>1.4509259259259258E-3</v>
      </c>
      <c r="Z255" s="39">
        <f t="shared" si="23"/>
        <v>4.34368018095434E-3</v>
      </c>
      <c r="AA255" s="41">
        <f t="shared" si="20"/>
        <v>332258796.29629648</v>
      </c>
      <c r="AB255" s="39">
        <f t="shared" si="21"/>
        <v>2.1834274097472534E-3</v>
      </c>
      <c r="AC255" s="38">
        <f t="shared" si="22"/>
        <v>0.47260415946935525</v>
      </c>
      <c r="AD255" s="3"/>
    </row>
    <row r="256" spans="1:30" x14ac:dyDescent="0.25">
      <c r="A256" s="37">
        <v>45892</v>
      </c>
      <c r="B256" s="41">
        <v>2899999.9999999991</v>
      </c>
      <c r="C256" s="41">
        <v>35185.185185185182</v>
      </c>
      <c r="D256" s="41">
        <v>9624999.9999999832</v>
      </c>
      <c r="E256" s="41">
        <v>131944.44444444441</v>
      </c>
      <c r="F256" s="41">
        <v>17541666.666666631</v>
      </c>
      <c r="G256" s="41">
        <v>131944.44444444441</v>
      </c>
      <c r="H256" s="41">
        <v>50000000</v>
      </c>
      <c r="I256" s="41">
        <v>0</v>
      </c>
      <c r="J256" s="41">
        <v>0</v>
      </c>
      <c r="K256" s="41">
        <v>0</v>
      </c>
      <c r="L256" s="41">
        <v>1499999.9999999991</v>
      </c>
      <c r="M256" s="41">
        <v>27777.777777777781</v>
      </c>
      <c r="N256" s="41">
        <v>22150000.00000003</v>
      </c>
      <c r="O256" s="41">
        <v>79166.666666666672</v>
      </c>
      <c r="P256" s="41">
        <v>53999999.999999806</v>
      </c>
      <c r="Q256" s="41">
        <v>166666.66666666669</v>
      </c>
      <c r="R256" s="41">
        <v>7249999.9999999944</v>
      </c>
      <c r="S256" s="41">
        <v>87962.962962962964</v>
      </c>
      <c r="T256" s="41">
        <v>3500000</v>
      </c>
      <c r="U256" s="41">
        <v>64814.814814814818</v>
      </c>
      <c r="V256" s="41">
        <v>168466666.66666639</v>
      </c>
      <c r="W256" s="41">
        <v>725462.96296296292</v>
      </c>
      <c r="X256" s="38">
        <f t="shared" si="18"/>
        <v>0.33693333333333275</v>
      </c>
      <c r="Y256" s="39">
        <f t="shared" si="19"/>
        <v>1.4509259259259258E-3</v>
      </c>
      <c r="Z256" s="39">
        <f t="shared" si="23"/>
        <v>4.324894223630432E-3</v>
      </c>
      <c r="AA256" s="41">
        <f t="shared" si="20"/>
        <v>331533333.33333361</v>
      </c>
      <c r="AB256" s="39">
        <f t="shared" si="21"/>
        <v>2.18820519695243E-3</v>
      </c>
      <c r="AC256" s="38">
        <f t="shared" si="22"/>
        <v>0.47175305765870568</v>
      </c>
      <c r="AD256" s="3"/>
    </row>
    <row r="257" spans="1:30" x14ac:dyDescent="0.25">
      <c r="A257" s="37">
        <v>45893</v>
      </c>
      <c r="B257" s="41">
        <v>2935185.1851851838</v>
      </c>
      <c r="C257" s="41">
        <v>35185.185185185182</v>
      </c>
      <c r="D257" s="41">
        <v>9756944.4444444273</v>
      </c>
      <c r="E257" s="41">
        <v>131944.44444444441</v>
      </c>
      <c r="F257" s="41">
        <v>17673611.111111071</v>
      </c>
      <c r="G257" s="41">
        <v>131944.44444444441</v>
      </c>
      <c r="H257" s="41">
        <v>50000000</v>
      </c>
      <c r="I257" s="41">
        <v>0</v>
      </c>
      <c r="J257" s="41">
        <v>0</v>
      </c>
      <c r="K257" s="41">
        <v>0</v>
      </c>
      <c r="L257" s="41">
        <v>1527777.7777777771</v>
      </c>
      <c r="M257" s="41">
        <v>27777.777777777781</v>
      </c>
      <c r="N257" s="41">
        <v>22229166.66666669</v>
      </c>
      <c r="O257" s="41">
        <v>79166.666666666672</v>
      </c>
      <c r="P257" s="41">
        <v>54166666.666666478</v>
      </c>
      <c r="Q257" s="41">
        <v>166666.66666666669</v>
      </c>
      <c r="R257" s="41">
        <v>7337962.9629629571</v>
      </c>
      <c r="S257" s="41">
        <v>87962.962962962964</v>
      </c>
      <c r="T257" s="41">
        <v>3564814.8148148148</v>
      </c>
      <c r="U257" s="41">
        <v>64814.814814814818</v>
      </c>
      <c r="V257" s="41">
        <v>169192129.6296294</v>
      </c>
      <c r="W257" s="41">
        <v>725462.96296296292</v>
      </c>
      <c r="X257" s="38">
        <f t="shared" si="18"/>
        <v>0.3383842592592588</v>
      </c>
      <c r="Y257" s="39">
        <f t="shared" si="19"/>
        <v>1.4509259259259258E-3</v>
      </c>
      <c r="Z257" s="39">
        <f t="shared" si="23"/>
        <v>4.3062700611177134E-3</v>
      </c>
      <c r="AA257" s="41">
        <f t="shared" si="20"/>
        <v>330807870.37037063</v>
      </c>
      <c r="AB257" s="39">
        <f t="shared" si="21"/>
        <v>2.1930039395699342E-3</v>
      </c>
      <c r="AC257" s="38">
        <f t="shared" si="22"/>
        <v>0.47091022519168313</v>
      </c>
      <c r="AD257" s="3"/>
    </row>
    <row r="258" spans="1:30" x14ac:dyDescent="0.25">
      <c r="A258" s="37">
        <v>45894</v>
      </c>
      <c r="B258" s="41">
        <v>2970370.3703703689</v>
      </c>
      <c r="C258" s="41">
        <v>35185.185185185182</v>
      </c>
      <c r="D258" s="41">
        <v>9888888.8888888713</v>
      </c>
      <c r="E258" s="41">
        <v>131944.44444444441</v>
      </c>
      <c r="F258" s="41">
        <v>17805555.555555511</v>
      </c>
      <c r="G258" s="41">
        <v>131944.44444444441</v>
      </c>
      <c r="H258" s="41">
        <v>50000000</v>
      </c>
      <c r="I258" s="41">
        <v>0</v>
      </c>
      <c r="J258" s="41">
        <v>0</v>
      </c>
      <c r="K258" s="41">
        <v>0</v>
      </c>
      <c r="L258" s="41">
        <v>1555555.5555555541</v>
      </c>
      <c r="M258" s="41">
        <v>27777.777777777781</v>
      </c>
      <c r="N258" s="41">
        <v>22308333.333333358</v>
      </c>
      <c r="O258" s="41">
        <v>79166.666666666672</v>
      </c>
      <c r="P258" s="41">
        <v>54333333.333333142</v>
      </c>
      <c r="Q258" s="41">
        <v>166666.66666666669</v>
      </c>
      <c r="R258" s="41">
        <v>7425925.9259259198</v>
      </c>
      <c r="S258" s="41">
        <v>87962.962962962964</v>
      </c>
      <c r="T258" s="41">
        <v>3629629.6296296301</v>
      </c>
      <c r="U258" s="41">
        <v>64814.814814814818</v>
      </c>
      <c r="V258" s="41">
        <v>169917592.59259239</v>
      </c>
      <c r="W258" s="41">
        <v>725462.96296296292</v>
      </c>
      <c r="X258" s="38">
        <f t="shared" si="18"/>
        <v>0.3398351851851848</v>
      </c>
      <c r="Y258" s="39">
        <f t="shared" si="19"/>
        <v>1.4509259259259258E-3</v>
      </c>
      <c r="Z258" s="39">
        <f t="shared" si="23"/>
        <v>4.2878056121820798E-3</v>
      </c>
      <c r="AA258" s="41">
        <f t="shared" si="20"/>
        <v>330082407.40740764</v>
      </c>
      <c r="AB258" s="39">
        <f t="shared" si="21"/>
        <v>2.1978237757686757E-3</v>
      </c>
      <c r="AC258" s="38">
        <f t="shared" si="22"/>
        <v>0.47007554213296215</v>
      </c>
      <c r="AD258" s="3"/>
    </row>
    <row r="259" spans="1:30" x14ac:dyDescent="0.25">
      <c r="A259" s="37">
        <v>45895</v>
      </c>
      <c r="B259" s="41">
        <v>3005555.555555555</v>
      </c>
      <c r="C259" s="41">
        <v>35185.185185185182</v>
      </c>
      <c r="D259" s="41">
        <v>10020833.333333321</v>
      </c>
      <c r="E259" s="41">
        <v>131944.44444444441</v>
      </c>
      <c r="F259" s="41">
        <v>17937499.999999959</v>
      </c>
      <c r="G259" s="41">
        <v>131944.44444444441</v>
      </c>
      <c r="H259" s="41">
        <v>50000000</v>
      </c>
      <c r="I259" s="41">
        <v>0</v>
      </c>
      <c r="J259" s="41">
        <v>0</v>
      </c>
      <c r="K259" s="41">
        <v>0</v>
      </c>
      <c r="L259" s="41">
        <v>1583333.3333333321</v>
      </c>
      <c r="M259" s="41">
        <v>27777.777777777781</v>
      </c>
      <c r="N259" s="41">
        <v>22387500.00000003</v>
      </c>
      <c r="O259" s="41">
        <v>79166.666666666672</v>
      </c>
      <c r="P259" s="41">
        <v>54499999.999999806</v>
      </c>
      <c r="Q259" s="41">
        <v>166666.66666666669</v>
      </c>
      <c r="R259" s="41">
        <v>7513888.8888888815</v>
      </c>
      <c r="S259" s="41">
        <v>87962.962962962964</v>
      </c>
      <c r="T259" s="41">
        <v>3694444.444444445</v>
      </c>
      <c r="U259" s="41">
        <v>64814.814814814818</v>
      </c>
      <c r="V259" s="41">
        <v>170643055.55555531</v>
      </c>
      <c r="W259" s="41">
        <v>725462.96296296292</v>
      </c>
      <c r="X259" s="38">
        <f t="shared" si="18"/>
        <v>0.34128611111111062</v>
      </c>
      <c r="Y259" s="39">
        <f t="shared" si="19"/>
        <v>1.4509259259259258E-3</v>
      </c>
      <c r="Z259" s="39">
        <f t="shared" si="23"/>
        <v>4.2694988311327434E-3</v>
      </c>
      <c r="AA259" s="41">
        <f t="shared" si="20"/>
        <v>329356944.44444466</v>
      </c>
      <c r="AB259" s="39">
        <f t="shared" si="21"/>
        <v>2.2026648449349237E-3</v>
      </c>
      <c r="AC259" s="38">
        <f t="shared" si="22"/>
        <v>0.46924889085538518</v>
      </c>
      <c r="AD259" s="3"/>
    </row>
    <row r="260" spans="1:30" x14ac:dyDescent="0.25">
      <c r="A260" s="37">
        <v>45896</v>
      </c>
      <c r="B260" s="41">
        <v>3040740.7407407402</v>
      </c>
      <c r="C260" s="41">
        <v>35185.185185185182</v>
      </c>
      <c r="D260" s="41">
        <v>10152777.777777759</v>
      </c>
      <c r="E260" s="41">
        <v>131944.44444444441</v>
      </c>
      <c r="F260" s="41">
        <v>18069444.444444399</v>
      </c>
      <c r="G260" s="41">
        <v>131944.44444444441</v>
      </c>
      <c r="H260" s="41">
        <v>50000000</v>
      </c>
      <c r="I260" s="41">
        <v>0</v>
      </c>
      <c r="J260" s="41">
        <v>0</v>
      </c>
      <c r="K260" s="41">
        <v>0</v>
      </c>
      <c r="L260" s="41">
        <v>1611111.1111111101</v>
      </c>
      <c r="M260" s="41">
        <v>27777.777777777781</v>
      </c>
      <c r="N260" s="41">
        <v>22466666.666666701</v>
      </c>
      <c r="O260" s="41">
        <v>79166.666666666672</v>
      </c>
      <c r="P260" s="41">
        <v>54666666.66666647</v>
      </c>
      <c r="Q260" s="41">
        <v>166666.66666666669</v>
      </c>
      <c r="R260" s="41">
        <v>7601851.8518518452</v>
      </c>
      <c r="S260" s="41">
        <v>87962.962962962964</v>
      </c>
      <c r="T260" s="41">
        <v>3759259.2592592598</v>
      </c>
      <c r="U260" s="41">
        <v>64814.814814814818</v>
      </c>
      <c r="V260" s="41">
        <v>171368518.5185183</v>
      </c>
      <c r="W260" s="41">
        <v>725462.96296296292</v>
      </c>
      <c r="X260" s="38">
        <f t="shared" si="18"/>
        <v>0.34273703703703662</v>
      </c>
      <c r="Y260" s="39">
        <f t="shared" si="19"/>
        <v>1.4509259259259258E-3</v>
      </c>
      <c r="Z260" s="39">
        <f t="shared" si="23"/>
        <v>4.2513477070666847E-3</v>
      </c>
      <c r="AA260" s="41">
        <f t="shared" si="20"/>
        <v>328631481.48148167</v>
      </c>
      <c r="AB260" s="39">
        <f t="shared" si="21"/>
        <v>2.2075272876857436E-3</v>
      </c>
      <c r="AC260" s="38">
        <f t="shared" si="22"/>
        <v>0.46843015598470145</v>
      </c>
      <c r="AD260" s="3"/>
    </row>
    <row r="261" spans="1:30" x14ac:dyDescent="0.25">
      <c r="A261" s="37">
        <v>45897</v>
      </c>
      <c r="B261" s="41">
        <v>3075925.9259259249</v>
      </c>
      <c r="C261" s="41">
        <v>35185.185185185182</v>
      </c>
      <c r="D261" s="41">
        <v>10284722.2222222</v>
      </c>
      <c r="E261" s="41">
        <v>131944.44444444441</v>
      </c>
      <c r="F261" s="41">
        <v>18201388.888888851</v>
      </c>
      <c r="G261" s="41">
        <v>131944.44444444441</v>
      </c>
      <c r="H261" s="41">
        <v>50000000</v>
      </c>
      <c r="I261" s="41">
        <v>0</v>
      </c>
      <c r="J261" s="41">
        <v>0</v>
      </c>
      <c r="K261" s="41">
        <v>0</v>
      </c>
      <c r="L261" s="41">
        <v>1638888.8888888881</v>
      </c>
      <c r="M261" s="41">
        <v>27777.777777777781</v>
      </c>
      <c r="N261" s="41">
        <v>22545833.333333369</v>
      </c>
      <c r="O261" s="41">
        <v>79166.666666666672</v>
      </c>
      <c r="P261" s="41">
        <v>54833333.333333127</v>
      </c>
      <c r="Q261" s="41">
        <v>166666.66666666669</v>
      </c>
      <c r="R261" s="41">
        <v>7689814.8148148078</v>
      </c>
      <c r="S261" s="41">
        <v>87962.962962962964</v>
      </c>
      <c r="T261" s="41">
        <v>3824074.0740740751</v>
      </c>
      <c r="U261" s="41">
        <v>64814.814814814818</v>
      </c>
      <c r="V261" s="41">
        <v>172093981.48148131</v>
      </c>
      <c r="W261" s="41">
        <v>725462.96296296292</v>
      </c>
      <c r="X261" s="38">
        <f t="shared" si="18"/>
        <v>0.34418796296296261</v>
      </c>
      <c r="Y261" s="39">
        <f t="shared" si="19"/>
        <v>1.4509259259259258E-3</v>
      </c>
      <c r="Z261" s="39">
        <f t="shared" si="23"/>
        <v>4.2333502631323062E-3</v>
      </c>
      <c r="AA261" s="41">
        <f t="shared" si="20"/>
        <v>327906018.51851869</v>
      </c>
      <c r="AB261" s="39">
        <f t="shared" si="21"/>
        <v>2.2124112458826125E-3</v>
      </c>
      <c r="AC261" s="38">
        <f t="shared" si="22"/>
        <v>0.46761922434588787</v>
      </c>
      <c r="AD261" s="3"/>
    </row>
    <row r="262" spans="1:30" x14ac:dyDescent="0.25">
      <c r="A262" s="37">
        <v>45898</v>
      </c>
      <c r="B262" s="41">
        <v>3111111.1111111101</v>
      </c>
      <c r="C262" s="41">
        <v>35185.185185185182</v>
      </c>
      <c r="D262" s="41">
        <v>10416666.666666649</v>
      </c>
      <c r="E262" s="41">
        <v>131944.44444444441</v>
      </c>
      <c r="F262" s="41">
        <v>18333333.333333291</v>
      </c>
      <c r="G262" s="41">
        <v>131944.44444444441</v>
      </c>
      <c r="H262" s="41">
        <v>50000000</v>
      </c>
      <c r="I262" s="41">
        <v>0</v>
      </c>
      <c r="J262" s="41">
        <v>0</v>
      </c>
      <c r="K262" s="41">
        <v>0</v>
      </c>
      <c r="L262" s="41">
        <v>1666666.6666666651</v>
      </c>
      <c r="M262" s="41">
        <v>27777.777777777781</v>
      </c>
      <c r="N262" s="41">
        <v>22625000.00000003</v>
      </c>
      <c r="O262" s="41">
        <v>79166.666666666672</v>
      </c>
      <c r="P262" s="41">
        <v>54999999.999999799</v>
      </c>
      <c r="Q262" s="41">
        <v>166666.66666666669</v>
      </c>
      <c r="R262" s="41">
        <v>7777777.7777777715</v>
      </c>
      <c r="S262" s="41">
        <v>87962.962962962964</v>
      </c>
      <c r="T262" s="41">
        <v>3888888.888888889</v>
      </c>
      <c r="U262" s="41">
        <v>64814.814814814818</v>
      </c>
      <c r="V262" s="41">
        <v>172819444.44444421</v>
      </c>
      <c r="W262" s="41">
        <v>725462.96296296292</v>
      </c>
      <c r="X262" s="38">
        <f t="shared" si="18"/>
        <v>0.34563888888888844</v>
      </c>
      <c r="Y262" s="39">
        <f t="shared" si="19"/>
        <v>1.4509259259259258E-3</v>
      </c>
      <c r="Z262" s="39">
        <f t="shared" si="23"/>
        <v>4.215504555811724E-3</v>
      </c>
      <c r="AA262" s="41">
        <f t="shared" si="20"/>
        <v>327180555.55555582</v>
      </c>
      <c r="AB262" s="39">
        <f t="shared" si="21"/>
        <v>2.2173168626452131E-3</v>
      </c>
      <c r="AC262" s="38">
        <f t="shared" si="22"/>
        <v>0.46681598491099685</v>
      </c>
      <c r="AD262" s="3"/>
    </row>
    <row r="263" spans="1:30" x14ac:dyDescent="0.25">
      <c r="A263" s="37">
        <v>45899</v>
      </c>
      <c r="B263" s="41">
        <v>3146296.2962962948</v>
      </c>
      <c r="C263" s="41">
        <v>35185.185185185182</v>
      </c>
      <c r="D263" s="41">
        <v>10548611.11111109</v>
      </c>
      <c r="E263" s="41">
        <v>131944.44444444441</v>
      </c>
      <c r="F263" s="41">
        <v>18465277.777777739</v>
      </c>
      <c r="G263" s="41">
        <v>131944.44444444441</v>
      </c>
      <c r="H263" s="41">
        <v>50000000</v>
      </c>
      <c r="I263" s="41">
        <v>0</v>
      </c>
      <c r="J263" s="41">
        <v>0</v>
      </c>
      <c r="K263" s="41">
        <v>0</v>
      </c>
      <c r="L263" s="41">
        <v>1694444.4444444431</v>
      </c>
      <c r="M263" s="41">
        <v>27777.777777777781</v>
      </c>
      <c r="N263" s="41">
        <v>22704166.666666701</v>
      </c>
      <c r="O263" s="41">
        <v>79166.666666666672</v>
      </c>
      <c r="P263" s="41">
        <v>55166666.666666463</v>
      </c>
      <c r="Q263" s="41">
        <v>166666.66666666669</v>
      </c>
      <c r="R263" s="41">
        <v>7865740.7407407332</v>
      </c>
      <c r="S263" s="41">
        <v>87962.962962962964</v>
      </c>
      <c r="T263" s="41">
        <v>3953703.7037037038</v>
      </c>
      <c r="U263" s="41">
        <v>64814.814814814818</v>
      </c>
      <c r="V263" s="41">
        <v>173544907.40740719</v>
      </c>
      <c r="W263" s="41">
        <v>725462.96296296292</v>
      </c>
      <c r="X263" s="38">
        <f t="shared" si="18"/>
        <v>0.34708981481481438</v>
      </c>
      <c r="Y263" s="39">
        <f t="shared" si="19"/>
        <v>1.4509259259259258E-3</v>
      </c>
      <c r="Z263" s="39">
        <f t="shared" si="23"/>
        <v>4.1978086742211207E-3</v>
      </c>
      <c r="AA263" s="41">
        <f t="shared" si="20"/>
        <v>326455092.59259284</v>
      </c>
      <c r="AB263" s="39">
        <f t="shared" si="21"/>
        <v>2.2222442823654192E-3</v>
      </c>
      <c r="AC263" s="38">
        <f t="shared" si="22"/>
        <v>0.46602032874847799</v>
      </c>
      <c r="AD263" s="3"/>
    </row>
    <row r="264" spans="1:30" x14ac:dyDescent="0.25">
      <c r="A264" s="37">
        <v>45900</v>
      </c>
      <c r="B264" s="41">
        <v>3181481.4814814799</v>
      </c>
      <c r="C264" s="41">
        <v>35185.185185185182</v>
      </c>
      <c r="D264" s="41">
        <v>10680555.555555539</v>
      </c>
      <c r="E264" s="41">
        <v>131944.44444444441</v>
      </c>
      <c r="F264" s="41">
        <v>18597222.222222179</v>
      </c>
      <c r="G264" s="41">
        <v>131944.44444444441</v>
      </c>
      <c r="H264" s="41">
        <v>50000000</v>
      </c>
      <c r="I264" s="41">
        <v>0</v>
      </c>
      <c r="J264" s="41">
        <v>0</v>
      </c>
      <c r="K264" s="41">
        <v>0</v>
      </c>
      <c r="L264" s="41">
        <v>1722222.2222222211</v>
      </c>
      <c r="M264" s="41">
        <v>27777.777777777781</v>
      </c>
      <c r="N264" s="41">
        <v>22783333.333333369</v>
      </c>
      <c r="O264" s="41">
        <v>79166.666666666672</v>
      </c>
      <c r="P264" s="41">
        <v>55333333.333333127</v>
      </c>
      <c r="Q264" s="41">
        <v>166666.66666666669</v>
      </c>
      <c r="R264" s="41">
        <v>7953703.7037036959</v>
      </c>
      <c r="S264" s="41">
        <v>87962.962962962964</v>
      </c>
      <c r="T264" s="41">
        <v>4018518.5185185191</v>
      </c>
      <c r="U264" s="41">
        <v>64814.814814814818</v>
      </c>
      <c r="V264" s="41">
        <v>174270370.37037009</v>
      </c>
      <c r="W264" s="41">
        <v>725462.96296296292</v>
      </c>
      <c r="X264" s="38">
        <f t="shared" si="18"/>
        <v>0.34854074074074021</v>
      </c>
      <c r="Y264" s="39">
        <f t="shared" si="19"/>
        <v>1.4509259259259258E-3</v>
      </c>
      <c r="Z264" s="39">
        <f t="shared" si="23"/>
        <v>4.1802607394286406E-3</v>
      </c>
      <c r="AA264" s="41">
        <f t="shared" si="20"/>
        <v>325729629.62962991</v>
      </c>
      <c r="AB264" s="39">
        <f t="shared" si="21"/>
        <v>2.2271936507214552E-3</v>
      </c>
      <c r="AC264" s="38">
        <f t="shared" si="22"/>
        <v>0.46523214897393439</v>
      </c>
      <c r="AD264" s="3"/>
    </row>
    <row r="265" spans="1:30" x14ac:dyDescent="0.25">
      <c r="A265" s="37">
        <v>45901</v>
      </c>
      <c r="B265" s="41">
        <v>3216666.666666666</v>
      </c>
      <c r="C265" s="41">
        <v>35185.185185185182</v>
      </c>
      <c r="D265" s="41">
        <v>10812499.99999998</v>
      </c>
      <c r="E265" s="41">
        <v>131944.44444444441</v>
      </c>
      <c r="F265" s="41">
        <v>18729166.666666619</v>
      </c>
      <c r="G265" s="41">
        <v>131944.44444444441</v>
      </c>
      <c r="H265" s="41">
        <v>50000000</v>
      </c>
      <c r="I265" s="41">
        <v>0</v>
      </c>
      <c r="J265" s="41">
        <v>0</v>
      </c>
      <c r="K265" s="41">
        <v>0</v>
      </c>
      <c r="L265" s="41">
        <v>1749999.9999999991</v>
      </c>
      <c r="M265" s="41">
        <v>27777.777777777781</v>
      </c>
      <c r="N265" s="41">
        <v>22862500.000000041</v>
      </c>
      <c r="O265" s="41">
        <v>79166.666666666672</v>
      </c>
      <c r="P265" s="41">
        <v>55499999.999999791</v>
      </c>
      <c r="Q265" s="41">
        <v>166666.66666666669</v>
      </c>
      <c r="R265" s="41">
        <v>8041666.6666666586</v>
      </c>
      <c r="S265" s="41">
        <v>87962.962962962964</v>
      </c>
      <c r="T265" s="41">
        <v>4083333.333333334</v>
      </c>
      <c r="U265" s="41">
        <v>64814.814814814818</v>
      </c>
      <c r="V265" s="41">
        <v>174995833.3333331</v>
      </c>
      <c r="W265" s="41">
        <v>725462.96296296292</v>
      </c>
      <c r="X265" s="38">
        <f t="shared" si="18"/>
        <v>0.3499916666666662</v>
      </c>
      <c r="Y265" s="39">
        <f t="shared" si="19"/>
        <v>1.4509259259259258E-3</v>
      </c>
      <c r="Z265" s="39">
        <f t="shared" si="23"/>
        <v>4.16285890378935E-3</v>
      </c>
      <c r="AA265" s="41">
        <f t="shared" si="20"/>
        <v>325004166.66666687</v>
      </c>
      <c r="AB265" s="39">
        <f t="shared" si="21"/>
        <v>2.2321651146922604E-3</v>
      </c>
      <c r="AC265" s="38">
        <f t="shared" si="22"/>
        <v>0.46445134070225436</v>
      </c>
      <c r="AD265" s="3"/>
    </row>
    <row r="266" spans="1:30" x14ac:dyDescent="0.25">
      <c r="A266" s="37">
        <v>45902</v>
      </c>
      <c r="B266" s="41">
        <v>3251851.8518518512</v>
      </c>
      <c r="C266" s="41">
        <v>35185.185185185182</v>
      </c>
      <c r="D266" s="41">
        <v>10944444.44444442</v>
      </c>
      <c r="E266" s="41">
        <v>131944.44444444441</v>
      </c>
      <c r="F266" s="41">
        <v>18861111.111111071</v>
      </c>
      <c r="G266" s="41">
        <v>131944.44444444441</v>
      </c>
      <c r="H266" s="41">
        <v>50000000</v>
      </c>
      <c r="I266" s="41">
        <v>0</v>
      </c>
      <c r="J266" s="41">
        <v>0</v>
      </c>
      <c r="K266" s="41">
        <v>0</v>
      </c>
      <c r="L266" s="41">
        <v>1777777.7777777759</v>
      </c>
      <c r="M266" s="41">
        <v>27777.777777777781</v>
      </c>
      <c r="N266" s="41">
        <v>22941666.666666709</v>
      </c>
      <c r="O266" s="41">
        <v>79166.666666666672</v>
      </c>
      <c r="P266" s="41">
        <v>55666666.666666463</v>
      </c>
      <c r="Q266" s="41">
        <v>166666.66666666669</v>
      </c>
      <c r="R266" s="41">
        <v>8129629.6296296213</v>
      </c>
      <c r="S266" s="41">
        <v>87962.962962962964</v>
      </c>
      <c r="T266" s="41">
        <v>4148148.1481481488</v>
      </c>
      <c r="U266" s="41">
        <v>64814.814814814818</v>
      </c>
      <c r="V266" s="41">
        <v>175721296.296296</v>
      </c>
      <c r="W266" s="41">
        <v>725462.96296296292</v>
      </c>
      <c r="X266" s="38">
        <f t="shared" si="18"/>
        <v>0.35144259259259197</v>
      </c>
      <c r="Y266" s="39">
        <f t="shared" si="19"/>
        <v>1.4509259259259258E-3</v>
      </c>
      <c r="Z266" s="39">
        <f t="shared" si="23"/>
        <v>4.1456013502967053E-3</v>
      </c>
      <c r="AA266" s="41">
        <f t="shared" si="20"/>
        <v>324278703.703704</v>
      </c>
      <c r="AB266" s="39">
        <f t="shared" si="21"/>
        <v>2.2371588225720308E-3</v>
      </c>
      <c r="AC266" s="38">
        <f t="shared" si="22"/>
        <v>0.46367780100108613</v>
      </c>
      <c r="AD266" s="3"/>
    </row>
    <row r="267" spans="1:30" x14ac:dyDescent="0.25">
      <c r="A267" s="37">
        <v>45903</v>
      </c>
      <c r="B267" s="41">
        <v>3287037.0370370359</v>
      </c>
      <c r="C267" s="41">
        <v>35185.185185185182</v>
      </c>
      <c r="D267" s="41">
        <v>11076388.888888869</v>
      </c>
      <c r="E267" s="41">
        <v>131944.44444444441</v>
      </c>
      <c r="F267" s="41">
        <v>18993055.555555511</v>
      </c>
      <c r="G267" s="41">
        <v>131944.44444444441</v>
      </c>
      <c r="H267" s="41">
        <v>50000000</v>
      </c>
      <c r="I267" s="41">
        <v>0</v>
      </c>
      <c r="J267" s="41">
        <v>0</v>
      </c>
      <c r="K267" s="41">
        <v>0</v>
      </c>
      <c r="L267" s="41">
        <v>1805555.5555555541</v>
      </c>
      <c r="M267" s="41">
        <v>27777.777777777781</v>
      </c>
      <c r="N267" s="41">
        <v>23020833.333333369</v>
      </c>
      <c r="O267" s="41">
        <v>79166.666666666672</v>
      </c>
      <c r="P267" s="41">
        <v>55833333.33333312</v>
      </c>
      <c r="Q267" s="41">
        <v>166666.66666666669</v>
      </c>
      <c r="R267" s="41">
        <v>8217592.592592584</v>
      </c>
      <c r="S267" s="41">
        <v>87962.962962962964</v>
      </c>
      <c r="T267" s="41">
        <v>4212962.9629629636</v>
      </c>
      <c r="U267" s="41">
        <v>64814.814814814818</v>
      </c>
      <c r="V267" s="41">
        <v>176446759.25925899</v>
      </c>
      <c r="W267" s="41">
        <v>725462.96296296292</v>
      </c>
      <c r="X267" s="38">
        <f t="shared" si="18"/>
        <v>0.35289351851851797</v>
      </c>
      <c r="Y267" s="39">
        <f t="shared" si="19"/>
        <v>1.4509259259259258E-3</v>
      </c>
      <c r="Z267" s="39">
        <f t="shared" si="23"/>
        <v>4.1284862919501175E-3</v>
      </c>
      <c r="AA267" s="41">
        <f t="shared" si="20"/>
        <v>323553240.74074101</v>
      </c>
      <c r="AB267" s="39">
        <f t="shared" si="21"/>
        <v>2.242174923984974E-3</v>
      </c>
      <c r="AC267" s="38">
        <f t="shared" si="22"/>
        <v>0.46291142884559872</v>
      </c>
      <c r="AD267" s="3"/>
    </row>
    <row r="268" spans="1:30" x14ac:dyDescent="0.25">
      <c r="A268" s="37">
        <v>45904</v>
      </c>
      <c r="B268" s="41">
        <v>3322222.2222222211</v>
      </c>
      <c r="C268" s="41">
        <v>35185.185185185182</v>
      </c>
      <c r="D268" s="41">
        <v>11208333.33333331</v>
      </c>
      <c r="E268" s="41">
        <v>131944.44444444441</v>
      </c>
      <c r="F268" s="41">
        <v>19124999.999999959</v>
      </c>
      <c r="G268" s="41">
        <v>131944.44444444441</v>
      </c>
      <c r="H268" s="41">
        <v>50000000</v>
      </c>
      <c r="I268" s="41">
        <v>0</v>
      </c>
      <c r="J268" s="41">
        <v>0</v>
      </c>
      <c r="K268" s="41">
        <v>0</v>
      </c>
      <c r="L268" s="41">
        <v>1833333.3333333321</v>
      </c>
      <c r="M268" s="41">
        <v>27777.777777777781</v>
      </c>
      <c r="N268" s="41">
        <v>23100000.000000041</v>
      </c>
      <c r="O268" s="41">
        <v>79166.666666666672</v>
      </c>
      <c r="P268" s="41">
        <v>55999999.999999776</v>
      </c>
      <c r="Q268" s="41">
        <v>166666.66666666669</v>
      </c>
      <c r="R268" s="41">
        <v>8305555.5555555467</v>
      </c>
      <c r="S268" s="41">
        <v>87962.962962962964</v>
      </c>
      <c r="T268" s="41">
        <v>4277777.777777778</v>
      </c>
      <c r="U268" s="41">
        <v>64814.814814814818</v>
      </c>
      <c r="V268" s="41">
        <v>177172222.222222</v>
      </c>
      <c r="W268" s="41">
        <v>725462.96296296292</v>
      </c>
      <c r="X268" s="38">
        <f t="shared" si="18"/>
        <v>0.35434444444444402</v>
      </c>
      <c r="Y268" s="39">
        <f t="shared" si="19"/>
        <v>1.4509259259259258E-3</v>
      </c>
      <c r="Z268" s="39">
        <f t="shared" si="23"/>
        <v>4.111511971138084E-3</v>
      </c>
      <c r="AA268" s="41">
        <f t="shared" si="20"/>
        <v>322827777.77777803</v>
      </c>
      <c r="AB268" s="39">
        <f t="shared" si="21"/>
        <v>2.247213569900243E-3</v>
      </c>
      <c r="AC268" s="38">
        <f t="shared" si="22"/>
        <v>0.46215212507450182</v>
      </c>
      <c r="AD268" s="3"/>
    </row>
    <row r="269" spans="1:30" x14ac:dyDescent="0.25">
      <c r="A269" s="37">
        <v>45905</v>
      </c>
      <c r="B269" s="41">
        <v>3357407.4074074058</v>
      </c>
      <c r="C269" s="41">
        <v>35185.185185185182</v>
      </c>
      <c r="D269" s="41">
        <v>11340277.777777759</v>
      </c>
      <c r="E269" s="41">
        <v>131944.44444444441</v>
      </c>
      <c r="F269" s="41">
        <v>19256944.444444399</v>
      </c>
      <c r="G269" s="41">
        <v>131944.44444444441</v>
      </c>
      <c r="H269" s="41">
        <v>50000000</v>
      </c>
      <c r="I269" s="41">
        <v>0</v>
      </c>
      <c r="J269" s="41">
        <v>0</v>
      </c>
      <c r="K269" s="41">
        <v>0</v>
      </c>
      <c r="L269" s="41">
        <v>1861111.1111111101</v>
      </c>
      <c r="M269" s="41">
        <v>27777.777777777781</v>
      </c>
      <c r="N269" s="41">
        <v>23179166.666666709</v>
      </c>
      <c r="O269" s="41">
        <v>79166.666666666672</v>
      </c>
      <c r="P269" s="41">
        <v>56166666.666666448</v>
      </c>
      <c r="Q269" s="41">
        <v>166666.66666666669</v>
      </c>
      <c r="R269" s="41">
        <v>8393518.5185185093</v>
      </c>
      <c r="S269" s="41">
        <v>87962.962962962964</v>
      </c>
      <c r="T269" s="41">
        <v>4342592.5925925924</v>
      </c>
      <c r="U269" s="41">
        <v>64814.814814814818</v>
      </c>
      <c r="V269" s="41">
        <v>177897685.1851849</v>
      </c>
      <c r="W269" s="41">
        <v>725462.96296296292</v>
      </c>
      <c r="X269" s="38">
        <f t="shared" si="18"/>
        <v>0.35579537037036979</v>
      </c>
      <c r="Y269" s="39">
        <f t="shared" si="19"/>
        <v>1.4509259259259258E-3</v>
      </c>
      <c r="Z269" s="39">
        <f t="shared" si="23"/>
        <v>4.0946766590365148E-3</v>
      </c>
      <c r="AA269" s="41">
        <f t="shared" si="20"/>
        <v>322102314.8148151</v>
      </c>
      <c r="AB269" s="39">
        <f t="shared" si="21"/>
        <v>2.2522749126470893E-3</v>
      </c>
      <c r="AC269" s="38">
        <f t="shared" si="22"/>
        <v>0.46139979234727291</v>
      </c>
      <c r="AD269" s="3"/>
    </row>
    <row r="270" spans="1:30" x14ac:dyDescent="0.25">
      <c r="A270" s="37">
        <v>45906</v>
      </c>
      <c r="B270" s="41">
        <v>3392592.592592591</v>
      </c>
      <c r="C270" s="41">
        <v>35185.185185185182</v>
      </c>
      <c r="D270" s="41">
        <v>11472222.2222222</v>
      </c>
      <c r="E270" s="41">
        <v>131944.44444444441</v>
      </c>
      <c r="F270" s="41">
        <v>19388888.88888884</v>
      </c>
      <c r="G270" s="41">
        <v>131944.44444444441</v>
      </c>
      <c r="H270" s="41">
        <v>50000000</v>
      </c>
      <c r="I270" s="41">
        <v>0</v>
      </c>
      <c r="J270" s="41">
        <v>0</v>
      </c>
      <c r="K270" s="41">
        <v>0</v>
      </c>
      <c r="L270" s="41">
        <v>1888888.8888888869</v>
      </c>
      <c r="M270" s="41">
        <v>27777.777777777781</v>
      </c>
      <c r="N270" s="41">
        <v>23258333.333333381</v>
      </c>
      <c r="O270" s="41">
        <v>79166.666666666672</v>
      </c>
      <c r="P270" s="41">
        <v>56333333.333333112</v>
      </c>
      <c r="Q270" s="41">
        <v>166666.66666666669</v>
      </c>
      <c r="R270" s="41">
        <v>8481481.481481472</v>
      </c>
      <c r="S270" s="41">
        <v>87962.962962962964</v>
      </c>
      <c r="T270" s="41">
        <v>4407407.4074074067</v>
      </c>
      <c r="U270" s="41">
        <v>64814.814814814818</v>
      </c>
      <c r="V270" s="41">
        <v>178623148.14814791</v>
      </c>
      <c r="W270" s="41">
        <v>725462.96296296292</v>
      </c>
      <c r="X270" s="38">
        <f t="shared" si="18"/>
        <v>0.35724629629629584</v>
      </c>
      <c r="Y270" s="39">
        <f t="shared" si="19"/>
        <v>1.4509259259259258E-3</v>
      </c>
      <c r="Z270" s="39">
        <f t="shared" si="23"/>
        <v>4.0779786550217498E-3</v>
      </c>
      <c r="AA270" s="41">
        <f t="shared" si="20"/>
        <v>321376851.85185206</v>
      </c>
      <c r="AB270" s="39">
        <f t="shared" si="21"/>
        <v>2.2573591059302117E-3</v>
      </c>
      <c r="AC270" s="38">
        <f t="shared" si="22"/>
        <v>0.46065433510255516</v>
      </c>
      <c r="AD270" s="3"/>
    </row>
    <row r="271" spans="1:30" x14ac:dyDescent="0.25">
      <c r="A271" s="37">
        <v>45907</v>
      </c>
      <c r="B271" s="41">
        <v>3427777.7777777771</v>
      </c>
      <c r="C271" s="41">
        <v>35185.185185185182</v>
      </c>
      <c r="D271" s="41">
        <v>11604166.66666664</v>
      </c>
      <c r="E271" s="41">
        <v>131944.44444444441</v>
      </c>
      <c r="F271" s="41">
        <v>19520833.333333291</v>
      </c>
      <c r="G271" s="41">
        <v>131944.44444444441</v>
      </c>
      <c r="H271" s="41">
        <v>50000000</v>
      </c>
      <c r="I271" s="41">
        <v>0</v>
      </c>
      <c r="J271" s="41">
        <v>0</v>
      </c>
      <c r="K271" s="41">
        <v>0</v>
      </c>
      <c r="L271" s="41">
        <v>1916666.6666666651</v>
      </c>
      <c r="M271" s="41">
        <v>27777.777777777781</v>
      </c>
      <c r="N271" s="41">
        <v>23337500.000000041</v>
      </c>
      <c r="O271" s="41">
        <v>79166.666666666672</v>
      </c>
      <c r="P271" s="41">
        <v>56499999.999999776</v>
      </c>
      <c r="Q271" s="41">
        <v>166666.66666666669</v>
      </c>
      <c r="R271" s="41">
        <v>8569444.4444444347</v>
      </c>
      <c r="S271" s="41">
        <v>87962.962962962964</v>
      </c>
      <c r="T271" s="41">
        <v>4472222.2222222211</v>
      </c>
      <c r="U271" s="41">
        <v>64814.814814814818</v>
      </c>
      <c r="V271" s="41">
        <v>179348611.11111081</v>
      </c>
      <c r="W271" s="41">
        <v>725462.96296296292</v>
      </c>
      <c r="X271" s="38">
        <f t="shared" si="18"/>
        <v>0.35869722222222161</v>
      </c>
      <c r="Y271" s="39">
        <f t="shared" si="19"/>
        <v>1.4509259259259258E-3</v>
      </c>
      <c r="Z271" s="39">
        <f t="shared" si="23"/>
        <v>4.0614162860978832E-3</v>
      </c>
      <c r="AA271" s="41">
        <f t="shared" si="20"/>
        <v>320651388.88888919</v>
      </c>
      <c r="AB271" s="39">
        <f t="shared" si="21"/>
        <v>2.2624663048453142E-3</v>
      </c>
      <c r="AC271" s="38">
        <f t="shared" si="22"/>
        <v>0.45991565951769753</v>
      </c>
      <c r="AD271" s="3"/>
    </row>
    <row r="272" spans="1:30" x14ac:dyDescent="0.25">
      <c r="A272" s="37">
        <v>45908</v>
      </c>
      <c r="B272" s="41">
        <v>3462962.9629629622</v>
      </c>
      <c r="C272" s="41">
        <v>35185.185185185182</v>
      </c>
      <c r="D272" s="41">
        <v>11736111.11111109</v>
      </c>
      <c r="E272" s="41">
        <v>131944.44444444441</v>
      </c>
      <c r="F272" s="41">
        <v>19652777.777777731</v>
      </c>
      <c r="G272" s="41">
        <v>131944.44444444441</v>
      </c>
      <c r="H272" s="41">
        <v>50000000</v>
      </c>
      <c r="I272" s="41">
        <v>0</v>
      </c>
      <c r="J272" s="41">
        <v>0</v>
      </c>
      <c r="K272" s="41">
        <v>0</v>
      </c>
      <c r="L272" s="41">
        <v>1944444.4444444431</v>
      </c>
      <c r="M272" s="41">
        <v>27777.777777777781</v>
      </c>
      <c r="N272" s="41">
        <v>23416666.666666709</v>
      </c>
      <c r="O272" s="41">
        <v>79166.666666666672</v>
      </c>
      <c r="P272" s="41">
        <v>56666666.666666441</v>
      </c>
      <c r="Q272" s="41">
        <v>166666.66666666669</v>
      </c>
      <c r="R272" s="41">
        <v>8657407.4074073974</v>
      </c>
      <c r="S272" s="41">
        <v>87962.962962962964</v>
      </c>
      <c r="T272" s="41">
        <v>4537037.0370370355</v>
      </c>
      <c r="U272" s="41">
        <v>64814.814814814818</v>
      </c>
      <c r="V272" s="41">
        <v>180074074.07407379</v>
      </c>
      <c r="W272" s="41">
        <v>725462.96296296292</v>
      </c>
      <c r="X272" s="38">
        <f t="shared" si="18"/>
        <v>0.36014814814814761</v>
      </c>
      <c r="Y272" s="39">
        <f t="shared" si="19"/>
        <v>1.4509259259259258E-3</v>
      </c>
      <c r="Z272" s="39">
        <f t="shared" si="23"/>
        <v>4.0449879063380149E-3</v>
      </c>
      <c r="AA272" s="41">
        <f t="shared" si="20"/>
        <v>319925925.92592621</v>
      </c>
      <c r="AB272" s="39">
        <f t="shared" si="21"/>
        <v>2.2675966658948811E-3</v>
      </c>
      <c r="AC272" s="38">
        <f t="shared" si="22"/>
        <v>0.45918367346938616</v>
      </c>
      <c r="AD272" s="3"/>
    </row>
    <row r="273" spans="1:30" x14ac:dyDescent="0.25">
      <c r="A273" s="37">
        <v>45909</v>
      </c>
      <c r="B273" s="41">
        <v>3498148.1481481469</v>
      </c>
      <c r="C273" s="41">
        <v>35185.185185185182</v>
      </c>
      <c r="D273" s="41">
        <v>11868055.55555553</v>
      </c>
      <c r="E273" s="41">
        <v>131944.44444444441</v>
      </c>
      <c r="F273" s="41">
        <v>19784722.222222179</v>
      </c>
      <c r="G273" s="41">
        <v>131944.44444444441</v>
      </c>
      <c r="H273" s="41">
        <v>50000000</v>
      </c>
      <c r="I273" s="41">
        <v>0</v>
      </c>
      <c r="J273" s="41">
        <v>0</v>
      </c>
      <c r="K273" s="41">
        <v>0</v>
      </c>
      <c r="L273" s="41">
        <v>1972222.2222222211</v>
      </c>
      <c r="M273" s="41">
        <v>27777.777777777781</v>
      </c>
      <c r="N273" s="41">
        <v>23495833.333333381</v>
      </c>
      <c r="O273" s="41">
        <v>79166.666666666672</v>
      </c>
      <c r="P273" s="41">
        <v>56833333.333333097</v>
      </c>
      <c r="Q273" s="41">
        <v>166666.66666666669</v>
      </c>
      <c r="R273" s="41">
        <v>8745370.3703703601</v>
      </c>
      <c r="S273" s="41">
        <v>87962.962962962964</v>
      </c>
      <c r="T273" s="41">
        <v>4601851.8518518498</v>
      </c>
      <c r="U273" s="41">
        <v>64814.814814814818</v>
      </c>
      <c r="V273" s="41">
        <v>180799537.03703681</v>
      </c>
      <c r="W273" s="41">
        <v>725462.96296296292</v>
      </c>
      <c r="X273" s="38">
        <f t="shared" si="18"/>
        <v>0.3615990740740736</v>
      </c>
      <c r="Y273" s="39">
        <f t="shared" si="19"/>
        <v>1.4509259259259258E-3</v>
      </c>
      <c r="Z273" s="39">
        <f t="shared" si="23"/>
        <v>4.0286918963389614E-3</v>
      </c>
      <c r="AA273" s="41">
        <f t="shared" si="20"/>
        <v>319200462.96296322</v>
      </c>
      <c r="AB273" s="39">
        <f t="shared" si="21"/>
        <v>2.2727503470041589E-3</v>
      </c>
      <c r="AC273" s="38">
        <f t="shared" si="22"/>
        <v>0.45845828649534665</v>
      </c>
      <c r="AD273" s="3"/>
    </row>
    <row r="274" spans="1:30" x14ac:dyDescent="0.25">
      <c r="A274" s="37">
        <v>45910</v>
      </c>
      <c r="B274" s="41">
        <v>3533333.3333333321</v>
      </c>
      <c r="C274" s="41">
        <v>35185.185185185182</v>
      </c>
      <c r="D274" s="41">
        <v>11999999.99999998</v>
      </c>
      <c r="E274" s="41">
        <v>131944.44444444441</v>
      </c>
      <c r="F274" s="41">
        <v>19916666.666666619</v>
      </c>
      <c r="G274" s="41">
        <v>131944.44444444441</v>
      </c>
      <c r="H274" s="41">
        <v>50000000</v>
      </c>
      <c r="I274" s="41">
        <v>0</v>
      </c>
      <c r="J274" s="41">
        <v>0</v>
      </c>
      <c r="K274" s="41">
        <v>0</v>
      </c>
      <c r="L274" s="41">
        <v>1999999.9999999979</v>
      </c>
      <c r="M274" s="41">
        <v>27777.777777777781</v>
      </c>
      <c r="N274" s="41">
        <v>23575000.000000048</v>
      </c>
      <c r="O274" s="41">
        <v>79166.666666666672</v>
      </c>
      <c r="P274" s="41">
        <v>56999999.999999769</v>
      </c>
      <c r="Q274" s="41">
        <v>166666.66666666669</v>
      </c>
      <c r="R274" s="41">
        <v>8833333.3333333228</v>
      </c>
      <c r="S274" s="41">
        <v>87962.962962962964</v>
      </c>
      <c r="T274" s="41">
        <v>4666666.6666666642</v>
      </c>
      <c r="U274" s="41">
        <v>64814.814814814818</v>
      </c>
      <c r="V274" s="41">
        <v>181524999.9999997</v>
      </c>
      <c r="W274" s="41">
        <v>725462.96296296292</v>
      </c>
      <c r="X274" s="38">
        <f t="shared" si="18"/>
        <v>0.36304999999999943</v>
      </c>
      <c r="Y274" s="39">
        <f t="shared" si="19"/>
        <v>1.4509259259259258E-3</v>
      </c>
      <c r="Z274" s="39">
        <f t="shared" si="23"/>
        <v>4.0125266626891403E-3</v>
      </c>
      <c r="AA274" s="41">
        <f t="shared" si="20"/>
        <v>318475000.0000003</v>
      </c>
      <c r="AB274" s="39">
        <f t="shared" si="21"/>
        <v>2.2779275075373649E-3</v>
      </c>
      <c r="AC274" s="38">
        <f t="shared" si="22"/>
        <v>0.45773940975707528</v>
      </c>
      <c r="AD274" s="3"/>
    </row>
    <row r="275" spans="1:30" x14ac:dyDescent="0.25">
      <c r="A275" s="37">
        <v>45911</v>
      </c>
      <c r="B275" s="41">
        <v>3568518.5185185168</v>
      </c>
      <c r="C275" s="41">
        <v>35185.185185185182</v>
      </c>
      <c r="D275" s="41">
        <v>12131944.44444442</v>
      </c>
      <c r="E275" s="41">
        <v>131944.44444444441</v>
      </c>
      <c r="F275" s="41">
        <v>20048611.11111106</v>
      </c>
      <c r="G275" s="41">
        <v>131944.44444444441</v>
      </c>
      <c r="H275" s="41">
        <v>50000000</v>
      </c>
      <c r="I275" s="41">
        <v>0</v>
      </c>
      <c r="J275" s="41">
        <v>0</v>
      </c>
      <c r="K275" s="41">
        <v>0</v>
      </c>
      <c r="L275" s="41">
        <v>2027777.7777777759</v>
      </c>
      <c r="M275" s="41">
        <v>27777.777777777781</v>
      </c>
      <c r="N275" s="41">
        <v>23654166.66666672</v>
      </c>
      <c r="O275" s="41">
        <v>79166.666666666672</v>
      </c>
      <c r="P275" s="41">
        <v>57166666.666666433</v>
      </c>
      <c r="Q275" s="41">
        <v>166666.66666666669</v>
      </c>
      <c r="R275" s="41">
        <v>8921296.2962962855</v>
      </c>
      <c r="S275" s="41">
        <v>87962.962962962964</v>
      </c>
      <c r="T275" s="41">
        <v>4731481.4814814785</v>
      </c>
      <c r="U275" s="41">
        <v>64814.814814814818</v>
      </c>
      <c r="V275" s="41">
        <v>182250462.96296269</v>
      </c>
      <c r="W275" s="41">
        <v>725462.96296296292</v>
      </c>
      <c r="X275" s="38">
        <f t="shared" si="18"/>
        <v>0.36450092592592537</v>
      </c>
      <c r="Y275" s="39">
        <f t="shared" si="19"/>
        <v>1.4509259259259258E-3</v>
      </c>
      <c r="Z275" s="39">
        <f t="shared" si="23"/>
        <v>3.996490637449189E-3</v>
      </c>
      <c r="AA275" s="41">
        <f t="shared" si="20"/>
        <v>317749537.03703731</v>
      </c>
      <c r="AB275" s="39">
        <f t="shared" si="21"/>
        <v>2.2831283083141109E-3</v>
      </c>
      <c r="AC275" s="38">
        <f t="shared" si="22"/>
        <v>0.45702695600356624</v>
      </c>
      <c r="AD275" s="3"/>
    </row>
    <row r="276" spans="1:30" x14ac:dyDescent="0.25">
      <c r="A276" s="37">
        <v>45912</v>
      </c>
      <c r="B276" s="41">
        <v>3603703.703703702</v>
      </c>
      <c r="C276" s="41">
        <v>35185.185185185182</v>
      </c>
      <c r="D276" s="41">
        <v>12263888.88888886</v>
      </c>
      <c r="E276" s="41">
        <v>131944.44444444441</v>
      </c>
      <c r="F276" s="41">
        <v>20180555.555555511</v>
      </c>
      <c r="G276" s="41">
        <v>131944.44444444441</v>
      </c>
      <c r="H276" s="41">
        <v>50000000</v>
      </c>
      <c r="I276" s="41">
        <v>0</v>
      </c>
      <c r="J276" s="41">
        <v>0</v>
      </c>
      <c r="K276" s="41">
        <v>0</v>
      </c>
      <c r="L276" s="41">
        <v>2055555.5555555541</v>
      </c>
      <c r="M276" s="41">
        <v>27777.777777777781</v>
      </c>
      <c r="N276" s="41">
        <v>23733333.333333381</v>
      </c>
      <c r="O276" s="41">
        <v>79166.666666666672</v>
      </c>
      <c r="P276" s="41">
        <v>57333333.333333097</v>
      </c>
      <c r="Q276" s="41">
        <v>166666.66666666669</v>
      </c>
      <c r="R276" s="41">
        <v>9009259.2592592482</v>
      </c>
      <c r="S276" s="41">
        <v>87962.962962962964</v>
      </c>
      <c r="T276" s="41">
        <v>4796296.2962962929</v>
      </c>
      <c r="U276" s="41">
        <v>64814.814814814818</v>
      </c>
      <c r="V276" s="41">
        <v>182975925.9259257</v>
      </c>
      <c r="W276" s="41">
        <v>725462.96296296292</v>
      </c>
      <c r="X276" s="38">
        <f t="shared" si="18"/>
        <v>0.36595185185185142</v>
      </c>
      <c r="Y276" s="39">
        <f t="shared" si="19"/>
        <v>1.4509259259259258E-3</v>
      </c>
      <c r="Z276" s="39">
        <f t="shared" si="23"/>
        <v>3.980582277644985E-3</v>
      </c>
      <c r="AA276" s="41">
        <f t="shared" si="20"/>
        <v>317024074.07407427</v>
      </c>
      <c r="AB276" s="39">
        <f t="shared" si="21"/>
        <v>2.2883529116260581E-3</v>
      </c>
      <c r="AC276" s="38">
        <f t="shared" si="22"/>
        <v>0.45632083953601299</v>
      </c>
      <c r="AD276" s="3"/>
    </row>
    <row r="277" spans="1:30" x14ac:dyDescent="0.25">
      <c r="A277" s="37">
        <v>45913</v>
      </c>
      <c r="B277" s="41">
        <v>3638888.8888888881</v>
      </c>
      <c r="C277" s="41">
        <v>35185.185185185182</v>
      </c>
      <c r="D277" s="41">
        <v>12395833.33333331</v>
      </c>
      <c r="E277" s="41">
        <v>131944.44444444441</v>
      </c>
      <c r="F277" s="41">
        <v>20312499.999999952</v>
      </c>
      <c r="G277" s="41">
        <v>131944.44444444441</v>
      </c>
      <c r="H277" s="41">
        <v>50000000</v>
      </c>
      <c r="I277" s="41">
        <v>0</v>
      </c>
      <c r="J277" s="41">
        <v>0</v>
      </c>
      <c r="K277" s="41">
        <v>0</v>
      </c>
      <c r="L277" s="41">
        <v>2083333.3333333321</v>
      </c>
      <c r="M277" s="41">
        <v>27777.777777777781</v>
      </c>
      <c r="N277" s="41">
        <v>23812500.000000048</v>
      </c>
      <c r="O277" s="41">
        <v>79166.666666666672</v>
      </c>
      <c r="P277" s="41">
        <v>57499999.999999762</v>
      </c>
      <c r="Q277" s="41">
        <v>166666.66666666669</v>
      </c>
      <c r="R277" s="41">
        <v>9097222.2222222108</v>
      </c>
      <c r="S277" s="41">
        <v>87962.962962962964</v>
      </c>
      <c r="T277" s="41">
        <v>4861111.1111111073</v>
      </c>
      <c r="U277" s="41">
        <v>64814.814814814818</v>
      </c>
      <c r="V277" s="41">
        <v>183701388.8888886</v>
      </c>
      <c r="W277" s="41">
        <v>725462.96296296292</v>
      </c>
      <c r="X277" s="38">
        <f t="shared" si="18"/>
        <v>0.36740277777777719</v>
      </c>
      <c r="Y277" s="39">
        <f t="shared" si="19"/>
        <v>1.4509259259259258E-3</v>
      </c>
      <c r="Z277" s="39">
        <f t="shared" si="23"/>
        <v>3.9648000647727437E-3</v>
      </c>
      <c r="AA277" s="41">
        <f t="shared" si="20"/>
        <v>316298611.1111114</v>
      </c>
      <c r="AB277" s="39">
        <f t="shared" si="21"/>
        <v>2.2936014812537943E-3</v>
      </c>
      <c r="AC277" s="38">
        <f t="shared" si="22"/>
        <v>0.45562097617344244</v>
      </c>
      <c r="AD277" s="3"/>
    </row>
    <row r="278" spans="1:30" x14ac:dyDescent="0.25">
      <c r="A278" s="37">
        <v>45914</v>
      </c>
      <c r="B278" s="41">
        <v>3674074.0740740732</v>
      </c>
      <c r="C278" s="41">
        <v>35185.185185185182</v>
      </c>
      <c r="D278" s="41">
        <v>12527777.77777775</v>
      </c>
      <c r="E278" s="41">
        <v>131944.44444444441</v>
      </c>
      <c r="F278" s="41">
        <v>20444444.444444399</v>
      </c>
      <c r="G278" s="41">
        <v>131944.44444444441</v>
      </c>
      <c r="H278" s="41">
        <v>50000000</v>
      </c>
      <c r="I278" s="41">
        <v>0</v>
      </c>
      <c r="J278" s="41">
        <v>0</v>
      </c>
      <c r="K278" s="41">
        <v>0</v>
      </c>
      <c r="L278" s="41">
        <v>2111111.1111111101</v>
      </c>
      <c r="M278" s="41">
        <v>27777.777777777781</v>
      </c>
      <c r="N278" s="41">
        <v>23891666.66666672</v>
      </c>
      <c r="O278" s="41">
        <v>79166.666666666672</v>
      </c>
      <c r="P278" s="41">
        <v>57666666.666666433</v>
      </c>
      <c r="Q278" s="41">
        <v>166666.66666666669</v>
      </c>
      <c r="R278" s="41">
        <v>9185185.1851851735</v>
      </c>
      <c r="S278" s="41">
        <v>87962.962962962964</v>
      </c>
      <c r="T278" s="41">
        <v>4925925.9259259216</v>
      </c>
      <c r="U278" s="41">
        <v>64814.814814814818</v>
      </c>
      <c r="V278" s="41">
        <v>184426851.85185161</v>
      </c>
      <c r="W278" s="41">
        <v>725462.96296296292</v>
      </c>
      <c r="X278" s="38">
        <f t="shared" si="18"/>
        <v>0.36885370370370324</v>
      </c>
      <c r="Y278" s="39">
        <f t="shared" si="19"/>
        <v>1.4509259259259258E-3</v>
      </c>
      <c r="Z278" s="39">
        <f t="shared" si="23"/>
        <v>3.9491425043158366E-3</v>
      </c>
      <c r="AA278" s="41">
        <f t="shared" si="20"/>
        <v>315573148.14814842</v>
      </c>
      <c r="AB278" s="39">
        <f t="shared" si="21"/>
        <v>2.2988741824839557E-3</v>
      </c>
      <c r="AC278" s="38">
        <f t="shared" si="22"/>
        <v>0.45492728321925879</v>
      </c>
      <c r="AD278" s="3"/>
    </row>
    <row r="279" spans="1:30" x14ac:dyDescent="0.25">
      <c r="A279" s="37">
        <v>45915</v>
      </c>
      <c r="B279" s="41">
        <v>3709259.2592592579</v>
      </c>
      <c r="C279" s="41">
        <v>35185.185185185182</v>
      </c>
      <c r="D279" s="41">
        <v>12659722.2222222</v>
      </c>
      <c r="E279" s="41">
        <v>131944.44444444441</v>
      </c>
      <c r="F279" s="41">
        <v>20576388.88888884</v>
      </c>
      <c r="G279" s="41">
        <v>131944.44444444441</v>
      </c>
      <c r="H279" s="41">
        <v>50000000</v>
      </c>
      <c r="I279" s="41">
        <v>0</v>
      </c>
      <c r="J279" s="41">
        <v>0</v>
      </c>
      <c r="K279" s="41">
        <v>0</v>
      </c>
      <c r="L279" s="41">
        <v>2138888.8888888881</v>
      </c>
      <c r="M279" s="41">
        <v>27777.777777777781</v>
      </c>
      <c r="N279" s="41">
        <v>23970833.333333392</v>
      </c>
      <c r="O279" s="41">
        <v>79166.666666666672</v>
      </c>
      <c r="P279" s="41">
        <v>57833333.33333309</v>
      </c>
      <c r="Q279" s="41">
        <v>166666.66666666669</v>
      </c>
      <c r="R279" s="41">
        <v>9273148.1481481362</v>
      </c>
      <c r="S279" s="41">
        <v>87962.962962962964</v>
      </c>
      <c r="T279" s="41">
        <v>4990740.740740736</v>
      </c>
      <c r="U279" s="41">
        <v>64814.814814814818</v>
      </c>
      <c r="V279" s="41">
        <v>185152314.8148146</v>
      </c>
      <c r="W279" s="41">
        <v>725462.96296296292</v>
      </c>
      <c r="X279" s="38">
        <f t="shared" ref="X279:X342" si="24">V279/$B$6</f>
        <v>0.37030462962962918</v>
      </c>
      <c r="Y279" s="39">
        <f t="shared" ref="Y279:Y342" si="25">W279/$B$6</f>
        <v>1.4509259259259258E-3</v>
      </c>
      <c r="Z279" s="39">
        <f t="shared" si="23"/>
        <v>3.9336081252729976E-3</v>
      </c>
      <c r="AA279" s="41">
        <f t="shared" ref="AA279:AA342" si="26">$B$6-V279</f>
        <v>314847685.18518543</v>
      </c>
      <c r="AB279" s="39">
        <f t="shared" ref="AB279:AB342" si="27">W279/AA279</f>
        <v>2.3041711821265702E-3</v>
      </c>
      <c r="AC279" s="38">
        <f t="shared" ref="AC279:AC342" si="28" xml:space="preserve"> P279/(V279-P279)</f>
        <v>0.45423967942867122</v>
      </c>
      <c r="AD279" s="3"/>
    </row>
    <row r="280" spans="1:30" x14ac:dyDescent="0.25">
      <c r="A280" s="37">
        <v>45916</v>
      </c>
      <c r="B280" s="41">
        <v>3744444.4444444431</v>
      </c>
      <c r="C280" s="41">
        <v>35185.185185185182</v>
      </c>
      <c r="D280" s="41">
        <v>12791666.66666664</v>
      </c>
      <c r="E280" s="41">
        <v>131944.44444444441</v>
      </c>
      <c r="F280" s="41">
        <v>20708333.33333328</v>
      </c>
      <c r="G280" s="41">
        <v>131944.44444444441</v>
      </c>
      <c r="H280" s="41">
        <v>50000000</v>
      </c>
      <c r="I280" s="41">
        <v>0</v>
      </c>
      <c r="J280" s="41">
        <v>0</v>
      </c>
      <c r="K280" s="41">
        <v>0</v>
      </c>
      <c r="L280" s="41">
        <v>2166666.666666666</v>
      </c>
      <c r="M280" s="41">
        <v>27777.777777777781</v>
      </c>
      <c r="N280" s="41">
        <v>24050000.00000006</v>
      </c>
      <c r="O280" s="41">
        <v>79166.666666666672</v>
      </c>
      <c r="P280" s="41">
        <v>57999999.999999747</v>
      </c>
      <c r="Q280" s="41">
        <v>166666.66666666669</v>
      </c>
      <c r="R280" s="41">
        <v>9361111.1111110989</v>
      </c>
      <c r="S280" s="41">
        <v>87962.962962962964</v>
      </c>
      <c r="T280" s="41">
        <v>5055555.5555555504</v>
      </c>
      <c r="U280" s="41">
        <v>64814.814814814818</v>
      </c>
      <c r="V280" s="41">
        <v>185877777.77777749</v>
      </c>
      <c r="W280" s="41">
        <v>725462.96296296292</v>
      </c>
      <c r="X280" s="38">
        <f t="shared" si="24"/>
        <v>0.37175555555555501</v>
      </c>
      <c r="Y280" s="39">
        <f t="shared" si="25"/>
        <v>1.4509259259259258E-3</v>
      </c>
      <c r="Z280" s="39">
        <f t="shared" ref="Z280:Z343" si="29">W280/V279</f>
        <v>3.9181954796976507E-3</v>
      </c>
      <c r="AA280" s="41">
        <f t="shared" si="26"/>
        <v>314122222.22222251</v>
      </c>
      <c r="AB280" s="39">
        <f t="shared" si="27"/>
        <v>2.3094926485326519E-3</v>
      </c>
      <c r="AC280" s="38">
        <f t="shared" si="28"/>
        <v>0.4535580849769727</v>
      </c>
      <c r="AD280" s="3"/>
    </row>
    <row r="281" spans="1:30" x14ac:dyDescent="0.25">
      <c r="A281" s="37">
        <v>45917</v>
      </c>
      <c r="B281" s="41">
        <v>3779629.6296296278</v>
      </c>
      <c r="C281" s="41">
        <v>35185.185185185182</v>
      </c>
      <c r="D281" s="41">
        <v>12923611.11111108</v>
      </c>
      <c r="E281" s="41">
        <v>131944.44444444441</v>
      </c>
      <c r="F281" s="41">
        <v>20840277.777777731</v>
      </c>
      <c r="G281" s="41">
        <v>131944.44444444441</v>
      </c>
      <c r="H281" s="41">
        <v>50000000</v>
      </c>
      <c r="I281" s="41">
        <v>0</v>
      </c>
      <c r="J281" s="41">
        <v>0</v>
      </c>
      <c r="K281" s="41">
        <v>0</v>
      </c>
      <c r="L281" s="41">
        <v>2194444.444444444</v>
      </c>
      <c r="M281" s="41">
        <v>27777.777777777781</v>
      </c>
      <c r="N281" s="41">
        <v>24129166.66666672</v>
      </c>
      <c r="O281" s="41">
        <v>79166.666666666672</v>
      </c>
      <c r="P281" s="41">
        <v>58166666.666666418</v>
      </c>
      <c r="Q281" s="41">
        <v>166666.66666666669</v>
      </c>
      <c r="R281" s="41">
        <v>9449074.0740740616</v>
      </c>
      <c r="S281" s="41">
        <v>87962.962962962964</v>
      </c>
      <c r="T281" s="41">
        <v>5120370.3703703647</v>
      </c>
      <c r="U281" s="41">
        <v>64814.814814814818</v>
      </c>
      <c r="V281" s="41">
        <v>186603240.74074039</v>
      </c>
      <c r="W281" s="41">
        <v>725462.96296296292</v>
      </c>
      <c r="X281" s="38">
        <f t="shared" si="24"/>
        <v>0.37320648148148078</v>
      </c>
      <c r="Y281" s="39">
        <f t="shared" si="25"/>
        <v>1.4509259259259258E-3</v>
      </c>
      <c r="Z281" s="39">
        <f t="shared" si="29"/>
        <v>3.9029031422479982E-3</v>
      </c>
      <c r="AA281" s="41">
        <f t="shared" si="26"/>
        <v>313396759.25925958</v>
      </c>
      <c r="AB281" s="39">
        <f t="shared" si="27"/>
        <v>2.3148387516120383E-3</v>
      </c>
      <c r="AC281" s="38">
        <f t="shared" si="28"/>
        <v>0.4528824214286471</v>
      </c>
      <c r="AD281" s="3"/>
    </row>
    <row r="282" spans="1:30" x14ac:dyDescent="0.25">
      <c r="A282" s="37">
        <v>45918</v>
      </c>
      <c r="B282" s="41">
        <v>3814814.814814813</v>
      </c>
      <c r="C282" s="41">
        <v>35185.185185185182</v>
      </c>
      <c r="D282" s="41">
        <v>13055555.55555553</v>
      </c>
      <c r="E282" s="41">
        <v>131944.44444444441</v>
      </c>
      <c r="F282" s="41">
        <v>20972222.222222172</v>
      </c>
      <c r="G282" s="41">
        <v>131944.44444444441</v>
      </c>
      <c r="H282" s="41">
        <v>50000000</v>
      </c>
      <c r="I282" s="41">
        <v>0</v>
      </c>
      <c r="J282" s="41">
        <v>0</v>
      </c>
      <c r="K282" s="41">
        <v>0</v>
      </c>
      <c r="L282" s="41">
        <v>2222222.222222222</v>
      </c>
      <c r="M282" s="41">
        <v>27777.777777777781</v>
      </c>
      <c r="N282" s="41">
        <v>24208333.333333392</v>
      </c>
      <c r="O282" s="41">
        <v>79166.666666666672</v>
      </c>
      <c r="P282" s="41">
        <v>58333333.333333082</v>
      </c>
      <c r="Q282" s="41">
        <v>166666.66666666669</v>
      </c>
      <c r="R282" s="41">
        <v>9537037.0370370243</v>
      </c>
      <c r="S282" s="41">
        <v>87962.962962962964</v>
      </c>
      <c r="T282" s="41">
        <v>5185185.1851851791</v>
      </c>
      <c r="U282" s="41">
        <v>64814.814814814818</v>
      </c>
      <c r="V282" s="41">
        <v>187328703.7037034</v>
      </c>
      <c r="W282" s="41">
        <v>725462.96296296292</v>
      </c>
      <c r="X282" s="38">
        <f t="shared" si="24"/>
        <v>0.37465740740740683</v>
      </c>
      <c r="Y282" s="39">
        <f t="shared" si="25"/>
        <v>1.4509259259259258E-3</v>
      </c>
      <c r="Z282" s="39">
        <f t="shared" si="29"/>
        <v>3.8877297097476148E-3</v>
      </c>
      <c r="AA282" s="41">
        <f t="shared" si="26"/>
        <v>312671296.2962966</v>
      </c>
      <c r="AB282" s="39">
        <f t="shared" si="27"/>
        <v>2.3202096628514718E-3</v>
      </c>
      <c r="AC282" s="38">
        <f t="shared" si="28"/>
        <v>0.45221261170728028</v>
      </c>
      <c r="AD282" s="3"/>
    </row>
    <row r="283" spans="1:30" x14ac:dyDescent="0.25">
      <c r="A283" s="37">
        <v>45919</v>
      </c>
      <c r="B283" s="41">
        <v>3849999.9999999991</v>
      </c>
      <c r="C283" s="41">
        <v>35185.185185185182</v>
      </c>
      <c r="D283" s="41">
        <v>13187499.99999997</v>
      </c>
      <c r="E283" s="41">
        <v>131944.44444444441</v>
      </c>
      <c r="F283" s="41">
        <v>21104166.666666619</v>
      </c>
      <c r="G283" s="41">
        <v>131944.44444444441</v>
      </c>
      <c r="H283" s="41">
        <v>50000000</v>
      </c>
      <c r="I283" s="41">
        <v>0</v>
      </c>
      <c r="J283" s="41">
        <v>0</v>
      </c>
      <c r="K283" s="41">
        <v>0</v>
      </c>
      <c r="L283" s="41">
        <v>2250000</v>
      </c>
      <c r="M283" s="41">
        <v>27777.777777777781</v>
      </c>
      <c r="N283" s="41">
        <v>24287500.00000006</v>
      </c>
      <c r="O283" s="41">
        <v>79166.666666666672</v>
      </c>
      <c r="P283" s="41">
        <v>58499999.999999747</v>
      </c>
      <c r="Q283" s="41">
        <v>166666.66666666669</v>
      </c>
      <c r="R283" s="41">
        <v>9624999.999999987</v>
      </c>
      <c r="S283" s="41">
        <v>87962.962962962964</v>
      </c>
      <c r="T283" s="41">
        <v>5249999.9999999925</v>
      </c>
      <c r="U283" s="41">
        <v>64814.814814814818</v>
      </c>
      <c r="V283" s="41">
        <v>188054166.66666639</v>
      </c>
      <c r="W283" s="41">
        <v>725462.96296296292</v>
      </c>
      <c r="X283" s="38">
        <f t="shared" si="24"/>
        <v>0.37610833333333277</v>
      </c>
      <c r="Y283" s="39">
        <f t="shared" si="25"/>
        <v>1.4509259259259258E-3</v>
      </c>
      <c r="Z283" s="39">
        <f t="shared" si="29"/>
        <v>3.8726738007562526E-3</v>
      </c>
      <c r="AA283" s="41">
        <f t="shared" si="26"/>
        <v>311945833.33333361</v>
      </c>
      <c r="AB283" s="39">
        <f t="shared" si="27"/>
        <v>2.3256055553329364E-3</v>
      </c>
      <c r="AC283" s="38">
        <f t="shared" si="28"/>
        <v>0.45154858006625098</v>
      </c>
      <c r="AD283" s="3"/>
    </row>
    <row r="284" spans="1:30" x14ac:dyDescent="0.25">
      <c r="A284" s="37">
        <v>45920</v>
      </c>
      <c r="B284" s="41">
        <v>3885185.1851851838</v>
      </c>
      <c r="C284" s="41">
        <v>35185.185185185182</v>
      </c>
      <c r="D284" s="41">
        <v>13319444.44444442</v>
      </c>
      <c r="E284" s="41">
        <v>131944.44444444441</v>
      </c>
      <c r="F284" s="41">
        <v>21236111.11111106</v>
      </c>
      <c r="G284" s="41">
        <v>131944.44444444441</v>
      </c>
      <c r="H284" s="41">
        <v>50000000</v>
      </c>
      <c r="I284" s="41">
        <v>0</v>
      </c>
      <c r="J284" s="41">
        <v>0</v>
      </c>
      <c r="K284" s="41">
        <v>0</v>
      </c>
      <c r="L284" s="41">
        <v>2277777.777777778</v>
      </c>
      <c r="M284" s="41">
        <v>27777.777777777781</v>
      </c>
      <c r="N284" s="41">
        <v>24366666.666666731</v>
      </c>
      <c r="O284" s="41">
        <v>79166.666666666672</v>
      </c>
      <c r="P284" s="41">
        <v>58666666.666666411</v>
      </c>
      <c r="Q284" s="41">
        <v>166666.66666666669</v>
      </c>
      <c r="R284" s="41">
        <v>9712962.9629629496</v>
      </c>
      <c r="S284" s="41">
        <v>87962.962962962964</v>
      </c>
      <c r="T284" s="41">
        <v>5314814.8148148078</v>
      </c>
      <c r="U284" s="41">
        <v>64814.814814814818</v>
      </c>
      <c r="V284" s="41">
        <v>188779629.62962931</v>
      </c>
      <c r="W284" s="41">
        <v>725462.96296296292</v>
      </c>
      <c r="X284" s="38">
        <f t="shared" si="24"/>
        <v>0.37755925925925865</v>
      </c>
      <c r="Y284" s="39">
        <f t="shared" si="25"/>
        <v>1.4509259259259258E-3</v>
      </c>
      <c r="Z284" s="39">
        <f t="shared" si="29"/>
        <v>3.8577340551505853E-3</v>
      </c>
      <c r="AA284" s="41">
        <f t="shared" si="26"/>
        <v>311220370.37037069</v>
      </c>
      <c r="AB284" s="39">
        <f t="shared" si="27"/>
        <v>2.3310266037522513E-3</v>
      </c>
      <c r="AC284" s="38">
        <f t="shared" si="28"/>
        <v>0.45089025206017391</v>
      </c>
      <c r="AD284" s="3"/>
    </row>
    <row r="285" spans="1:30" x14ac:dyDescent="0.25">
      <c r="A285" s="37">
        <v>45921</v>
      </c>
      <c r="B285" s="41">
        <v>3920370.3703703689</v>
      </c>
      <c r="C285" s="41">
        <v>35185.185185185182</v>
      </c>
      <c r="D285" s="41">
        <v>13451388.88888886</v>
      </c>
      <c r="E285" s="41">
        <v>131944.44444444441</v>
      </c>
      <c r="F285" s="41">
        <v>21368055.5555555</v>
      </c>
      <c r="G285" s="41">
        <v>131944.44444444441</v>
      </c>
      <c r="H285" s="41">
        <v>50000000</v>
      </c>
      <c r="I285" s="41">
        <v>0</v>
      </c>
      <c r="J285" s="41">
        <v>0</v>
      </c>
      <c r="K285" s="41">
        <v>0</v>
      </c>
      <c r="L285" s="41">
        <v>2305555.555555556</v>
      </c>
      <c r="M285" s="41">
        <v>27777.777777777781</v>
      </c>
      <c r="N285" s="41">
        <v>24445833.333333399</v>
      </c>
      <c r="O285" s="41">
        <v>79166.666666666672</v>
      </c>
      <c r="P285" s="41">
        <v>58833333.333333082</v>
      </c>
      <c r="Q285" s="41">
        <v>166666.66666666669</v>
      </c>
      <c r="R285" s="41">
        <v>9800925.9259259123</v>
      </c>
      <c r="S285" s="41">
        <v>87962.962962962964</v>
      </c>
      <c r="T285" s="41">
        <v>5379629.6296296222</v>
      </c>
      <c r="U285" s="41">
        <v>64814.814814814818</v>
      </c>
      <c r="V285" s="41">
        <v>189505092.5925923</v>
      </c>
      <c r="W285" s="41">
        <v>725462.96296296292</v>
      </c>
      <c r="X285" s="38">
        <f t="shared" si="24"/>
        <v>0.37901018518518459</v>
      </c>
      <c r="Y285" s="39">
        <f t="shared" si="25"/>
        <v>1.4509259259259258E-3</v>
      </c>
      <c r="Z285" s="39">
        <f t="shared" si="29"/>
        <v>3.8429091337146056E-3</v>
      </c>
      <c r="AA285" s="41">
        <f t="shared" si="26"/>
        <v>310494907.4074077</v>
      </c>
      <c r="AB285" s="39">
        <f t="shared" si="27"/>
        <v>2.3364729844379244E-3</v>
      </c>
      <c r="AC285" s="38">
        <f t="shared" si="28"/>
        <v>0.45023755451707698</v>
      </c>
      <c r="AD285" s="3"/>
    </row>
    <row r="286" spans="1:30" x14ac:dyDescent="0.25">
      <c r="A286" s="37">
        <v>45922</v>
      </c>
      <c r="B286" s="41">
        <v>3955555.5555555541</v>
      </c>
      <c r="C286" s="41">
        <v>35185.185185185182</v>
      </c>
      <c r="D286" s="41">
        <v>13583333.3333333</v>
      </c>
      <c r="E286" s="41">
        <v>131944.44444444441</v>
      </c>
      <c r="F286" s="41">
        <v>21499999.999999952</v>
      </c>
      <c r="G286" s="41">
        <v>131944.44444444441</v>
      </c>
      <c r="H286" s="41">
        <v>50000000</v>
      </c>
      <c r="I286" s="41">
        <v>0</v>
      </c>
      <c r="J286" s="41">
        <v>0</v>
      </c>
      <c r="K286" s="41">
        <v>0</v>
      </c>
      <c r="L286" s="41">
        <v>2333333.333333333</v>
      </c>
      <c r="M286" s="41">
        <v>27777.777777777781</v>
      </c>
      <c r="N286" s="41">
        <v>24525000.00000006</v>
      </c>
      <c r="O286" s="41">
        <v>79166.666666666672</v>
      </c>
      <c r="P286" s="41">
        <v>58999999.999999739</v>
      </c>
      <c r="Q286" s="41">
        <v>166666.66666666669</v>
      </c>
      <c r="R286" s="41">
        <v>9888888.888888875</v>
      </c>
      <c r="S286" s="41">
        <v>87962.962962962964</v>
      </c>
      <c r="T286" s="41">
        <v>5444444.4444444366</v>
      </c>
      <c r="U286" s="41">
        <v>64814.814814814818</v>
      </c>
      <c r="V286" s="41">
        <v>190230555.55555531</v>
      </c>
      <c r="W286" s="41">
        <v>725462.96296296292</v>
      </c>
      <c r="X286" s="38">
        <f t="shared" si="24"/>
        <v>0.38046111111111064</v>
      </c>
      <c r="Y286" s="39">
        <f t="shared" si="25"/>
        <v>1.4509259259259258E-3</v>
      </c>
      <c r="Z286" s="39">
        <f t="shared" si="29"/>
        <v>3.8281977177394393E-3</v>
      </c>
      <c r="AA286" s="41">
        <f t="shared" si="26"/>
        <v>309769444.44444466</v>
      </c>
      <c r="AB286" s="39">
        <f t="shared" si="27"/>
        <v>2.3419448753702705E-3</v>
      </c>
      <c r="AC286" s="38">
        <f t="shared" si="28"/>
        <v>0.44959041551129059</v>
      </c>
      <c r="AD286" s="3"/>
    </row>
    <row r="287" spans="1:30" x14ac:dyDescent="0.25">
      <c r="A287" s="37">
        <v>45923</v>
      </c>
      <c r="B287" s="41">
        <v>3990740.7407407388</v>
      </c>
      <c r="C287" s="41">
        <v>35185.185185185182</v>
      </c>
      <c r="D287" s="41">
        <v>13715277.77777775</v>
      </c>
      <c r="E287" s="41">
        <v>131944.44444444441</v>
      </c>
      <c r="F287" s="41">
        <v>21631944.444444388</v>
      </c>
      <c r="G287" s="41">
        <v>131944.44444444441</v>
      </c>
      <c r="H287" s="41">
        <v>50000000</v>
      </c>
      <c r="I287" s="41">
        <v>0</v>
      </c>
      <c r="J287" s="41">
        <v>0</v>
      </c>
      <c r="K287" s="41">
        <v>0</v>
      </c>
      <c r="L287" s="41">
        <v>2361111.111111111</v>
      </c>
      <c r="M287" s="41">
        <v>27777.777777777781</v>
      </c>
      <c r="N287" s="41">
        <v>24604166.666666731</v>
      </c>
      <c r="O287" s="41">
        <v>79166.666666666672</v>
      </c>
      <c r="P287" s="41">
        <v>59166666.666666403</v>
      </c>
      <c r="Q287" s="41">
        <v>166666.66666666669</v>
      </c>
      <c r="R287" s="41">
        <v>9976851.8518518377</v>
      </c>
      <c r="S287" s="41">
        <v>87962.962962962964</v>
      </c>
      <c r="T287" s="41">
        <v>5509259.2592592509</v>
      </c>
      <c r="U287" s="41">
        <v>64814.814814814818</v>
      </c>
      <c r="V287" s="41">
        <v>190956018.51851821</v>
      </c>
      <c r="W287" s="41">
        <v>725462.96296296292</v>
      </c>
      <c r="X287" s="38">
        <f t="shared" si="24"/>
        <v>0.38191203703703641</v>
      </c>
      <c r="Y287" s="39">
        <f t="shared" si="25"/>
        <v>1.4509259259259258E-3</v>
      </c>
      <c r="Z287" s="39">
        <f t="shared" si="29"/>
        <v>3.8135985086323173E-3</v>
      </c>
      <c r="AA287" s="41">
        <f t="shared" si="26"/>
        <v>309043981.48148179</v>
      </c>
      <c r="AB287" s="39">
        <f t="shared" si="27"/>
        <v>2.3474424562007958E-3</v>
      </c>
      <c r="AC287" s="38">
        <f t="shared" si="28"/>
        <v>0.44894876433702591</v>
      </c>
      <c r="AD287" s="3"/>
    </row>
    <row r="288" spans="1:30" x14ac:dyDescent="0.25">
      <c r="A288" s="37">
        <v>45924</v>
      </c>
      <c r="B288" s="41">
        <v>4025925.925925924</v>
      </c>
      <c r="C288" s="41">
        <v>35185.185185185182</v>
      </c>
      <c r="D288" s="41">
        <v>13847222.22222219</v>
      </c>
      <c r="E288" s="41">
        <v>131944.44444444441</v>
      </c>
      <c r="F288" s="41">
        <v>21763888.88888884</v>
      </c>
      <c r="G288" s="41">
        <v>131944.44444444441</v>
      </c>
      <c r="H288" s="41">
        <v>50000000</v>
      </c>
      <c r="I288" s="41">
        <v>0</v>
      </c>
      <c r="J288" s="41">
        <v>0</v>
      </c>
      <c r="K288" s="41">
        <v>0</v>
      </c>
      <c r="L288" s="41">
        <v>2388888.888888889</v>
      </c>
      <c r="M288" s="41">
        <v>27777.777777777781</v>
      </c>
      <c r="N288" s="41">
        <v>24683333.333333399</v>
      </c>
      <c r="O288" s="41">
        <v>79166.666666666672</v>
      </c>
      <c r="P288" s="41">
        <v>59333333.333333068</v>
      </c>
      <c r="Q288" s="41">
        <v>166666.66666666669</v>
      </c>
      <c r="R288" s="41">
        <v>10064814.8148148</v>
      </c>
      <c r="S288" s="41">
        <v>87962.962962962964</v>
      </c>
      <c r="T288" s="41">
        <v>5574074.0740740653</v>
      </c>
      <c r="U288" s="41">
        <v>64814.814814814818</v>
      </c>
      <c r="V288" s="41">
        <v>191681481.48148119</v>
      </c>
      <c r="W288" s="41">
        <v>725462.96296296292</v>
      </c>
      <c r="X288" s="38">
        <f t="shared" si="24"/>
        <v>0.38336296296296241</v>
      </c>
      <c r="Y288" s="39">
        <f t="shared" si="25"/>
        <v>1.4509259259259258E-3</v>
      </c>
      <c r="Z288" s="39">
        <f t="shared" si="29"/>
        <v>3.7991102275344636E-3</v>
      </c>
      <c r="AA288" s="41">
        <f t="shared" si="26"/>
        <v>308318518.51851881</v>
      </c>
      <c r="AB288" s="39">
        <f t="shared" si="27"/>
        <v>2.3529659082718664E-3</v>
      </c>
      <c r="AC288" s="38">
        <f t="shared" si="28"/>
        <v>0.44831253148261968</v>
      </c>
      <c r="AD288" s="3"/>
    </row>
    <row r="289" spans="1:30" x14ac:dyDescent="0.25">
      <c r="A289" s="37">
        <v>45925</v>
      </c>
      <c r="B289" s="41">
        <v>4061111.1111111101</v>
      </c>
      <c r="C289" s="41">
        <v>35185.185185185182</v>
      </c>
      <c r="D289" s="41">
        <v>13979166.66666664</v>
      </c>
      <c r="E289" s="41">
        <v>131944.44444444441</v>
      </c>
      <c r="F289" s="41">
        <v>21895833.33333328</v>
      </c>
      <c r="G289" s="41">
        <v>131944.44444444441</v>
      </c>
      <c r="H289" s="41">
        <v>50000000</v>
      </c>
      <c r="I289" s="41">
        <v>0</v>
      </c>
      <c r="J289" s="41">
        <v>0</v>
      </c>
      <c r="K289" s="41">
        <v>0</v>
      </c>
      <c r="L289" s="41">
        <v>2416666.666666667</v>
      </c>
      <c r="M289" s="41">
        <v>27777.777777777781</v>
      </c>
      <c r="N289" s="41">
        <v>24762500.000000071</v>
      </c>
      <c r="O289" s="41">
        <v>79166.666666666672</v>
      </c>
      <c r="P289" s="41">
        <v>59499999.999999732</v>
      </c>
      <c r="Q289" s="41">
        <v>166666.66666666669</v>
      </c>
      <c r="R289" s="41">
        <v>10152777.777777759</v>
      </c>
      <c r="S289" s="41">
        <v>87962.962962962964</v>
      </c>
      <c r="T289" s="41">
        <v>5638888.8888888797</v>
      </c>
      <c r="U289" s="41">
        <v>64814.814814814818</v>
      </c>
      <c r="V289" s="41">
        <v>192406944.44444409</v>
      </c>
      <c r="W289" s="41">
        <v>725462.96296296292</v>
      </c>
      <c r="X289" s="38">
        <f t="shared" si="24"/>
        <v>0.38481388888888818</v>
      </c>
      <c r="Y289" s="39">
        <f t="shared" si="25"/>
        <v>1.4509259259259258E-3</v>
      </c>
      <c r="Z289" s="39">
        <f t="shared" si="29"/>
        <v>3.7847316149476422E-3</v>
      </c>
      <c r="AA289" s="41">
        <f t="shared" si="26"/>
        <v>307593055.55555594</v>
      </c>
      <c r="AB289" s="39">
        <f t="shared" si="27"/>
        <v>2.3585154146366395E-3</v>
      </c>
      <c r="AC289" s="38">
        <f t="shared" si="28"/>
        <v>0.44768164860543441</v>
      </c>
      <c r="AD289" s="3"/>
    </row>
    <row r="290" spans="1:30" x14ac:dyDescent="0.25">
      <c r="A290" s="37">
        <v>45926</v>
      </c>
      <c r="B290" s="41">
        <v>4096296.2962962948</v>
      </c>
      <c r="C290" s="41">
        <v>35185.185185185182</v>
      </c>
      <c r="D290" s="41">
        <v>14111111.11111108</v>
      </c>
      <c r="E290" s="41">
        <v>131944.44444444441</v>
      </c>
      <c r="F290" s="41">
        <v>22027777.77777772</v>
      </c>
      <c r="G290" s="41">
        <v>131944.44444444441</v>
      </c>
      <c r="H290" s="41">
        <v>50000000</v>
      </c>
      <c r="I290" s="41">
        <v>0</v>
      </c>
      <c r="J290" s="41">
        <v>0</v>
      </c>
      <c r="K290" s="41">
        <v>0</v>
      </c>
      <c r="L290" s="41">
        <v>2444444.444444445</v>
      </c>
      <c r="M290" s="41">
        <v>27777.777777777781</v>
      </c>
      <c r="N290" s="41">
        <v>24841666.666666731</v>
      </c>
      <c r="O290" s="41">
        <v>79166.666666666672</v>
      </c>
      <c r="P290" s="41">
        <v>59666666.666666403</v>
      </c>
      <c r="Q290" s="41">
        <v>166666.66666666669</v>
      </c>
      <c r="R290" s="41">
        <v>10240740.740740729</v>
      </c>
      <c r="S290" s="41">
        <v>87962.962962962964</v>
      </c>
      <c r="T290" s="41">
        <v>5703703.703703694</v>
      </c>
      <c r="U290" s="41">
        <v>64814.814814814818</v>
      </c>
      <c r="V290" s="41">
        <v>193132407.4074071</v>
      </c>
      <c r="W290" s="41">
        <v>725462.96296296292</v>
      </c>
      <c r="X290" s="38">
        <f t="shared" si="24"/>
        <v>0.38626481481481423</v>
      </c>
      <c r="Y290" s="39">
        <f t="shared" si="25"/>
        <v>1.4509259259259258E-3</v>
      </c>
      <c r="Z290" s="39">
        <f t="shared" si="29"/>
        <v>3.7704614303691849E-3</v>
      </c>
      <c r="AA290" s="41">
        <f t="shared" si="26"/>
        <v>306867592.5925929</v>
      </c>
      <c r="AB290" s="39">
        <f t="shared" si="27"/>
        <v>2.3640911600792936E-3</v>
      </c>
      <c r="AC290" s="38">
        <f t="shared" si="28"/>
        <v>0.44705604850738317</v>
      </c>
      <c r="AD290" s="3"/>
    </row>
    <row r="291" spans="1:30" x14ac:dyDescent="0.25">
      <c r="A291" s="37">
        <v>45927</v>
      </c>
      <c r="B291" s="41">
        <v>4131481.4814814799</v>
      </c>
      <c r="C291" s="41">
        <v>35185.185185185182</v>
      </c>
      <c r="D291" s="41">
        <v>14243055.555555521</v>
      </c>
      <c r="E291" s="41">
        <v>131944.44444444441</v>
      </c>
      <c r="F291" s="41">
        <v>22159722.222222172</v>
      </c>
      <c r="G291" s="41">
        <v>131944.44444444441</v>
      </c>
      <c r="H291" s="41">
        <v>50000000</v>
      </c>
      <c r="I291" s="41">
        <v>0</v>
      </c>
      <c r="J291" s="41">
        <v>0</v>
      </c>
      <c r="K291" s="41">
        <v>0</v>
      </c>
      <c r="L291" s="41">
        <v>2472222.2222222229</v>
      </c>
      <c r="M291" s="41">
        <v>27777.777777777781</v>
      </c>
      <c r="N291" s="41">
        <v>24920833.333333399</v>
      </c>
      <c r="O291" s="41">
        <v>79166.666666666672</v>
      </c>
      <c r="P291" s="41">
        <v>59833333.33333306</v>
      </c>
      <c r="Q291" s="41">
        <v>166666.66666666669</v>
      </c>
      <c r="R291" s="41">
        <v>10328703.70370369</v>
      </c>
      <c r="S291" s="41">
        <v>87962.962962962964</v>
      </c>
      <c r="T291" s="41">
        <v>5768518.5185185084</v>
      </c>
      <c r="U291" s="41">
        <v>64814.814814814818</v>
      </c>
      <c r="V291" s="41">
        <v>193857870.37037009</v>
      </c>
      <c r="W291" s="41">
        <v>725462.96296296292</v>
      </c>
      <c r="X291" s="38">
        <f t="shared" si="24"/>
        <v>0.38771574074074017</v>
      </c>
      <c r="Y291" s="39">
        <f t="shared" si="25"/>
        <v>1.4509259259259258E-3</v>
      </c>
      <c r="Z291" s="39">
        <f t="shared" si="29"/>
        <v>3.7562984519352066E-3</v>
      </c>
      <c r="AA291" s="41">
        <f t="shared" si="26"/>
        <v>306142129.62962991</v>
      </c>
      <c r="AB291" s="39">
        <f t="shared" si="27"/>
        <v>2.36969333113553E-3</v>
      </c>
      <c r="AC291" s="38">
        <f t="shared" si="28"/>
        <v>0.44643566511107147</v>
      </c>
      <c r="AD291" s="3"/>
    </row>
    <row r="292" spans="1:30" x14ac:dyDescent="0.25">
      <c r="A292" s="37">
        <v>45928</v>
      </c>
      <c r="B292" s="41">
        <v>4166666.6666666651</v>
      </c>
      <c r="C292" s="41">
        <v>35185.185185185182</v>
      </c>
      <c r="D292" s="41">
        <v>14374999.99999997</v>
      </c>
      <c r="E292" s="41">
        <v>131944.44444444441</v>
      </c>
      <c r="F292" s="41">
        <v>22291666.666666608</v>
      </c>
      <c r="G292" s="41">
        <v>131944.44444444441</v>
      </c>
      <c r="H292" s="41">
        <v>50000000</v>
      </c>
      <c r="I292" s="41">
        <v>0</v>
      </c>
      <c r="J292" s="41">
        <v>0</v>
      </c>
      <c r="K292" s="41">
        <v>0</v>
      </c>
      <c r="L292" s="41">
        <v>2500000.0000000009</v>
      </c>
      <c r="M292" s="41">
        <v>27777.777777777781</v>
      </c>
      <c r="N292" s="41">
        <v>25000000.000000071</v>
      </c>
      <c r="O292" s="41">
        <v>79166.666666666672</v>
      </c>
      <c r="P292" s="41">
        <v>59999999.999999717</v>
      </c>
      <c r="Q292" s="41">
        <v>166666.66666666669</v>
      </c>
      <c r="R292" s="41">
        <v>10416666.666666649</v>
      </c>
      <c r="S292" s="41">
        <v>87962.962962962964</v>
      </c>
      <c r="T292" s="41">
        <v>5833333.3333333228</v>
      </c>
      <c r="U292" s="41">
        <v>64814.814814814818</v>
      </c>
      <c r="V292" s="41">
        <v>194583333.33333299</v>
      </c>
      <c r="W292" s="41">
        <v>725462.96296296292</v>
      </c>
      <c r="X292" s="38">
        <f t="shared" si="24"/>
        <v>0.38916666666666599</v>
      </c>
      <c r="Y292" s="39">
        <f t="shared" si="25"/>
        <v>1.4509259259259258E-3</v>
      </c>
      <c r="Z292" s="39">
        <f t="shared" si="29"/>
        <v>3.7422414760718697E-3</v>
      </c>
      <c r="AA292" s="41">
        <f t="shared" si="26"/>
        <v>305416666.66666698</v>
      </c>
      <c r="AB292" s="39">
        <f t="shared" si="27"/>
        <v>2.3753221161133824E-3</v>
      </c>
      <c r="AC292" s="38">
        <f t="shared" si="28"/>
        <v>0.44582043343653066</v>
      </c>
      <c r="AD292" s="3"/>
    </row>
    <row r="293" spans="1:30" x14ac:dyDescent="0.25">
      <c r="A293" s="37">
        <v>45929</v>
      </c>
      <c r="B293" s="41">
        <v>4201851.8518518507</v>
      </c>
      <c r="C293" s="41">
        <v>35185.185185185182</v>
      </c>
      <c r="D293" s="41">
        <v>14506944.444444411</v>
      </c>
      <c r="E293" s="41">
        <v>131944.44444444441</v>
      </c>
      <c r="F293" s="41">
        <v>22423611.11111106</v>
      </c>
      <c r="G293" s="41">
        <v>131944.44444444441</v>
      </c>
      <c r="H293" s="41">
        <v>50000000</v>
      </c>
      <c r="I293" s="41">
        <v>0</v>
      </c>
      <c r="J293" s="41">
        <v>0</v>
      </c>
      <c r="K293" s="41">
        <v>0</v>
      </c>
      <c r="L293" s="41">
        <v>2527777.7777777789</v>
      </c>
      <c r="M293" s="41">
        <v>27777.777777777781</v>
      </c>
      <c r="N293" s="41">
        <v>25079166.666666739</v>
      </c>
      <c r="O293" s="41">
        <v>79166.666666666672</v>
      </c>
      <c r="P293" s="41">
        <v>60166666.666666389</v>
      </c>
      <c r="Q293" s="41">
        <v>166666.66666666669</v>
      </c>
      <c r="R293" s="41">
        <v>10504629.62962961</v>
      </c>
      <c r="S293" s="41">
        <v>87962.962962962964</v>
      </c>
      <c r="T293" s="41">
        <v>5898148.1481481371</v>
      </c>
      <c r="U293" s="41">
        <v>64814.814814814818</v>
      </c>
      <c r="V293" s="41">
        <v>195308796.296296</v>
      </c>
      <c r="W293" s="41">
        <v>725462.96296296292</v>
      </c>
      <c r="X293" s="38">
        <f t="shared" si="24"/>
        <v>0.39061759259259199</v>
      </c>
      <c r="Y293" s="39">
        <f t="shared" si="25"/>
        <v>1.4509259259259258E-3</v>
      </c>
      <c r="Z293" s="39">
        <f t="shared" si="29"/>
        <v>3.72828931715442E-3</v>
      </c>
      <c r="AA293" s="41">
        <f t="shared" si="26"/>
        <v>304691203.703704</v>
      </c>
      <c r="AB293" s="39">
        <f t="shared" si="27"/>
        <v>2.3809777051143136E-3</v>
      </c>
      <c r="AC293" s="38">
        <f t="shared" si="28"/>
        <v>0.44521028957852815</v>
      </c>
      <c r="AD293" s="3"/>
    </row>
    <row r="294" spans="1:30" x14ac:dyDescent="0.25">
      <c r="A294" s="37">
        <v>45930</v>
      </c>
      <c r="B294" s="41">
        <v>4237037.0370370364</v>
      </c>
      <c r="C294" s="41">
        <v>35185.185185185182</v>
      </c>
      <c r="D294" s="41">
        <v>14638888.88888886</v>
      </c>
      <c r="E294" s="41">
        <v>131944.44444444441</v>
      </c>
      <c r="F294" s="41">
        <v>22555555.5555555</v>
      </c>
      <c r="G294" s="41">
        <v>131944.44444444441</v>
      </c>
      <c r="H294" s="41">
        <v>50000000</v>
      </c>
      <c r="I294" s="41">
        <v>0</v>
      </c>
      <c r="J294" s="41">
        <v>0</v>
      </c>
      <c r="K294" s="41">
        <v>0</v>
      </c>
      <c r="L294" s="41">
        <v>2555555.5555555569</v>
      </c>
      <c r="M294" s="41">
        <v>27777.777777777781</v>
      </c>
      <c r="N294" s="41">
        <v>25158333.33333341</v>
      </c>
      <c r="O294" s="41">
        <v>79166.666666666672</v>
      </c>
      <c r="P294" s="41">
        <v>60333333.333333053</v>
      </c>
      <c r="Q294" s="41">
        <v>166666.66666666669</v>
      </c>
      <c r="R294" s="41">
        <v>10592592.59259258</v>
      </c>
      <c r="S294" s="41">
        <v>87962.962962962964</v>
      </c>
      <c r="T294" s="41">
        <v>5962962.9629629524</v>
      </c>
      <c r="U294" s="41">
        <v>64814.814814814818</v>
      </c>
      <c r="V294" s="41">
        <v>196034259.2592589</v>
      </c>
      <c r="W294" s="41">
        <v>725462.96296296292</v>
      </c>
      <c r="X294" s="38">
        <f t="shared" si="24"/>
        <v>0.39206851851851782</v>
      </c>
      <c r="Y294" s="39">
        <f t="shared" si="25"/>
        <v>1.4509259259259258E-3</v>
      </c>
      <c r="Z294" s="39">
        <f t="shared" si="29"/>
        <v>3.7144408071738302E-3</v>
      </c>
      <c r="AA294" s="41">
        <f t="shared" si="26"/>
        <v>303965740.74074113</v>
      </c>
      <c r="AB294" s="39">
        <f t="shared" si="27"/>
        <v>2.3866602900546141E-3</v>
      </c>
      <c r="AC294" s="38">
        <f t="shared" si="28"/>
        <v>0.44460517068444178</v>
      </c>
      <c r="AD294" s="3"/>
    </row>
    <row r="295" spans="1:30" x14ac:dyDescent="0.25">
      <c r="A295" s="37">
        <v>45931</v>
      </c>
      <c r="B295" s="41">
        <v>4272222.222222222</v>
      </c>
      <c r="C295" s="41">
        <v>35185.185185185182</v>
      </c>
      <c r="D295" s="41">
        <v>14770833.3333333</v>
      </c>
      <c r="E295" s="41">
        <v>131944.44444444441</v>
      </c>
      <c r="F295" s="41">
        <v>22687499.99999994</v>
      </c>
      <c r="G295" s="41">
        <v>131944.44444444441</v>
      </c>
      <c r="H295" s="41">
        <v>50000000</v>
      </c>
      <c r="I295" s="41">
        <v>0</v>
      </c>
      <c r="J295" s="41">
        <v>0</v>
      </c>
      <c r="K295" s="41">
        <v>0</v>
      </c>
      <c r="L295" s="41">
        <v>2583333.3333333349</v>
      </c>
      <c r="M295" s="41">
        <v>27777.777777777781</v>
      </c>
      <c r="N295" s="41">
        <v>25237500.000000071</v>
      </c>
      <c r="O295" s="41">
        <v>79166.666666666672</v>
      </c>
      <c r="P295" s="41">
        <v>60499999.999999717</v>
      </c>
      <c r="Q295" s="41">
        <v>166666.66666666669</v>
      </c>
      <c r="R295" s="41">
        <v>10680555.555555539</v>
      </c>
      <c r="S295" s="41">
        <v>87962.962962962964</v>
      </c>
      <c r="T295" s="41">
        <v>6027777.7777777659</v>
      </c>
      <c r="U295" s="41">
        <v>64814.814814814818</v>
      </c>
      <c r="V295" s="41">
        <v>196759722.22222191</v>
      </c>
      <c r="W295" s="41">
        <v>725462.96296296292</v>
      </c>
      <c r="X295" s="38">
        <f t="shared" si="24"/>
        <v>0.39351944444444381</v>
      </c>
      <c r="Y295" s="39">
        <f t="shared" si="25"/>
        <v>1.4509259259259258E-3</v>
      </c>
      <c r="Z295" s="39">
        <f t="shared" si="29"/>
        <v>3.7006947954108618E-3</v>
      </c>
      <c r="AA295" s="41">
        <f t="shared" si="26"/>
        <v>303240277.77777809</v>
      </c>
      <c r="AB295" s="39">
        <f t="shared" si="27"/>
        <v>2.3923700646871189E-3</v>
      </c>
      <c r="AC295" s="38">
        <f t="shared" si="28"/>
        <v>0.44400501493267353</v>
      </c>
      <c r="AD295" s="3"/>
    </row>
    <row r="296" spans="1:30" x14ac:dyDescent="0.25">
      <c r="A296" s="37">
        <v>45932</v>
      </c>
      <c r="B296" s="41">
        <v>4307407.4074074076</v>
      </c>
      <c r="C296" s="41">
        <v>35185.185185185182</v>
      </c>
      <c r="D296" s="41">
        <v>14902777.777777741</v>
      </c>
      <c r="E296" s="41">
        <v>131944.44444444441</v>
      </c>
      <c r="F296" s="41">
        <v>22819444.444444388</v>
      </c>
      <c r="G296" s="41">
        <v>131944.44444444441</v>
      </c>
      <c r="H296" s="41">
        <v>50000000</v>
      </c>
      <c r="I296" s="41">
        <v>0</v>
      </c>
      <c r="J296" s="41">
        <v>0</v>
      </c>
      <c r="K296" s="41">
        <v>0</v>
      </c>
      <c r="L296" s="41">
        <v>2611111.1111111129</v>
      </c>
      <c r="M296" s="41">
        <v>27777.777777777781</v>
      </c>
      <c r="N296" s="41">
        <v>25316666.666666739</v>
      </c>
      <c r="O296" s="41">
        <v>79166.666666666672</v>
      </c>
      <c r="P296" s="41">
        <v>60666666.666666381</v>
      </c>
      <c r="Q296" s="41">
        <v>166666.66666666669</v>
      </c>
      <c r="R296" s="41">
        <v>10768518.5185185</v>
      </c>
      <c r="S296" s="41">
        <v>87962.962962962964</v>
      </c>
      <c r="T296" s="41">
        <v>6092592.5925925802</v>
      </c>
      <c r="U296" s="41">
        <v>64814.814814814818</v>
      </c>
      <c r="V296" s="41">
        <v>197485185.1851849</v>
      </c>
      <c r="W296" s="41">
        <v>725462.96296296292</v>
      </c>
      <c r="X296" s="38">
        <f t="shared" si="24"/>
        <v>0.39497037037036981</v>
      </c>
      <c r="Y296" s="39">
        <f t="shared" si="25"/>
        <v>1.4509259259259258E-3</v>
      </c>
      <c r="Z296" s="39">
        <f t="shared" si="29"/>
        <v>3.6870501481173043E-3</v>
      </c>
      <c r="AA296" s="41">
        <f t="shared" si="26"/>
        <v>302514814.8148151</v>
      </c>
      <c r="AB296" s="39">
        <f t="shared" si="27"/>
        <v>2.3981072246232176E-3</v>
      </c>
      <c r="AC296" s="38">
        <f t="shared" si="28"/>
        <v>0.4434097615115975</v>
      </c>
      <c r="AD296" s="3"/>
    </row>
    <row r="297" spans="1:30" x14ac:dyDescent="0.25">
      <c r="A297" s="37">
        <v>45933</v>
      </c>
      <c r="B297" s="41">
        <v>4342592.5925925933</v>
      </c>
      <c r="C297" s="41">
        <v>35185.185185185182</v>
      </c>
      <c r="D297" s="41">
        <v>15034722.22222219</v>
      </c>
      <c r="E297" s="41">
        <v>131944.44444444441</v>
      </c>
      <c r="F297" s="41">
        <v>22951388.888888828</v>
      </c>
      <c r="G297" s="41">
        <v>131944.44444444441</v>
      </c>
      <c r="H297" s="41">
        <v>50000000</v>
      </c>
      <c r="I297" s="41">
        <v>0</v>
      </c>
      <c r="J297" s="41">
        <v>0</v>
      </c>
      <c r="K297" s="41">
        <v>0</v>
      </c>
      <c r="L297" s="41">
        <v>2638888.8888888909</v>
      </c>
      <c r="M297" s="41">
        <v>27777.777777777781</v>
      </c>
      <c r="N297" s="41">
        <v>25395833.33333341</v>
      </c>
      <c r="O297" s="41">
        <v>79166.666666666672</v>
      </c>
      <c r="P297" s="41">
        <v>60833333.333333053</v>
      </c>
      <c r="Q297" s="41">
        <v>166666.66666666669</v>
      </c>
      <c r="R297" s="41">
        <v>10856481.481481461</v>
      </c>
      <c r="S297" s="41">
        <v>87962.962962962964</v>
      </c>
      <c r="T297" s="41">
        <v>6157407.4074073946</v>
      </c>
      <c r="U297" s="41">
        <v>64814.814814814818</v>
      </c>
      <c r="V297" s="41">
        <v>198210648.14814779</v>
      </c>
      <c r="W297" s="41">
        <v>725462.96296296292</v>
      </c>
      <c r="X297" s="38">
        <f t="shared" si="24"/>
        <v>0.39642129629629558</v>
      </c>
      <c r="Y297" s="39">
        <f t="shared" si="25"/>
        <v>1.4509259259259258E-3</v>
      </c>
      <c r="Z297" s="39">
        <f t="shared" si="29"/>
        <v>3.6735057482042773E-3</v>
      </c>
      <c r="AA297" s="41">
        <f t="shared" si="26"/>
        <v>301789351.85185218</v>
      </c>
      <c r="AB297" s="39">
        <f t="shared" si="27"/>
        <v>2.4038719673552013E-3</v>
      </c>
      <c r="AC297" s="38">
        <f t="shared" si="28"/>
        <v>0.4428193505990175</v>
      </c>
      <c r="AD297" s="3"/>
    </row>
    <row r="298" spans="1:30" x14ac:dyDescent="0.25">
      <c r="A298" s="37">
        <v>45934</v>
      </c>
      <c r="B298" s="41">
        <v>4377777.7777777789</v>
      </c>
      <c r="C298" s="41">
        <v>35185.185185185182</v>
      </c>
      <c r="D298" s="41">
        <v>15166666.666666631</v>
      </c>
      <c r="E298" s="41">
        <v>131944.44444444441</v>
      </c>
      <c r="F298" s="41">
        <v>23083333.33333328</v>
      </c>
      <c r="G298" s="41">
        <v>131944.44444444441</v>
      </c>
      <c r="H298" s="41">
        <v>50000000</v>
      </c>
      <c r="I298" s="41">
        <v>0</v>
      </c>
      <c r="J298" s="41">
        <v>0</v>
      </c>
      <c r="K298" s="41">
        <v>0</v>
      </c>
      <c r="L298" s="41">
        <v>2666666.6666666688</v>
      </c>
      <c r="M298" s="41">
        <v>27777.777777777781</v>
      </c>
      <c r="N298" s="41">
        <v>25475000.000000078</v>
      </c>
      <c r="O298" s="41">
        <v>79166.666666666672</v>
      </c>
      <c r="P298" s="41">
        <v>60999999.999999709</v>
      </c>
      <c r="Q298" s="41">
        <v>166666.66666666669</v>
      </c>
      <c r="R298" s="41">
        <v>10944444.444444429</v>
      </c>
      <c r="S298" s="41">
        <v>87962.962962962964</v>
      </c>
      <c r="T298" s="41">
        <v>6222222.222222209</v>
      </c>
      <c r="U298" s="41">
        <v>64814.814814814818</v>
      </c>
      <c r="V298" s="41">
        <v>198936111.11111081</v>
      </c>
      <c r="W298" s="41">
        <v>725462.96296296292</v>
      </c>
      <c r="X298" s="38">
        <f t="shared" si="24"/>
        <v>0.39787222222222163</v>
      </c>
      <c r="Y298" s="39">
        <f t="shared" si="25"/>
        <v>1.4509259259259258E-3</v>
      </c>
      <c r="Z298" s="39">
        <f t="shared" si="29"/>
        <v>3.6600604949373508E-3</v>
      </c>
      <c r="AA298" s="41">
        <f t="shared" si="26"/>
        <v>301063888.88888919</v>
      </c>
      <c r="AB298" s="39">
        <f t="shared" si="27"/>
        <v>2.4096644922789218E-3</v>
      </c>
      <c r="AC298" s="38">
        <f t="shared" si="28"/>
        <v>0.44223372334212491</v>
      </c>
      <c r="AD298" s="3"/>
    </row>
    <row r="299" spans="1:30" x14ac:dyDescent="0.25">
      <c r="A299" s="37">
        <v>45935</v>
      </c>
      <c r="B299" s="41">
        <v>4412962.9629629645</v>
      </c>
      <c r="C299" s="41">
        <v>35185.185185185182</v>
      </c>
      <c r="D299" s="41">
        <v>15298611.11111108</v>
      </c>
      <c r="E299" s="41">
        <v>131944.44444444441</v>
      </c>
      <c r="F299" s="41">
        <v>23215277.77777772</v>
      </c>
      <c r="G299" s="41">
        <v>131944.44444444441</v>
      </c>
      <c r="H299" s="41">
        <v>50000000</v>
      </c>
      <c r="I299" s="41">
        <v>0</v>
      </c>
      <c r="J299" s="41">
        <v>0</v>
      </c>
      <c r="K299" s="41">
        <v>0</v>
      </c>
      <c r="L299" s="41">
        <v>2694444.4444444468</v>
      </c>
      <c r="M299" s="41">
        <v>27777.777777777781</v>
      </c>
      <c r="N299" s="41">
        <v>25554166.66666675</v>
      </c>
      <c r="O299" s="41">
        <v>79166.666666666672</v>
      </c>
      <c r="P299" s="41">
        <v>61166666.666666374</v>
      </c>
      <c r="Q299" s="41">
        <v>166666.66666666669</v>
      </c>
      <c r="R299" s="41">
        <v>11032407.40740739</v>
      </c>
      <c r="S299" s="41">
        <v>87962.962962962964</v>
      </c>
      <c r="T299" s="41">
        <v>6287037.0370370233</v>
      </c>
      <c r="U299" s="41">
        <v>64814.814814814818</v>
      </c>
      <c r="V299" s="41">
        <v>199661574.0740737</v>
      </c>
      <c r="W299" s="41">
        <v>725462.96296296292</v>
      </c>
      <c r="X299" s="38">
        <f t="shared" si="24"/>
        <v>0.3993231481481474</v>
      </c>
      <c r="Y299" s="39">
        <f t="shared" si="25"/>
        <v>1.4509259259259258E-3</v>
      </c>
      <c r="Z299" s="39">
        <f t="shared" si="29"/>
        <v>3.6467133036383408E-3</v>
      </c>
      <c r="AA299" s="41">
        <f t="shared" si="26"/>
        <v>300338425.92592633</v>
      </c>
      <c r="AB299" s="39">
        <f t="shared" si="27"/>
        <v>2.4154850007167806E-3</v>
      </c>
      <c r="AC299" s="38">
        <f t="shared" si="28"/>
        <v>0.44165282183794508</v>
      </c>
      <c r="AD299" s="3"/>
    </row>
    <row r="300" spans="1:30" x14ac:dyDescent="0.25">
      <c r="A300" s="37">
        <v>45936</v>
      </c>
      <c r="B300" s="41">
        <v>4448148.1481481502</v>
      </c>
      <c r="C300" s="41">
        <v>35185.185185185182</v>
      </c>
      <c r="D300" s="41">
        <v>15430555.555555521</v>
      </c>
      <c r="E300" s="41">
        <v>131944.44444444441</v>
      </c>
      <c r="F300" s="41">
        <v>23347222.222222161</v>
      </c>
      <c r="G300" s="41">
        <v>131944.44444444441</v>
      </c>
      <c r="H300" s="41">
        <v>50000000</v>
      </c>
      <c r="I300" s="41">
        <v>0</v>
      </c>
      <c r="J300" s="41">
        <v>0</v>
      </c>
      <c r="K300" s="41">
        <v>0</v>
      </c>
      <c r="L300" s="41">
        <v>2722222.2222222248</v>
      </c>
      <c r="M300" s="41">
        <v>27777.777777777781</v>
      </c>
      <c r="N300" s="41">
        <v>25633333.33333341</v>
      </c>
      <c r="O300" s="41">
        <v>79166.666666666672</v>
      </c>
      <c r="P300" s="41">
        <v>61333333.333333038</v>
      </c>
      <c r="Q300" s="41">
        <v>166666.66666666669</v>
      </c>
      <c r="R300" s="41">
        <v>11120370.370370351</v>
      </c>
      <c r="S300" s="41">
        <v>87962.962962962964</v>
      </c>
      <c r="T300" s="41">
        <v>6351851.8518518377</v>
      </c>
      <c r="U300" s="41">
        <v>64814.814814814818</v>
      </c>
      <c r="V300" s="41">
        <v>200387037.03703669</v>
      </c>
      <c r="W300" s="41">
        <v>725462.96296296292</v>
      </c>
      <c r="X300" s="38">
        <f t="shared" si="24"/>
        <v>0.40077407407407339</v>
      </c>
      <c r="Y300" s="39">
        <f t="shared" si="25"/>
        <v>1.4509259259259258E-3</v>
      </c>
      <c r="Z300" s="39">
        <f t="shared" si="29"/>
        <v>3.6334631053936239E-3</v>
      </c>
      <c r="AA300" s="41">
        <f t="shared" si="26"/>
        <v>299612962.96296334</v>
      </c>
      <c r="AB300" s="39">
        <f t="shared" si="27"/>
        <v>2.4213336959410564E-3</v>
      </c>
      <c r="AC300" s="38">
        <f t="shared" si="28"/>
        <v>0.44107658911424918</v>
      </c>
      <c r="AD300" s="3"/>
    </row>
    <row r="301" spans="1:30" x14ac:dyDescent="0.25">
      <c r="A301" s="37">
        <v>45937</v>
      </c>
      <c r="B301" s="41">
        <v>4483333.3333333358</v>
      </c>
      <c r="C301" s="41">
        <v>35185.185185185182</v>
      </c>
      <c r="D301" s="41">
        <v>15562499.999999961</v>
      </c>
      <c r="E301" s="41">
        <v>131944.44444444441</v>
      </c>
      <c r="F301" s="41">
        <v>23479166.666666608</v>
      </c>
      <c r="G301" s="41">
        <v>131944.44444444441</v>
      </c>
      <c r="H301" s="41">
        <v>50000000</v>
      </c>
      <c r="I301" s="41">
        <v>0</v>
      </c>
      <c r="J301" s="41">
        <v>0</v>
      </c>
      <c r="K301" s="41">
        <v>0</v>
      </c>
      <c r="L301" s="41">
        <v>2750000.0000000028</v>
      </c>
      <c r="M301" s="41">
        <v>27777.777777777781</v>
      </c>
      <c r="N301" s="41">
        <v>25712500.000000078</v>
      </c>
      <c r="O301" s="41">
        <v>79166.666666666672</v>
      </c>
      <c r="P301" s="41">
        <v>61499999.999999702</v>
      </c>
      <c r="Q301" s="41">
        <v>166666.66666666669</v>
      </c>
      <c r="R301" s="41">
        <v>11208333.333333321</v>
      </c>
      <c r="S301" s="41">
        <v>87962.962962962964</v>
      </c>
      <c r="T301" s="41">
        <v>6416666.6666666521</v>
      </c>
      <c r="U301" s="41">
        <v>64814.814814814818</v>
      </c>
      <c r="V301" s="41">
        <v>201112499.9999997</v>
      </c>
      <c r="W301" s="41">
        <v>725462.96296296292</v>
      </c>
      <c r="X301" s="38">
        <f t="shared" si="24"/>
        <v>0.40222499999999939</v>
      </c>
      <c r="Y301" s="39">
        <f t="shared" si="25"/>
        <v>1.4509259259259258E-3</v>
      </c>
      <c r="Z301" s="39">
        <f t="shared" si="29"/>
        <v>3.6203088467687593E-3</v>
      </c>
      <c r="AA301" s="41">
        <f t="shared" si="26"/>
        <v>298887500.0000003</v>
      </c>
      <c r="AB301" s="39">
        <f t="shared" si="27"/>
        <v>2.4272107831975649E-3</v>
      </c>
      <c r="AC301" s="38">
        <f t="shared" si="28"/>
        <v>0.4405049691109299</v>
      </c>
      <c r="AD301" s="3"/>
    </row>
    <row r="302" spans="1:30" x14ac:dyDescent="0.25">
      <c r="A302" s="37">
        <v>45938</v>
      </c>
      <c r="B302" s="41">
        <v>4518518.5185185215</v>
      </c>
      <c r="C302" s="41">
        <v>35185.185185185182</v>
      </c>
      <c r="D302" s="41">
        <v>15694444.444444411</v>
      </c>
      <c r="E302" s="41">
        <v>131944.44444444441</v>
      </c>
      <c r="F302" s="41">
        <v>23611111.111111049</v>
      </c>
      <c r="G302" s="41">
        <v>131944.44444444441</v>
      </c>
      <c r="H302" s="41">
        <v>50000000</v>
      </c>
      <c r="I302" s="41">
        <v>0</v>
      </c>
      <c r="J302" s="41">
        <v>0</v>
      </c>
      <c r="K302" s="41">
        <v>0</v>
      </c>
      <c r="L302" s="41">
        <v>2777777.7777777808</v>
      </c>
      <c r="M302" s="41">
        <v>27777.777777777781</v>
      </c>
      <c r="N302" s="41">
        <v>25791666.66666675</v>
      </c>
      <c r="O302" s="41">
        <v>79166.666666666672</v>
      </c>
      <c r="P302" s="41">
        <v>61666666.666666374</v>
      </c>
      <c r="Q302" s="41">
        <v>166666.66666666669</v>
      </c>
      <c r="R302" s="41">
        <v>11296296.29629628</v>
      </c>
      <c r="S302" s="41">
        <v>87962.962962962964</v>
      </c>
      <c r="T302" s="41">
        <v>6481481.4814814664</v>
      </c>
      <c r="U302" s="41">
        <v>64814.814814814818</v>
      </c>
      <c r="V302" s="41">
        <v>201837962.9629626</v>
      </c>
      <c r="W302" s="41">
        <v>725462.96296296292</v>
      </c>
      <c r="X302" s="38">
        <f t="shared" si="24"/>
        <v>0.40367592592592522</v>
      </c>
      <c r="Y302" s="39">
        <f t="shared" si="25"/>
        <v>1.4509259259259258E-3</v>
      </c>
      <c r="Z302" s="39">
        <f t="shared" si="29"/>
        <v>3.6072494895293132E-3</v>
      </c>
      <c r="AA302" s="41">
        <f t="shared" si="26"/>
        <v>298162037.03703737</v>
      </c>
      <c r="AB302" s="39">
        <f t="shared" si="27"/>
        <v>2.4331164697296683E-3</v>
      </c>
      <c r="AC302" s="38">
        <f t="shared" si="28"/>
        <v>0.43993790666182059</v>
      </c>
      <c r="AD302" s="3"/>
    </row>
    <row r="303" spans="1:30" x14ac:dyDescent="0.25">
      <c r="A303" s="37">
        <v>45939</v>
      </c>
      <c r="B303" s="41">
        <v>4553703.7037037071</v>
      </c>
      <c r="C303" s="41">
        <v>35185.185185185182</v>
      </c>
      <c r="D303" s="41">
        <v>15826388.888888851</v>
      </c>
      <c r="E303" s="41">
        <v>131944.44444444441</v>
      </c>
      <c r="F303" s="41">
        <v>23743055.5555555</v>
      </c>
      <c r="G303" s="41">
        <v>131944.44444444441</v>
      </c>
      <c r="H303" s="41">
        <v>50000000</v>
      </c>
      <c r="I303" s="41">
        <v>0</v>
      </c>
      <c r="J303" s="41">
        <v>0</v>
      </c>
      <c r="K303" s="41">
        <v>0</v>
      </c>
      <c r="L303" s="41">
        <v>2805555.5555555592</v>
      </c>
      <c r="M303" s="41">
        <v>27777.777777777781</v>
      </c>
      <c r="N303" s="41">
        <v>25870833.333333421</v>
      </c>
      <c r="O303" s="41">
        <v>79166.666666666672</v>
      </c>
      <c r="P303" s="41">
        <v>61833333.33333303</v>
      </c>
      <c r="Q303" s="41">
        <v>166666.66666666669</v>
      </c>
      <c r="R303" s="41">
        <v>11384259.259259241</v>
      </c>
      <c r="S303" s="41">
        <v>87962.962962962964</v>
      </c>
      <c r="T303" s="41">
        <v>6546296.2962962808</v>
      </c>
      <c r="U303" s="41">
        <v>64814.814814814818</v>
      </c>
      <c r="V303" s="41">
        <v>202563425.92592561</v>
      </c>
      <c r="W303" s="41">
        <v>725462.96296296292</v>
      </c>
      <c r="X303" s="38">
        <f t="shared" si="24"/>
        <v>0.40512685185185121</v>
      </c>
      <c r="Y303" s="39">
        <f t="shared" si="25"/>
        <v>1.4509259259259258E-3</v>
      </c>
      <c r="Z303" s="39">
        <f t="shared" si="29"/>
        <v>3.5942840103676921E-3</v>
      </c>
      <c r="AA303" s="41">
        <f t="shared" si="26"/>
        <v>297436574.07407439</v>
      </c>
      <c r="AB303" s="39">
        <f t="shared" si="27"/>
        <v>2.4390509648026396E-3</v>
      </c>
      <c r="AC303" s="38">
        <f t="shared" si="28"/>
        <v>0.43937534747694512</v>
      </c>
      <c r="AD303" s="3"/>
    </row>
    <row r="304" spans="1:30" x14ac:dyDescent="0.25">
      <c r="A304" s="37">
        <v>45940</v>
      </c>
      <c r="B304" s="41">
        <v>4588888.8888888927</v>
      </c>
      <c r="C304" s="41">
        <v>35185.185185185182</v>
      </c>
      <c r="D304" s="41">
        <v>15958333.3333333</v>
      </c>
      <c r="E304" s="41">
        <v>131944.44444444441</v>
      </c>
      <c r="F304" s="41">
        <v>23874999.99999994</v>
      </c>
      <c r="G304" s="41">
        <v>131944.44444444441</v>
      </c>
      <c r="H304" s="41">
        <v>50000000</v>
      </c>
      <c r="I304" s="41">
        <v>0</v>
      </c>
      <c r="J304" s="41">
        <v>0</v>
      </c>
      <c r="K304" s="41">
        <v>0</v>
      </c>
      <c r="L304" s="41">
        <v>2833333.3333333372</v>
      </c>
      <c r="M304" s="41">
        <v>27777.777777777781</v>
      </c>
      <c r="N304" s="41">
        <v>25950000.000000089</v>
      </c>
      <c r="O304" s="41">
        <v>79166.666666666672</v>
      </c>
      <c r="P304" s="41">
        <v>61999999.999999687</v>
      </c>
      <c r="Q304" s="41">
        <v>166666.66666666669</v>
      </c>
      <c r="R304" s="41">
        <v>11472222.2222222</v>
      </c>
      <c r="S304" s="41">
        <v>87962.962962962964</v>
      </c>
      <c r="T304" s="41">
        <v>6611111.1111110952</v>
      </c>
      <c r="U304" s="41">
        <v>64814.814814814818</v>
      </c>
      <c r="V304" s="41">
        <v>203288888.8888886</v>
      </c>
      <c r="W304" s="41">
        <v>725462.96296296292</v>
      </c>
      <c r="X304" s="38">
        <f t="shared" si="24"/>
        <v>0.40657777777777721</v>
      </c>
      <c r="Y304" s="39">
        <f t="shared" si="25"/>
        <v>1.4509259259259258E-3</v>
      </c>
      <c r="Z304" s="39">
        <f t="shared" si="29"/>
        <v>3.5814114006358371E-3</v>
      </c>
      <c r="AA304" s="41">
        <f t="shared" si="26"/>
        <v>296711111.1111114</v>
      </c>
      <c r="AB304" s="39">
        <f t="shared" si="27"/>
        <v>2.4450144797283778E-3</v>
      </c>
      <c r="AC304" s="38">
        <f t="shared" si="28"/>
        <v>0.43881723812519435</v>
      </c>
      <c r="AD304" s="3"/>
    </row>
    <row r="305" spans="1:30" x14ac:dyDescent="0.25">
      <c r="A305" s="37">
        <v>45941</v>
      </c>
      <c r="B305" s="41">
        <v>4624074.0740740784</v>
      </c>
      <c r="C305" s="41">
        <v>35185.185185185182</v>
      </c>
      <c r="D305" s="41">
        <v>16090277.777777741</v>
      </c>
      <c r="E305" s="41">
        <v>131944.44444444441</v>
      </c>
      <c r="F305" s="41">
        <v>24006944.444444381</v>
      </c>
      <c r="G305" s="41">
        <v>131944.44444444441</v>
      </c>
      <c r="H305" s="41">
        <v>50000000</v>
      </c>
      <c r="I305" s="41">
        <v>0</v>
      </c>
      <c r="J305" s="41">
        <v>0</v>
      </c>
      <c r="K305" s="41">
        <v>0</v>
      </c>
      <c r="L305" s="41">
        <v>2861111.1111111152</v>
      </c>
      <c r="M305" s="41">
        <v>27777.777777777781</v>
      </c>
      <c r="N305" s="41">
        <v>26029166.66666675</v>
      </c>
      <c r="O305" s="41">
        <v>79166.666666666672</v>
      </c>
      <c r="P305" s="41">
        <v>62166666.666666359</v>
      </c>
      <c r="Q305" s="41">
        <v>166666.66666666669</v>
      </c>
      <c r="R305" s="41">
        <v>11560185.18518517</v>
      </c>
      <c r="S305" s="41">
        <v>87962.962962962964</v>
      </c>
      <c r="T305" s="41">
        <v>6675925.9259259095</v>
      </c>
      <c r="U305" s="41">
        <v>64814.814814814818</v>
      </c>
      <c r="V305" s="41">
        <v>204014351.85185149</v>
      </c>
      <c r="W305" s="41">
        <v>725462.96296296292</v>
      </c>
      <c r="X305" s="38">
        <f t="shared" si="24"/>
        <v>0.40802870370370298</v>
      </c>
      <c r="Y305" s="39">
        <f t="shared" si="25"/>
        <v>1.4509259259259258E-3</v>
      </c>
      <c r="Z305" s="39">
        <f t="shared" si="29"/>
        <v>3.5686306660836662E-3</v>
      </c>
      <c r="AA305" s="41">
        <f t="shared" si="26"/>
        <v>295985648.14814854</v>
      </c>
      <c r="AB305" s="39">
        <f t="shared" si="27"/>
        <v>2.451007227890488E-3</v>
      </c>
      <c r="AC305" s="38">
        <f t="shared" si="28"/>
        <v>0.43826352601740709</v>
      </c>
      <c r="AD305" s="3"/>
    </row>
    <row r="306" spans="1:30" x14ac:dyDescent="0.25">
      <c r="A306" s="37">
        <v>45942</v>
      </c>
      <c r="B306" s="41">
        <v>4659259.259259264</v>
      </c>
      <c r="C306" s="41">
        <v>35185.185185185182</v>
      </c>
      <c r="D306" s="41">
        <v>16222222.222222179</v>
      </c>
      <c r="E306" s="41">
        <v>131944.44444444441</v>
      </c>
      <c r="F306" s="41">
        <v>24138888.888888828</v>
      </c>
      <c r="G306" s="41">
        <v>131944.44444444441</v>
      </c>
      <c r="H306" s="41">
        <v>50000000</v>
      </c>
      <c r="I306" s="41">
        <v>0</v>
      </c>
      <c r="J306" s="41">
        <v>0</v>
      </c>
      <c r="K306" s="41">
        <v>0</v>
      </c>
      <c r="L306" s="41">
        <v>2888888.8888888932</v>
      </c>
      <c r="M306" s="41">
        <v>27777.777777777781</v>
      </c>
      <c r="N306" s="41">
        <v>26108333.333333421</v>
      </c>
      <c r="O306" s="41">
        <v>79166.666666666672</v>
      </c>
      <c r="P306" s="41">
        <v>62333333.333333023</v>
      </c>
      <c r="Q306" s="41">
        <v>166666.66666666669</v>
      </c>
      <c r="R306" s="41">
        <v>11648148.148148131</v>
      </c>
      <c r="S306" s="41">
        <v>87962.962962962964</v>
      </c>
      <c r="T306" s="41">
        <v>6740740.7407407239</v>
      </c>
      <c r="U306" s="41">
        <v>64814.814814814818</v>
      </c>
      <c r="V306" s="41">
        <v>204739814.81481439</v>
      </c>
      <c r="W306" s="41">
        <v>725462.96296296292</v>
      </c>
      <c r="X306" s="38">
        <f t="shared" si="24"/>
        <v>0.40947962962962881</v>
      </c>
      <c r="Y306" s="39">
        <f t="shared" si="25"/>
        <v>1.4509259259259258E-3</v>
      </c>
      <c r="Z306" s="39">
        <f t="shared" si="29"/>
        <v>3.5559408266030729E-3</v>
      </c>
      <c r="AA306" s="41">
        <f t="shared" si="26"/>
        <v>295260185.18518561</v>
      </c>
      <c r="AB306" s="39">
        <f t="shared" si="27"/>
        <v>2.4570294247697379E-3</v>
      </c>
      <c r="AC306" s="38">
        <f t="shared" si="28"/>
        <v>0.43771415938985114</v>
      </c>
      <c r="AD306" s="3"/>
    </row>
    <row r="307" spans="1:30" x14ac:dyDescent="0.25">
      <c r="A307" s="37">
        <v>45943</v>
      </c>
      <c r="B307" s="41">
        <v>4694444.4444444496</v>
      </c>
      <c r="C307" s="41">
        <v>35185.185185185182</v>
      </c>
      <c r="D307" s="41">
        <v>16354166.666666631</v>
      </c>
      <c r="E307" s="41">
        <v>131944.44444444441</v>
      </c>
      <c r="F307" s="41">
        <v>24270833.333333269</v>
      </c>
      <c r="G307" s="41">
        <v>131944.44444444441</v>
      </c>
      <c r="H307" s="41">
        <v>50000000</v>
      </c>
      <c r="I307" s="41">
        <v>0</v>
      </c>
      <c r="J307" s="41">
        <v>0</v>
      </c>
      <c r="K307" s="41">
        <v>0</v>
      </c>
      <c r="L307" s="41">
        <v>2916666.6666666712</v>
      </c>
      <c r="M307" s="41">
        <v>27777.777777777781</v>
      </c>
      <c r="N307" s="41">
        <v>26187500.000000089</v>
      </c>
      <c r="O307" s="41">
        <v>79166.666666666672</v>
      </c>
      <c r="P307" s="41">
        <v>62499999.999999687</v>
      </c>
      <c r="Q307" s="41">
        <v>166666.66666666669</v>
      </c>
      <c r="R307" s="41">
        <v>11736111.11111109</v>
      </c>
      <c r="S307" s="41">
        <v>87962.962962962964</v>
      </c>
      <c r="T307" s="41">
        <v>6805555.5555555383</v>
      </c>
      <c r="U307" s="41">
        <v>64814.814814814818</v>
      </c>
      <c r="V307" s="41">
        <v>205465277.77777749</v>
      </c>
      <c r="W307" s="41">
        <v>725462.96296296292</v>
      </c>
      <c r="X307" s="38">
        <f t="shared" si="24"/>
        <v>0.41093055555555497</v>
      </c>
      <c r="Y307" s="39">
        <f t="shared" si="25"/>
        <v>1.4509259259259258E-3</v>
      </c>
      <c r="Z307" s="39">
        <f t="shared" si="29"/>
        <v>3.5433409159773767E-3</v>
      </c>
      <c r="AA307" s="41">
        <f t="shared" si="26"/>
        <v>294534722.22222251</v>
      </c>
      <c r="AB307" s="39">
        <f t="shared" si="27"/>
        <v>2.4630812879698808E-3</v>
      </c>
      <c r="AC307" s="38">
        <f t="shared" si="28"/>
        <v>0.43716908728809217</v>
      </c>
      <c r="AD307" s="3"/>
    </row>
    <row r="308" spans="1:30" x14ac:dyDescent="0.25">
      <c r="A308" s="37">
        <v>45944</v>
      </c>
      <c r="B308" s="41">
        <v>4729629.6296296353</v>
      </c>
      <c r="C308" s="41">
        <v>35185.185185185182</v>
      </c>
      <c r="D308" s="41">
        <v>16486111.111111069</v>
      </c>
      <c r="E308" s="41">
        <v>131944.44444444441</v>
      </c>
      <c r="F308" s="41">
        <v>24402777.77777772</v>
      </c>
      <c r="G308" s="41">
        <v>131944.44444444441</v>
      </c>
      <c r="H308" s="41">
        <v>50000000</v>
      </c>
      <c r="I308" s="41">
        <v>0</v>
      </c>
      <c r="J308" s="41">
        <v>0</v>
      </c>
      <c r="K308" s="41">
        <v>0</v>
      </c>
      <c r="L308" s="41">
        <v>2944444.4444444492</v>
      </c>
      <c r="M308" s="41">
        <v>27777.777777777781</v>
      </c>
      <c r="N308" s="41">
        <v>26266666.666666761</v>
      </c>
      <c r="O308" s="41">
        <v>79166.666666666672</v>
      </c>
      <c r="P308" s="41">
        <v>62666666.666666351</v>
      </c>
      <c r="Q308" s="41">
        <v>166666.66666666669</v>
      </c>
      <c r="R308" s="41">
        <v>11824074.07407405</v>
      </c>
      <c r="S308" s="41">
        <v>87962.962962962964</v>
      </c>
      <c r="T308" s="41">
        <v>6870370.3703703526</v>
      </c>
      <c r="U308" s="41">
        <v>64814.814814814818</v>
      </c>
      <c r="V308" s="41">
        <v>206190740.74074039</v>
      </c>
      <c r="W308" s="41">
        <v>725462.96296296292</v>
      </c>
      <c r="X308" s="38">
        <f t="shared" si="24"/>
        <v>0.41238148148148079</v>
      </c>
      <c r="Y308" s="39">
        <f t="shared" si="25"/>
        <v>1.4509259259259258E-3</v>
      </c>
      <c r="Z308" s="39">
        <f t="shared" si="29"/>
        <v>3.5308299816360837E-3</v>
      </c>
      <c r="AA308" s="41">
        <f t="shared" si="26"/>
        <v>293809259.25925958</v>
      </c>
      <c r="AB308" s="39">
        <f t="shared" si="27"/>
        <v>2.4691630372438629E-3</v>
      </c>
      <c r="AC308" s="38">
        <f t="shared" si="28"/>
        <v>0.43662825955124113</v>
      </c>
      <c r="AD308" s="3"/>
    </row>
    <row r="309" spans="1:30" x14ac:dyDescent="0.25">
      <c r="A309" s="37">
        <v>45945</v>
      </c>
      <c r="B309" s="41">
        <v>4764814.8148148209</v>
      </c>
      <c r="C309" s="41">
        <v>35185.185185185182</v>
      </c>
      <c r="D309" s="41">
        <v>16618055.555555521</v>
      </c>
      <c r="E309" s="41">
        <v>131944.44444444441</v>
      </c>
      <c r="F309" s="41">
        <v>24534722.222222161</v>
      </c>
      <c r="G309" s="41">
        <v>131944.44444444441</v>
      </c>
      <c r="H309" s="41">
        <v>50000000</v>
      </c>
      <c r="I309" s="41">
        <v>0</v>
      </c>
      <c r="J309" s="41">
        <v>0</v>
      </c>
      <c r="K309" s="41">
        <v>0</v>
      </c>
      <c r="L309" s="41">
        <v>2972222.2222222271</v>
      </c>
      <c r="M309" s="41">
        <v>27777.777777777781</v>
      </c>
      <c r="N309" s="41">
        <v>26345833.333333429</v>
      </c>
      <c r="O309" s="41">
        <v>79166.666666666672</v>
      </c>
      <c r="P309" s="41">
        <v>62833333.333333023</v>
      </c>
      <c r="Q309" s="41">
        <v>166666.66666666669</v>
      </c>
      <c r="R309" s="41">
        <v>11912037.037037021</v>
      </c>
      <c r="S309" s="41">
        <v>87962.962962962964</v>
      </c>
      <c r="T309" s="41">
        <v>6935185.185185167</v>
      </c>
      <c r="U309" s="41">
        <v>64814.814814814818</v>
      </c>
      <c r="V309" s="41">
        <v>206916203.70370331</v>
      </c>
      <c r="W309" s="41">
        <v>725462.96296296292</v>
      </c>
      <c r="X309" s="38">
        <f t="shared" si="24"/>
        <v>0.41383240740740662</v>
      </c>
      <c r="Y309" s="39">
        <f t="shared" si="25"/>
        <v>1.4509259259259258E-3</v>
      </c>
      <c r="Z309" s="39">
        <f t="shared" si="29"/>
        <v>3.5184070844148322E-3</v>
      </c>
      <c r="AA309" s="41">
        <f t="shared" si="26"/>
        <v>293083796.29629672</v>
      </c>
      <c r="AB309" s="39">
        <f t="shared" si="27"/>
        <v>2.4752748945204295E-3</v>
      </c>
      <c r="AC309" s="38">
        <f t="shared" si="28"/>
        <v>0.43609162679656255</v>
      </c>
      <c r="AD309" s="3"/>
    </row>
    <row r="310" spans="1:30" x14ac:dyDescent="0.25">
      <c r="A310" s="37">
        <v>45946</v>
      </c>
      <c r="B310" s="41">
        <v>4800000.0000000075</v>
      </c>
      <c r="C310" s="41">
        <v>35185.185185185182</v>
      </c>
      <c r="D310" s="41">
        <v>16749999.999999961</v>
      </c>
      <c r="E310" s="41">
        <v>131944.44444444441</v>
      </c>
      <c r="F310" s="41">
        <v>24666666.666666601</v>
      </c>
      <c r="G310" s="41">
        <v>131944.44444444441</v>
      </c>
      <c r="H310" s="41">
        <v>50000000</v>
      </c>
      <c r="I310" s="41">
        <v>0</v>
      </c>
      <c r="J310" s="41">
        <v>0</v>
      </c>
      <c r="K310" s="41">
        <v>0</v>
      </c>
      <c r="L310" s="41">
        <v>3000000.0000000051</v>
      </c>
      <c r="M310" s="41">
        <v>27777.777777777781</v>
      </c>
      <c r="N310" s="41">
        <v>26425000.000000089</v>
      </c>
      <c r="O310" s="41">
        <v>79166.666666666672</v>
      </c>
      <c r="P310" s="41">
        <v>62999999.99999968</v>
      </c>
      <c r="Q310" s="41">
        <v>166666.66666666669</v>
      </c>
      <c r="R310" s="41">
        <v>11999999.99999998</v>
      </c>
      <c r="S310" s="41">
        <v>87962.962962962964</v>
      </c>
      <c r="T310" s="41">
        <v>6999999.9999999814</v>
      </c>
      <c r="U310" s="41">
        <v>64814.814814814818</v>
      </c>
      <c r="V310" s="41">
        <v>207641666.6666663</v>
      </c>
      <c r="W310" s="41">
        <v>725462.96296296292</v>
      </c>
      <c r="X310" s="38">
        <f t="shared" si="24"/>
        <v>0.41528333333333262</v>
      </c>
      <c r="Y310" s="39">
        <f t="shared" si="25"/>
        <v>1.4509259259259258E-3</v>
      </c>
      <c r="Z310" s="39">
        <f t="shared" si="29"/>
        <v>3.5060712983203588E-3</v>
      </c>
      <c r="AA310" s="41">
        <f t="shared" si="26"/>
        <v>292358333.33333373</v>
      </c>
      <c r="AB310" s="39">
        <f t="shared" si="27"/>
        <v>2.4814170839311187E-3</v>
      </c>
      <c r="AC310" s="38">
        <f t="shared" si="28"/>
        <v>0.43555914040444565</v>
      </c>
      <c r="AD310" s="3"/>
    </row>
    <row r="311" spans="1:30" x14ac:dyDescent="0.25">
      <c r="A311" s="37">
        <v>45947</v>
      </c>
      <c r="B311" s="41">
        <v>4835185.1851851922</v>
      </c>
      <c r="C311" s="41">
        <v>35185.185185185182</v>
      </c>
      <c r="D311" s="41">
        <v>16881944.444444411</v>
      </c>
      <c r="E311" s="41">
        <v>131944.44444444441</v>
      </c>
      <c r="F311" s="41">
        <v>24798611.111111049</v>
      </c>
      <c r="G311" s="41">
        <v>131944.44444444441</v>
      </c>
      <c r="H311" s="41">
        <v>50000000</v>
      </c>
      <c r="I311" s="41">
        <v>0</v>
      </c>
      <c r="J311" s="41">
        <v>0</v>
      </c>
      <c r="K311" s="41">
        <v>0</v>
      </c>
      <c r="L311" s="41">
        <v>3027777.7777777831</v>
      </c>
      <c r="M311" s="41">
        <v>27777.777777777781</v>
      </c>
      <c r="N311" s="41">
        <v>26504166.666666761</v>
      </c>
      <c r="O311" s="41">
        <v>79166.666666666672</v>
      </c>
      <c r="P311" s="41">
        <v>63166666.666666336</v>
      </c>
      <c r="Q311" s="41">
        <v>166666.66666666669</v>
      </c>
      <c r="R311" s="41">
        <v>12087962.96296294</v>
      </c>
      <c r="S311" s="41">
        <v>87962.962962962964</v>
      </c>
      <c r="T311" s="41">
        <v>7064814.8148147957</v>
      </c>
      <c r="U311" s="41">
        <v>64814.814814814818</v>
      </c>
      <c r="V311" s="41">
        <v>208367129.62962931</v>
      </c>
      <c r="W311" s="41">
        <v>725462.96296296292</v>
      </c>
      <c r="X311" s="38">
        <f t="shared" si="24"/>
        <v>0.41673425925925861</v>
      </c>
      <c r="Y311" s="39">
        <f t="shared" si="25"/>
        <v>1.4509259259259258E-3</v>
      </c>
      <c r="Z311" s="39">
        <f t="shared" si="29"/>
        <v>3.4938217103004255E-3</v>
      </c>
      <c r="AA311" s="41">
        <f t="shared" si="26"/>
        <v>291632870.37037069</v>
      </c>
      <c r="AB311" s="39">
        <f t="shared" si="27"/>
        <v>2.4875898318376544E-3</v>
      </c>
      <c r="AC311" s="38">
        <f t="shared" si="28"/>
        <v>0.43503075250372014</v>
      </c>
      <c r="AD311" s="3"/>
    </row>
    <row r="312" spans="1:30" x14ac:dyDescent="0.25">
      <c r="A312" s="37">
        <v>45948</v>
      </c>
      <c r="B312" s="41">
        <v>4870370.3703703778</v>
      </c>
      <c r="C312" s="41">
        <v>35185.185185185182</v>
      </c>
      <c r="D312" s="41">
        <v>17013888.888888851</v>
      </c>
      <c r="E312" s="41">
        <v>131944.44444444441</v>
      </c>
      <c r="F312" s="41">
        <v>24930555.555555489</v>
      </c>
      <c r="G312" s="41">
        <v>131944.44444444441</v>
      </c>
      <c r="H312" s="41">
        <v>50000000</v>
      </c>
      <c r="I312" s="41">
        <v>0</v>
      </c>
      <c r="J312" s="41">
        <v>0</v>
      </c>
      <c r="K312" s="41">
        <v>0</v>
      </c>
      <c r="L312" s="41">
        <v>3055555.5555555611</v>
      </c>
      <c r="M312" s="41">
        <v>27777.777777777781</v>
      </c>
      <c r="N312" s="41">
        <v>26583333.333333429</v>
      </c>
      <c r="O312" s="41">
        <v>79166.666666666672</v>
      </c>
      <c r="P312" s="41">
        <v>63333333.333333008</v>
      </c>
      <c r="Q312" s="41">
        <v>166666.66666666669</v>
      </c>
      <c r="R312" s="41">
        <v>12175925.925925899</v>
      </c>
      <c r="S312" s="41">
        <v>87962.962962962964</v>
      </c>
      <c r="T312" s="41">
        <v>7129629.6296296101</v>
      </c>
      <c r="U312" s="41">
        <v>64814.814814814818</v>
      </c>
      <c r="V312" s="41">
        <v>209092592.59259221</v>
      </c>
      <c r="W312" s="41">
        <v>725462.96296296292</v>
      </c>
      <c r="X312" s="38">
        <f t="shared" si="24"/>
        <v>0.41818518518518444</v>
      </c>
      <c r="Y312" s="39">
        <f t="shared" si="25"/>
        <v>1.4509259259259258E-3</v>
      </c>
      <c r="Z312" s="39">
        <f t="shared" si="29"/>
        <v>3.4816574200185356E-3</v>
      </c>
      <c r="AA312" s="41">
        <f t="shared" si="26"/>
        <v>290907407.40740776</v>
      </c>
      <c r="AB312" s="39">
        <f t="shared" si="27"/>
        <v>2.4937933668597589E-3</v>
      </c>
      <c r="AC312" s="38">
        <f t="shared" si="28"/>
        <v>0.4345064159573096</v>
      </c>
      <c r="AD312" s="3"/>
    </row>
    <row r="313" spans="1:30" x14ac:dyDescent="0.25">
      <c r="A313" s="37">
        <v>45949</v>
      </c>
      <c r="B313" s="41">
        <v>4905555.5555555634</v>
      </c>
      <c r="C313" s="41">
        <v>35185.185185185182</v>
      </c>
      <c r="D313" s="41">
        <v>17145833.333333291</v>
      </c>
      <c r="E313" s="41">
        <v>131944.44444444441</v>
      </c>
      <c r="F313" s="41">
        <v>25062499.99999994</v>
      </c>
      <c r="G313" s="41">
        <v>131944.44444444441</v>
      </c>
      <c r="H313" s="41">
        <v>50000000</v>
      </c>
      <c r="I313" s="41">
        <v>0</v>
      </c>
      <c r="J313" s="41">
        <v>0</v>
      </c>
      <c r="K313" s="41">
        <v>0</v>
      </c>
      <c r="L313" s="41">
        <v>3083333.3333333391</v>
      </c>
      <c r="M313" s="41">
        <v>27777.777777777781</v>
      </c>
      <c r="N313" s="41">
        <v>26662500.000000101</v>
      </c>
      <c r="O313" s="41">
        <v>79166.666666666672</v>
      </c>
      <c r="P313" s="41">
        <v>63499999.999999672</v>
      </c>
      <c r="Q313" s="41">
        <v>166666.66666666669</v>
      </c>
      <c r="R313" s="41">
        <v>12263888.888888869</v>
      </c>
      <c r="S313" s="41">
        <v>87962.962962962964</v>
      </c>
      <c r="T313" s="41">
        <v>7194444.4444444235</v>
      </c>
      <c r="U313" s="41">
        <v>64814.814814814818</v>
      </c>
      <c r="V313" s="41">
        <v>209818055.55555519</v>
      </c>
      <c r="W313" s="41">
        <v>725462.96296296292</v>
      </c>
      <c r="X313" s="38">
        <f t="shared" si="24"/>
        <v>0.41963611111111038</v>
      </c>
      <c r="Y313" s="39">
        <f t="shared" si="25"/>
        <v>1.4509259259259258E-3</v>
      </c>
      <c r="Z313" s="39">
        <f t="shared" si="29"/>
        <v>3.4695775396333425E-3</v>
      </c>
      <c r="AA313" s="41">
        <f t="shared" si="26"/>
        <v>290181944.44444478</v>
      </c>
      <c r="AB313" s="39">
        <f t="shared" si="27"/>
        <v>2.500027919903378E-3</v>
      </c>
      <c r="AC313" s="38">
        <f t="shared" si="28"/>
        <v>0.4339860843482119</v>
      </c>
      <c r="AD313" s="3"/>
    </row>
    <row r="314" spans="1:30" x14ac:dyDescent="0.25">
      <c r="A314" s="37">
        <v>45950</v>
      </c>
      <c r="B314" s="41">
        <v>4940740.7407407491</v>
      </c>
      <c r="C314" s="41">
        <v>35185.185185185182</v>
      </c>
      <c r="D314" s="41">
        <v>17277777.777777739</v>
      </c>
      <c r="E314" s="41">
        <v>131944.44444444441</v>
      </c>
      <c r="F314" s="41">
        <v>25194444.444444381</v>
      </c>
      <c r="G314" s="41">
        <v>131944.44444444441</v>
      </c>
      <c r="H314" s="41">
        <v>50000000</v>
      </c>
      <c r="I314" s="41">
        <v>0</v>
      </c>
      <c r="J314" s="41">
        <v>0</v>
      </c>
      <c r="K314" s="41">
        <v>0</v>
      </c>
      <c r="L314" s="41">
        <v>3111111.1111111171</v>
      </c>
      <c r="M314" s="41">
        <v>27777.777777777781</v>
      </c>
      <c r="N314" s="41">
        <v>26741666.666666761</v>
      </c>
      <c r="O314" s="41">
        <v>79166.666666666672</v>
      </c>
      <c r="P314" s="41">
        <v>63666666.666666336</v>
      </c>
      <c r="Q314" s="41">
        <v>166666.66666666669</v>
      </c>
      <c r="R314" s="41">
        <v>12351851.85185183</v>
      </c>
      <c r="S314" s="41">
        <v>87962.962962962964</v>
      </c>
      <c r="T314" s="41">
        <v>7259259.2592592388</v>
      </c>
      <c r="U314" s="41">
        <v>64814.814814814818</v>
      </c>
      <c r="V314" s="41">
        <v>210543518.51851809</v>
      </c>
      <c r="W314" s="41">
        <v>725462.96296296292</v>
      </c>
      <c r="X314" s="38">
        <f t="shared" si="24"/>
        <v>0.4210870370370362</v>
      </c>
      <c r="Y314" s="39">
        <f t="shared" si="25"/>
        <v>1.4509259259259258E-3</v>
      </c>
      <c r="Z314" s="39">
        <f t="shared" si="29"/>
        <v>3.457581193582629E-3</v>
      </c>
      <c r="AA314" s="41">
        <f t="shared" si="26"/>
        <v>289456481.48148191</v>
      </c>
      <c r="AB314" s="39">
        <f t="shared" si="27"/>
        <v>2.5062937241893293E-3</v>
      </c>
      <c r="AC314" s="38">
        <f t="shared" si="28"/>
        <v>0.43346971196580458</v>
      </c>
      <c r="AD314" s="3"/>
    </row>
    <row r="315" spans="1:30" x14ac:dyDescent="0.25">
      <c r="A315" s="37">
        <v>45951</v>
      </c>
      <c r="B315" s="41">
        <v>4975925.9259259347</v>
      </c>
      <c r="C315" s="41">
        <v>35185.185185185182</v>
      </c>
      <c r="D315" s="41">
        <v>17409722.222222179</v>
      </c>
      <c r="E315" s="41">
        <v>131944.44444444441</v>
      </c>
      <c r="F315" s="41">
        <v>25326388.888888821</v>
      </c>
      <c r="G315" s="41">
        <v>131944.44444444441</v>
      </c>
      <c r="H315" s="41">
        <v>50000000</v>
      </c>
      <c r="I315" s="41">
        <v>0</v>
      </c>
      <c r="J315" s="41">
        <v>0</v>
      </c>
      <c r="K315" s="41">
        <v>0</v>
      </c>
      <c r="L315" s="41">
        <v>3138888.888888895</v>
      </c>
      <c r="M315" s="41">
        <v>27777.777777777781</v>
      </c>
      <c r="N315" s="41">
        <v>26820833.333333429</v>
      </c>
      <c r="O315" s="41">
        <v>79166.666666666672</v>
      </c>
      <c r="P315" s="41">
        <v>63833333.333333001</v>
      </c>
      <c r="Q315" s="41">
        <v>166666.66666666669</v>
      </c>
      <c r="R315" s="41">
        <v>12439814.814814789</v>
      </c>
      <c r="S315" s="41">
        <v>87962.962962962964</v>
      </c>
      <c r="T315" s="41">
        <v>7324074.0740740532</v>
      </c>
      <c r="U315" s="41">
        <v>64814.814814814818</v>
      </c>
      <c r="V315" s="41">
        <v>211268981.48148111</v>
      </c>
      <c r="W315" s="41">
        <v>725462.96296296292</v>
      </c>
      <c r="X315" s="38">
        <f t="shared" si="24"/>
        <v>0.4225379629629622</v>
      </c>
      <c r="Y315" s="39">
        <f t="shared" si="25"/>
        <v>1.4509259259259258E-3</v>
      </c>
      <c r="Z315" s="39">
        <f t="shared" si="29"/>
        <v>3.4456675183717695E-3</v>
      </c>
      <c r="AA315" s="41">
        <f t="shared" si="26"/>
        <v>288731018.51851892</v>
      </c>
      <c r="AB315" s="39">
        <f t="shared" si="27"/>
        <v>2.5125910152823863E-3</v>
      </c>
      <c r="AC315" s="38">
        <f t="shared" si="28"/>
        <v>0.43295725379245592</v>
      </c>
      <c r="AD315" s="3"/>
    </row>
    <row r="316" spans="1:30" x14ac:dyDescent="0.25">
      <c r="A316" s="37">
        <v>45952</v>
      </c>
      <c r="B316" s="41">
        <v>5011111.1111111203</v>
      </c>
      <c r="C316" s="41">
        <v>35185.185185185182</v>
      </c>
      <c r="D316" s="41">
        <v>17541666.666666631</v>
      </c>
      <c r="E316" s="41">
        <v>131944.44444444441</v>
      </c>
      <c r="F316" s="41">
        <v>25458333.333333269</v>
      </c>
      <c r="G316" s="41">
        <v>131944.44444444441</v>
      </c>
      <c r="H316" s="41">
        <v>50000000</v>
      </c>
      <c r="I316" s="41">
        <v>0</v>
      </c>
      <c r="J316" s="41">
        <v>0</v>
      </c>
      <c r="K316" s="41">
        <v>0</v>
      </c>
      <c r="L316" s="41">
        <v>3166666.666666673</v>
      </c>
      <c r="M316" s="41">
        <v>27777.777777777781</v>
      </c>
      <c r="N316" s="41">
        <v>26900000.000000101</v>
      </c>
      <c r="O316" s="41">
        <v>79166.666666666672</v>
      </c>
      <c r="P316" s="41">
        <v>63999999.999999657</v>
      </c>
      <c r="Q316" s="41">
        <v>166666.66666666669</v>
      </c>
      <c r="R316" s="41">
        <v>12527777.777777759</v>
      </c>
      <c r="S316" s="41">
        <v>87962.962962962964</v>
      </c>
      <c r="T316" s="41">
        <v>7388888.8888888676</v>
      </c>
      <c r="U316" s="41">
        <v>64814.814814814818</v>
      </c>
      <c r="V316" s="41">
        <v>211994444.44444409</v>
      </c>
      <c r="W316" s="41">
        <v>725462.96296296292</v>
      </c>
      <c r="X316" s="38">
        <f t="shared" si="24"/>
        <v>0.42398888888888819</v>
      </c>
      <c r="Y316" s="39">
        <f t="shared" si="25"/>
        <v>1.4509259259259258E-3</v>
      </c>
      <c r="Z316" s="39">
        <f t="shared" si="29"/>
        <v>3.4338356623665259E-3</v>
      </c>
      <c r="AA316" s="41">
        <f t="shared" si="26"/>
        <v>288005555.55555594</v>
      </c>
      <c r="AB316" s="39">
        <f t="shared" si="27"/>
        <v>2.5189200311207952E-3</v>
      </c>
      <c r="AC316" s="38">
        <f t="shared" si="28"/>
        <v>0.43244866549044408</v>
      </c>
      <c r="AD316" s="3"/>
    </row>
    <row r="317" spans="1:30" x14ac:dyDescent="0.25">
      <c r="A317" s="37">
        <v>45953</v>
      </c>
      <c r="B317" s="41">
        <v>5046296.296296306</v>
      </c>
      <c r="C317" s="41">
        <v>35185.185185185182</v>
      </c>
      <c r="D317" s="41">
        <v>17673611.111111071</v>
      </c>
      <c r="E317" s="41">
        <v>131944.44444444441</v>
      </c>
      <c r="F317" s="41">
        <v>25590277.777777709</v>
      </c>
      <c r="G317" s="41">
        <v>131944.44444444441</v>
      </c>
      <c r="H317" s="41">
        <v>50000000</v>
      </c>
      <c r="I317" s="41">
        <v>0</v>
      </c>
      <c r="J317" s="41">
        <v>0</v>
      </c>
      <c r="K317" s="41">
        <v>0</v>
      </c>
      <c r="L317" s="41">
        <v>3194444.444444451</v>
      </c>
      <c r="M317" s="41">
        <v>27777.777777777781</v>
      </c>
      <c r="N317" s="41">
        <v>26979166.666666768</v>
      </c>
      <c r="O317" s="41">
        <v>79166.666666666672</v>
      </c>
      <c r="P317" s="41">
        <v>64166666.666666329</v>
      </c>
      <c r="Q317" s="41">
        <v>166666.66666666669</v>
      </c>
      <c r="R317" s="41">
        <v>12615740.74074072</v>
      </c>
      <c r="S317" s="41">
        <v>87962.962962962964</v>
      </c>
      <c r="T317" s="41">
        <v>7453703.7037036819</v>
      </c>
      <c r="U317" s="41">
        <v>64814.814814814818</v>
      </c>
      <c r="V317" s="41">
        <v>212719907.40740699</v>
      </c>
      <c r="W317" s="41">
        <v>725462.96296296292</v>
      </c>
      <c r="X317" s="38">
        <f t="shared" si="24"/>
        <v>0.42543981481481397</v>
      </c>
      <c r="Y317" s="39">
        <f t="shared" si="25"/>
        <v>1.4509259259259258E-3</v>
      </c>
      <c r="Z317" s="39">
        <f t="shared" si="29"/>
        <v>3.4220847855901239E-3</v>
      </c>
      <c r="AA317" s="41">
        <f t="shared" si="26"/>
        <v>287280092.59259301</v>
      </c>
      <c r="AB317" s="39">
        <f t="shared" si="27"/>
        <v>2.5252810120462471E-3</v>
      </c>
      <c r="AC317" s="38">
        <f t="shared" si="28"/>
        <v>0.43194390338916822</v>
      </c>
      <c r="AD317" s="3"/>
    </row>
    <row r="318" spans="1:30" x14ac:dyDescent="0.25">
      <c r="A318" s="37">
        <v>45954</v>
      </c>
      <c r="B318" s="41">
        <v>5081481.4814814916</v>
      </c>
      <c r="C318" s="41">
        <v>35185.185185185182</v>
      </c>
      <c r="D318" s="41">
        <v>17805555.555555511</v>
      </c>
      <c r="E318" s="41">
        <v>131944.44444444441</v>
      </c>
      <c r="F318" s="41">
        <v>25722222.222222161</v>
      </c>
      <c r="G318" s="41">
        <v>131944.44444444441</v>
      </c>
      <c r="H318" s="41">
        <v>50000000</v>
      </c>
      <c r="I318" s="41">
        <v>0</v>
      </c>
      <c r="J318" s="41">
        <v>0</v>
      </c>
      <c r="K318" s="41">
        <v>0</v>
      </c>
      <c r="L318" s="41">
        <v>3222222.222222229</v>
      </c>
      <c r="M318" s="41">
        <v>27777.777777777781</v>
      </c>
      <c r="N318" s="41">
        <v>27058333.33333344</v>
      </c>
      <c r="O318" s="41">
        <v>79166.666666666672</v>
      </c>
      <c r="P318" s="41">
        <v>64333333.333332993</v>
      </c>
      <c r="Q318" s="41">
        <v>166666.66666666669</v>
      </c>
      <c r="R318" s="41">
        <v>12703703.703703679</v>
      </c>
      <c r="S318" s="41">
        <v>87962.962962962964</v>
      </c>
      <c r="T318" s="41">
        <v>7518518.5185184963</v>
      </c>
      <c r="U318" s="41">
        <v>64814.814814814818</v>
      </c>
      <c r="V318" s="41">
        <v>213445370.37037</v>
      </c>
      <c r="W318" s="41">
        <v>725462.96296296292</v>
      </c>
      <c r="X318" s="38">
        <f t="shared" si="24"/>
        <v>0.42689074074074002</v>
      </c>
      <c r="Y318" s="39">
        <f t="shared" si="25"/>
        <v>1.4509259259259258E-3</v>
      </c>
      <c r="Z318" s="39">
        <f t="shared" si="29"/>
        <v>3.410414059524464E-3</v>
      </c>
      <c r="AA318" s="41">
        <f t="shared" si="26"/>
        <v>286554629.62962997</v>
      </c>
      <c r="AB318" s="39">
        <f t="shared" si="27"/>
        <v>2.5316742008343021E-3</v>
      </c>
      <c r="AC318" s="38">
        <f t="shared" si="28"/>
        <v>0.43144292447264759</v>
      </c>
      <c r="AD318" s="3"/>
    </row>
    <row r="319" spans="1:30" x14ac:dyDescent="0.25">
      <c r="A319" s="37">
        <v>45955</v>
      </c>
      <c r="B319" s="41">
        <v>5116666.6666666772</v>
      </c>
      <c r="C319" s="41">
        <v>35185.185185185182</v>
      </c>
      <c r="D319" s="41">
        <v>17937499.999999959</v>
      </c>
      <c r="E319" s="41">
        <v>131944.44444444441</v>
      </c>
      <c r="F319" s="41">
        <v>25854166.666666601</v>
      </c>
      <c r="G319" s="41">
        <v>131944.44444444441</v>
      </c>
      <c r="H319" s="41">
        <v>50000000</v>
      </c>
      <c r="I319" s="41">
        <v>0</v>
      </c>
      <c r="J319" s="41">
        <v>0</v>
      </c>
      <c r="K319" s="41">
        <v>0</v>
      </c>
      <c r="L319" s="41">
        <v>3250000.000000007</v>
      </c>
      <c r="M319" s="41">
        <v>27777.777777777781</v>
      </c>
      <c r="N319" s="41">
        <v>27137500.000000101</v>
      </c>
      <c r="O319" s="41">
        <v>79166.666666666672</v>
      </c>
      <c r="P319" s="41">
        <v>64499999.999999657</v>
      </c>
      <c r="Q319" s="41">
        <v>166666.66666666669</v>
      </c>
      <c r="R319" s="41">
        <v>12791666.66666664</v>
      </c>
      <c r="S319" s="41">
        <v>87962.962962962964</v>
      </c>
      <c r="T319" s="41">
        <v>7583333.3333333107</v>
      </c>
      <c r="U319" s="41">
        <v>64814.814814814818</v>
      </c>
      <c r="V319" s="41">
        <v>214170833.33333299</v>
      </c>
      <c r="W319" s="41">
        <v>725462.96296296292</v>
      </c>
      <c r="X319" s="38">
        <f t="shared" si="24"/>
        <v>0.42834166666666595</v>
      </c>
      <c r="Y319" s="39">
        <f t="shared" si="25"/>
        <v>1.4509259259259258E-3</v>
      </c>
      <c r="Z319" s="39">
        <f t="shared" si="29"/>
        <v>3.3988226669153842E-3</v>
      </c>
      <c r="AA319" s="41">
        <f t="shared" si="26"/>
        <v>285829166.66666698</v>
      </c>
      <c r="AB319" s="39">
        <f t="shared" si="27"/>
        <v>2.5380998427252718E-3</v>
      </c>
      <c r="AC319" s="38">
        <f t="shared" si="28"/>
        <v>0.43094568636730379</v>
      </c>
      <c r="AD319" s="3"/>
    </row>
    <row r="320" spans="1:30" x14ac:dyDescent="0.25">
      <c r="A320" s="37">
        <v>45956</v>
      </c>
      <c r="B320" s="41">
        <v>5151851.8518518629</v>
      </c>
      <c r="C320" s="41">
        <v>35185.185185185182</v>
      </c>
      <c r="D320" s="41">
        <v>18069444.444444399</v>
      </c>
      <c r="E320" s="41">
        <v>131944.44444444441</v>
      </c>
      <c r="F320" s="41">
        <v>25986111.111111041</v>
      </c>
      <c r="G320" s="41">
        <v>131944.44444444441</v>
      </c>
      <c r="H320" s="41">
        <v>50000000</v>
      </c>
      <c r="I320" s="41">
        <v>0</v>
      </c>
      <c r="J320" s="41">
        <v>0</v>
      </c>
      <c r="K320" s="41">
        <v>0</v>
      </c>
      <c r="L320" s="41">
        <v>3277777.777777785</v>
      </c>
      <c r="M320" s="41">
        <v>27777.777777777781</v>
      </c>
      <c r="N320" s="41">
        <v>27216666.666666768</v>
      </c>
      <c r="O320" s="41">
        <v>79166.666666666672</v>
      </c>
      <c r="P320" s="41">
        <v>64666666.666666321</v>
      </c>
      <c r="Q320" s="41">
        <v>166666.66666666669</v>
      </c>
      <c r="R320" s="41">
        <v>12879629.62962961</v>
      </c>
      <c r="S320" s="41">
        <v>87962.962962962964</v>
      </c>
      <c r="T320" s="41">
        <v>7648148.148148125</v>
      </c>
      <c r="U320" s="41">
        <v>64814.814814814818</v>
      </c>
      <c r="V320" s="41">
        <v>214896296.29629591</v>
      </c>
      <c r="W320" s="41">
        <v>725462.96296296292</v>
      </c>
      <c r="X320" s="38">
        <f t="shared" si="24"/>
        <v>0.42979259259259184</v>
      </c>
      <c r="Y320" s="39">
        <f t="shared" si="25"/>
        <v>1.4509259259259258E-3</v>
      </c>
      <c r="Z320" s="39">
        <f t="shared" si="29"/>
        <v>3.3873098015819027E-3</v>
      </c>
      <c r="AA320" s="41">
        <f t="shared" si="26"/>
        <v>285103703.70370412</v>
      </c>
      <c r="AB320" s="39">
        <f t="shared" si="27"/>
        <v>2.5445581854555807E-3</v>
      </c>
      <c r="AC320" s="38">
        <f t="shared" si="28"/>
        <v>0.43045214733001114</v>
      </c>
      <c r="AD320" s="3"/>
    </row>
    <row r="321" spans="1:30" x14ac:dyDescent="0.25">
      <c r="A321" s="37">
        <v>45957</v>
      </c>
      <c r="B321" s="41">
        <v>5187037.0370370476</v>
      </c>
      <c r="C321" s="41">
        <v>35185.185185185182</v>
      </c>
      <c r="D321" s="41">
        <v>18201388.888888851</v>
      </c>
      <c r="E321" s="41">
        <v>131944.44444444441</v>
      </c>
      <c r="F321" s="41">
        <v>26118055.555555489</v>
      </c>
      <c r="G321" s="41">
        <v>131944.44444444441</v>
      </c>
      <c r="H321" s="41">
        <v>50000000</v>
      </c>
      <c r="I321" s="41">
        <v>0</v>
      </c>
      <c r="J321" s="41">
        <v>0</v>
      </c>
      <c r="K321" s="41">
        <v>0</v>
      </c>
      <c r="L321" s="41">
        <v>3305555.555555563</v>
      </c>
      <c r="M321" s="41">
        <v>27777.777777777781</v>
      </c>
      <c r="N321" s="41">
        <v>27295833.33333344</v>
      </c>
      <c r="O321" s="41">
        <v>79166.666666666672</v>
      </c>
      <c r="P321" s="41">
        <v>64833333.333332993</v>
      </c>
      <c r="Q321" s="41">
        <v>166666.66666666669</v>
      </c>
      <c r="R321" s="41">
        <v>12967592.592592571</v>
      </c>
      <c r="S321" s="41">
        <v>87962.962962962964</v>
      </c>
      <c r="T321" s="41">
        <v>7712962.9629629394</v>
      </c>
      <c r="U321" s="41">
        <v>64814.814814814818</v>
      </c>
      <c r="V321" s="41">
        <v>215621759.2592589</v>
      </c>
      <c r="W321" s="41">
        <v>725462.96296296292</v>
      </c>
      <c r="X321" s="38">
        <f t="shared" si="24"/>
        <v>0.43124351851851778</v>
      </c>
      <c r="Y321" s="39">
        <f t="shared" si="25"/>
        <v>1.4509259259259258E-3</v>
      </c>
      <c r="Z321" s="39">
        <f t="shared" si="29"/>
        <v>3.3758746682292983E-3</v>
      </c>
      <c r="AA321" s="41">
        <f t="shared" si="26"/>
        <v>284378240.74074113</v>
      </c>
      <c r="AB321" s="39">
        <f t="shared" si="27"/>
        <v>2.5510494792896094E-3</v>
      </c>
      <c r="AC321" s="38">
        <f t="shared" si="28"/>
        <v>0.42996226623641565</v>
      </c>
      <c r="AD321" s="3"/>
    </row>
    <row r="322" spans="1:30" x14ac:dyDescent="0.25">
      <c r="A322" s="37">
        <v>45958</v>
      </c>
      <c r="B322" s="41">
        <v>5222222.2222222341</v>
      </c>
      <c r="C322" s="41">
        <v>35185.185185185182</v>
      </c>
      <c r="D322" s="41">
        <v>18333333.333333291</v>
      </c>
      <c r="E322" s="41">
        <v>131944.44444444441</v>
      </c>
      <c r="F322" s="41">
        <v>26249999.999999929</v>
      </c>
      <c r="G322" s="41">
        <v>131944.44444444441</v>
      </c>
      <c r="H322" s="41">
        <v>50000000</v>
      </c>
      <c r="I322" s="41">
        <v>0</v>
      </c>
      <c r="J322" s="41">
        <v>0</v>
      </c>
      <c r="K322" s="41">
        <v>0</v>
      </c>
      <c r="L322" s="41">
        <v>3333333.3333333409</v>
      </c>
      <c r="M322" s="41">
        <v>27777.777777777781</v>
      </c>
      <c r="N322" s="41">
        <v>27375000.000000112</v>
      </c>
      <c r="O322" s="41">
        <v>79166.666666666672</v>
      </c>
      <c r="P322" s="41">
        <v>64999999.99999965</v>
      </c>
      <c r="Q322" s="41">
        <v>166666.66666666669</v>
      </c>
      <c r="R322" s="41">
        <v>13055555.55555553</v>
      </c>
      <c r="S322" s="41">
        <v>87962.962962962964</v>
      </c>
      <c r="T322" s="41">
        <v>7777777.7777777538</v>
      </c>
      <c r="U322" s="41">
        <v>64814.814814814818</v>
      </c>
      <c r="V322" s="41">
        <v>216347222.22222191</v>
      </c>
      <c r="W322" s="41">
        <v>725462.96296296292</v>
      </c>
      <c r="X322" s="38">
        <f t="shared" si="24"/>
        <v>0.43269444444444383</v>
      </c>
      <c r="Y322" s="39">
        <f t="shared" si="25"/>
        <v>1.4509259259259258E-3</v>
      </c>
      <c r="Z322" s="39">
        <f t="shared" si="29"/>
        <v>3.364516482265976E-3</v>
      </c>
      <c r="AA322" s="41">
        <f t="shared" si="26"/>
        <v>283652777.77777809</v>
      </c>
      <c r="AB322" s="39">
        <f t="shared" si="27"/>
        <v>2.5575739770520136E-3</v>
      </c>
      <c r="AC322" s="38">
        <f t="shared" si="28"/>
        <v>0.42947600256951213</v>
      </c>
      <c r="AD322" s="3"/>
    </row>
    <row r="323" spans="1:30" x14ac:dyDescent="0.25">
      <c r="A323" s="37">
        <v>45959</v>
      </c>
      <c r="B323" s="41">
        <v>5257407.4074074198</v>
      </c>
      <c r="C323" s="41">
        <v>35185.185185185182</v>
      </c>
      <c r="D323" s="41">
        <v>18465277.777777739</v>
      </c>
      <c r="E323" s="41">
        <v>131944.44444444441</v>
      </c>
      <c r="F323" s="41">
        <v>26381944.444444381</v>
      </c>
      <c r="G323" s="41">
        <v>131944.44444444441</v>
      </c>
      <c r="H323" s="41">
        <v>50000000</v>
      </c>
      <c r="I323" s="41">
        <v>0</v>
      </c>
      <c r="J323" s="41">
        <v>0</v>
      </c>
      <c r="K323" s="41">
        <v>0</v>
      </c>
      <c r="L323" s="41">
        <v>3361111.1111111189</v>
      </c>
      <c r="M323" s="41">
        <v>27777.777777777781</v>
      </c>
      <c r="N323" s="41">
        <v>27454166.66666678</v>
      </c>
      <c r="O323" s="41">
        <v>79166.666666666672</v>
      </c>
      <c r="P323" s="41">
        <v>65166666.666666307</v>
      </c>
      <c r="Q323" s="41">
        <v>166666.66666666669</v>
      </c>
      <c r="R323" s="41">
        <v>13143518.518518491</v>
      </c>
      <c r="S323" s="41">
        <v>87962.962962962964</v>
      </c>
      <c r="T323" s="41">
        <v>7842592.5925925681</v>
      </c>
      <c r="U323" s="41">
        <v>64814.814814814818</v>
      </c>
      <c r="V323" s="41">
        <v>217072685.18518481</v>
      </c>
      <c r="W323" s="41">
        <v>725462.96296296292</v>
      </c>
      <c r="X323" s="38">
        <f t="shared" si="24"/>
        <v>0.4341453703703696</v>
      </c>
      <c r="Y323" s="39">
        <f t="shared" si="25"/>
        <v>1.4509259259259258E-3</v>
      </c>
      <c r="Z323" s="39">
        <f t="shared" si="29"/>
        <v>3.3532344696240229E-3</v>
      </c>
      <c r="AA323" s="41">
        <f t="shared" si="26"/>
        <v>282927314.81481516</v>
      </c>
      <c r="AB323" s="39">
        <f t="shared" si="27"/>
        <v>2.5641319341605504E-3</v>
      </c>
      <c r="AC323" s="38">
        <f t="shared" si="28"/>
        <v>0.42899331640847388</v>
      </c>
      <c r="AD323" s="3"/>
    </row>
    <row r="324" spans="1:30" x14ac:dyDescent="0.25">
      <c r="A324" s="37">
        <v>45960</v>
      </c>
      <c r="B324" s="41">
        <v>5292592.5925926054</v>
      </c>
      <c r="C324" s="41">
        <v>35185.185185185182</v>
      </c>
      <c r="D324" s="41">
        <v>18597222.222222179</v>
      </c>
      <c r="E324" s="41">
        <v>131944.44444444441</v>
      </c>
      <c r="F324" s="41">
        <v>26513888.888888821</v>
      </c>
      <c r="G324" s="41">
        <v>131944.44444444441</v>
      </c>
      <c r="H324" s="41">
        <v>50000000</v>
      </c>
      <c r="I324" s="41">
        <v>0</v>
      </c>
      <c r="J324" s="41">
        <v>0</v>
      </c>
      <c r="K324" s="41">
        <v>0</v>
      </c>
      <c r="L324" s="41">
        <v>3388888.8888888969</v>
      </c>
      <c r="M324" s="41">
        <v>27777.777777777781</v>
      </c>
      <c r="N324" s="41">
        <v>27533333.33333344</v>
      </c>
      <c r="O324" s="41">
        <v>79166.666666666672</v>
      </c>
      <c r="P324" s="41">
        <v>65333333.333332978</v>
      </c>
      <c r="Q324" s="41">
        <v>166666.66666666669</v>
      </c>
      <c r="R324" s="41">
        <v>13231481.481481461</v>
      </c>
      <c r="S324" s="41">
        <v>87962.962962962964</v>
      </c>
      <c r="T324" s="41">
        <v>7907407.4074073834</v>
      </c>
      <c r="U324" s="41">
        <v>64814.814814814818</v>
      </c>
      <c r="V324" s="41">
        <v>217798148.14814779</v>
      </c>
      <c r="W324" s="41">
        <v>725462.96296296292</v>
      </c>
      <c r="X324" s="38">
        <f t="shared" si="24"/>
        <v>0.43559629629629559</v>
      </c>
      <c r="Y324" s="39">
        <f t="shared" si="25"/>
        <v>1.4509259259259258E-3</v>
      </c>
      <c r="Z324" s="39">
        <f t="shared" si="29"/>
        <v>3.3420278665833528E-3</v>
      </c>
      <c r="AA324" s="41">
        <f t="shared" si="26"/>
        <v>282201851.85185218</v>
      </c>
      <c r="AB324" s="39">
        <f t="shared" si="27"/>
        <v>2.5707236086594146E-3</v>
      </c>
      <c r="AC324" s="38">
        <f t="shared" si="28"/>
        <v>0.42851416841772616</v>
      </c>
      <c r="AD324" s="3"/>
    </row>
    <row r="325" spans="1:30" x14ac:dyDescent="0.25">
      <c r="A325" s="37">
        <v>45961</v>
      </c>
      <c r="B325" s="41">
        <v>5327777.777777791</v>
      </c>
      <c r="C325" s="41">
        <v>35185.185185185182</v>
      </c>
      <c r="D325" s="41">
        <v>18729166.666666619</v>
      </c>
      <c r="E325" s="41">
        <v>131944.44444444441</v>
      </c>
      <c r="F325" s="41">
        <v>26645833.333333269</v>
      </c>
      <c r="G325" s="41">
        <v>131944.44444444441</v>
      </c>
      <c r="H325" s="41">
        <v>50000000</v>
      </c>
      <c r="I325" s="41">
        <v>0</v>
      </c>
      <c r="J325" s="41">
        <v>0</v>
      </c>
      <c r="K325" s="41">
        <v>0</v>
      </c>
      <c r="L325" s="41">
        <v>3416666.6666666749</v>
      </c>
      <c r="M325" s="41">
        <v>27777.777777777781</v>
      </c>
      <c r="N325" s="41">
        <v>27612500.000000112</v>
      </c>
      <c r="O325" s="41">
        <v>79166.666666666672</v>
      </c>
      <c r="P325" s="41">
        <v>65499999.999999642</v>
      </c>
      <c r="Q325" s="41">
        <v>166666.66666666669</v>
      </c>
      <c r="R325" s="41">
        <v>13319444.44444442</v>
      </c>
      <c r="S325" s="41">
        <v>87962.962962962964</v>
      </c>
      <c r="T325" s="41">
        <v>7972222.2222221969</v>
      </c>
      <c r="U325" s="41">
        <v>64814.814814814818</v>
      </c>
      <c r="V325" s="41">
        <v>218523611.11111069</v>
      </c>
      <c r="W325" s="41">
        <v>725462.96296296292</v>
      </c>
      <c r="X325" s="38">
        <f t="shared" si="24"/>
        <v>0.43704722222222137</v>
      </c>
      <c r="Y325" s="39">
        <f t="shared" si="25"/>
        <v>1.4509259259259258E-3</v>
      </c>
      <c r="Z325" s="39">
        <f t="shared" si="29"/>
        <v>3.3308959195993623E-3</v>
      </c>
      <c r="AA325" s="41">
        <f t="shared" si="26"/>
        <v>281476388.88888931</v>
      </c>
      <c r="AB325" s="39">
        <f t="shared" si="27"/>
        <v>2.5773492612530778E-3</v>
      </c>
      <c r="AC325" s="38">
        <f t="shared" si="28"/>
        <v>0.42803851983626129</v>
      </c>
      <c r="AD325" s="3"/>
    </row>
    <row r="326" spans="1:30" x14ac:dyDescent="0.25">
      <c r="A326" s="37">
        <v>45962</v>
      </c>
      <c r="B326" s="41">
        <v>5362962.9629629767</v>
      </c>
      <c r="C326" s="41">
        <v>35185.185185185182</v>
      </c>
      <c r="D326" s="41">
        <v>18861111.111111071</v>
      </c>
      <c r="E326" s="41">
        <v>131944.44444444441</v>
      </c>
      <c r="F326" s="41">
        <v>26777777.777777709</v>
      </c>
      <c r="G326" s="41">
        <v>131944.44444444441</v>
      </c>
      <c r="H326" s="41">
        <v>50000000</v>
      </c>
      <c r="I326" s="41">
        <v>0</v>
      </c>
      <c r="J326" s="41">
        <v>0</v>
      </c>
      <c r="K326" s="41">
        <v>0</v>
      </c>
      <c r="L326" s="41">
        <v>3444444.4444444529</v>
      </c>
      <c r="M326" s="41">
        <v>27777.777777777781</v>
      </c>
      <c r="N326" s="41">
        <v>27691666.66666678</v>
      </c>
      <c r="O326" s="41">
        <v>79166.666666666672</v>
      </c>
      <c r="P326" s="41">
        <v>65666666.666666307</v>
      </c>
      <c r="Q326" s="41">
        <v>166666.66666666669</v>
      </c>
      <c r="R326" s="41">
        <v>13407407.407407381</v>
      </c>
      <c r="S326" s="41">
        <v>87962.962962962964</v>
      </c>
      <c r="T326" s="41">
        <v>8037037.0370370112</v>
      </c>
      <c r="U326" s="41">
        <v>64814.814814814818</v>
      </c>
      <c r="V326" s="41">
        <v>219249074.0740737</v>
      </c>
      <c r="W326" s="41">
        <v>725462.96296296292</v>
      </c>
      <c r="X326" s="38">
        <f t="shared" si="24"/>
        <v>0.43849814814814742</v>
      </c>
      <c r="Y326" s="39">
        <f t="shared" si="25"/>
        <v>1.4509259259259258E-3</v>
      </c>
      <c r="Z326" s="39">
        <f t="shared" si="29"/>
        <v>3.3198378851340389E-3</v>
      </c>
      <c r="AA326" s="41">
        <f t="shared" si="26"/>
        <v>280750925.92592633</v>
      </c>
      <c r="AB326" s="39">
        <f t="shared" si="27"/>
        <v>2.5840091553406665E-3</v>
      </c>
      <c r="AC326" s="38">
        <f t="shared" si="28"/>
        <v>0.42756633246718562</v>
      </c>
      <c r="AD326" s="3"/>
    </row>
    <row r="327" spans="1:30" x14ac:dyDescent="0.25">
      <c r="A327" s="37">
        <v>45963</v>
      </c>
      <c r="B327" s="41">
        <v>5398148.1481481623</v>
      </c>
      <c r="C327" s="41">
        <v>35185.185185185182</v>
      </c>
      <c r="D327" s="41">
        <v>18993055.555555511</v>
      </c>
      <c r="E327" s="41">
        <v>131944.44444444441</v>
      </c>
      <c r="F327" s="41">
        <v>26909722.222222149</v>
      </c>
      <c r="G327" s="41">
        <v>131944.44444444441</v>
      </c>
      <c r="H327" s="41">
        <v>50000000</v>
      </c>
      <c r="I327" s="41">
        <v>0</v>
      </c>
      <c r="J327" s="41">
        <v>0</v>
      </c>
      <c r="K327" s="41">
        <v>0</v>
      </c>
      <c r="L327" s="41">
        <v>3472222.2222222309</v>
      </c>
      <c r="M327" s="41">
        <v>27777.777777777781</v>
      </c>
      <c r="N327" s="41">
        <v>27770833.333333451</v>
      </c>
      <c r="O327" s="41">
        <v>79166.666666666672</v>
      </c>
      <c r="P327" s="41">
        <v>65833333.333332971</v>
      </c>
      <c r="Q327" s="41">
        <v>166666.66666666669</v>
      </c>
      <c r="R327" s="41">
        <v>13495370.370370351</v>
      </c>
      <c r="S327" s="41">
        <v>87962.962962962964</v>
      </c>
      <c r="T327" s="41">
        <v>8101851.8518518256</v>
      </c>
      <c r="U327" s="41">
        <v>64814.814814814818</v>
      </c>
      <c r="V327" s="41">
        <v>219974537.0370366</v>
      </c>
      <c r="W327" s="41">
        <v>725462.96296296292</v>
      </c>
      <c r="X327" s="38">
        <f t="shared" si="24"/>
        <v>0.43994907407407319</v>
      </c>
      <c r="Y327" s="39">
        <f t="shared" si="25"/>
        <v>1.4509259259259258E-3</v>
      </c>
      <c r="Z327" s="39">
        <f t="shared" si="29"/>
        <v>3.3088530294903954E-3</v>
      </c>
      <c r="AA327" s="41">
        <f t="shared" si="26"/>
        <v>280025462.9629634</v>
      </c>
      <c r="AB327" s="39">
        <f t="shared" si="27"/>
        <v>2.5907035570508592E-3</v>
      </c>
      <c r="AC327" s="38">
        <f t="shared" si="28"/>
        <v>0.42709756866749543</v>
      </c>
      <c r="AD327" s="3"/>
    </row>
    <row r="328" spans="1:30" x14ac:dyDescent="0.25">
      <c r="A328" s="37">
        <v>45964</v>
      </c>
      <c r="B328" s="41">
        <v>5433333.3333333479</v>
      </c>
      <c r="C328" s="41">
        <v>35185.185185185182</v>
      </c>
      <c r="D328" s="41">
        <v>19124999.999999959</v>
      </c>
      <c r="E328" s="41">
        <v>131944.44444444441</v>
      </c>
      <c r="F328" s="41">
        <v>27041666.666666601</v>
      </c>
      <c r="G328" s="41">
        <v>131944.44444444441</v>
      </c>
      <c r="H328" s="41">
        <v>50000000</v>
      </c>
      <c r="I328" s="41">
        <v>0</v>
      </c>
      <c r="J328" s="41">
        <v>0</v>
      </c>
      <c r="K328" s="41">
        <v>0</v>
      </c>
      <c r="L328" s="41">
        <v>3500000.0000000088</v>
      </c>
      <c r="M328" s="41">
        <v>27777.777777777781</v>
      </c>
      <c r="N328" s="41">
        <v>27850000.000000119</v>
      </c>
      <c r="O328" s="41">
        <v>79166.666666666672</v>
      </c>
      <c r="P328" s="41">
        <v>65999999.999999627</v>
      </c>
      <c r="Q328" s="41">
        <v>166666.66666666669</v>
      </c>
      <c r="R328" s="41">
        <v>13583333.33333331</v>
      </c>
      <c r="S328" s="41">
        <v>87962.962962962964</v>
      </c>
      <c r="T328" s="41">
        <v>8166666.66666664</v>
      </c>
      <c r="U328" s="41">
        <v>64814.814814814818</v>
      </c>
      <c r="V328" s="41">
        <v>220699999.99999961</v>
      </c>
      <c r="W328" s="41">
        <v>725462.96296296292</v>
      </c>
      <c r="X328" s="38">
        <f t="shared" si="24"/>
        <v>0.44139999999999924</v>
      </c>
      <c r="Y328" s="39">
        <f t="shared" si="25"/>
        <v>1.4509259259259258E-3</v>
      </c>
      <c r="Z328" s="39">
        <f t="shared" si="29"/>
        <v>3.2979406286502079E-3</v>
      </c>
      <c r="AA328" s="41">
        <f t="shared" si="26"/>
        <v>279300000.00000036</v>
      </c>
      <c r="AB328" s="39">
        <f t="shared" si="27"/>
        <v>2.5974327352773431E-3</v>
      </c>
      <c r="AC328" s="38">
        <f t="shared" si="28"/>
        <v>0.42663219133807129</v>
      </c>
      <c r="AD328" s="3"/>
    </row>
    <row r="329" spans="1:30" x14ac:dyDescent="0.25">
      <c r="A329" s="37">
        <v>45965</v>
      </c>
      <c r="B329" s="41">
        <v>5468518.5185185336</v>
      </c>
      <c r="C329" s="41">
        <v>35185.185185185182</v>
      </c>
      <c r="D329" s="41">
        <v>19256944.444444399</v>
      </c>
      <c r="E329" s="41">
        <v>131944.44444444441</v>
      </c>
      <c r="F329" s="41">
        <v>27173611.111111041</v>
      </c>
      <c r="G329" s="41">
        <v>131944.44444444441</v>
      </c>
      <c r="H329" s="41">
        <v>50000000</v>
      </c>
      <c r="I329" s="41">
        <v>0</v>
      </c>
      <c r="J329" s="41">
        <v>0</v>
      </c>
      <c r="K329" s="41">
        <v>0</v>
      </c>
      <c r="L329" s="41">
        <v>3527777.7777777868</v>
      </c>
      <c r="M329" s="41">
        <v>27777.777777777781</v>
      </c>
      <c r="N329" s="41">
        <v>27929166.66666678</v>
      </c>
      <c r="O329" s="41">
        <v>79166.666666666672</v>
      </c>
      <c r="P329" s="41">
        <v>66166666.666666299</v>
      </c>
      <c r="Q329" s="41">
        <v>166666.66666666669</v>
      </c>
      <c r="R329" s="41">
        <v>13671296.296296271</v>
      </c>
      <c r="S329" s="41">
        <v>87962.962962962964</v>
      </c>
      <c r="T329" s="41">
        <v>8231481.4814814543</v>
      </c>
      <c r="U329" s="41">
        <v>64814.814814814818</v>
      </c>
      <c r="V329" s="41">
        <v>221425462.9629626</v>
      </c>
      <c r="W329" s="41">
        <v>725462.96296296292</v>
      </c>
      <c r="X329" s="38">
        <f t="shared" si="24"/>
        <v>0.44285092592592518</v>
      </c>
      <c r="Y329" s="39">
        <f t="shared" si="25"/>
        <v>1.4509259259259258E-3</v>
      </c>
      <c r="Z329" s="39">
        <f t="shared" si="29"/>
        <v>3.2870999681149263E-3</v>
      </c>
      <c r="AA329" s="41">
        <f t="shared" si="26"/>
        <v>278574537.03703737</v>
      </c>
      <c r="AB329" s="39">
        <f t="shared" si="27"/>
        <v>2.6041969617148115E-3</v>
      </c>
      <c r="AC329" s="38">
        <f t="shared" si="28"/>
        <v>0.4261701639138929</v>
      </c>
      <c r="AD329" s="3"/>
    </row>
    <row r="330" spans="1:30" x14ac:dyDescent="0.25">
      <c r="A330" s="37">
        <v>45966</v>
      </c>
      <c r="B330" s="41">
        <v>5503703.7037037192</v>
      </c>
      <c r="C330" s="41">
        <v>35185.185185185182</v>
      </c>
      <c r="D330" s="41">
        <v>19388888.88888884</v>
      </c>
      <c r="E330" s="41">
        <v>131944.44444444441</v>
      </c>
      <c r="F330" s="41">
        <v>27305555.555555489</v>
      </c>
      <c r="G330" s="41">
        <v>131944.44444444441</v>
      </c>
      <c r="H330" s="41">
        <v>50000000</v>
      </c>
      <c r="I330" s="41">
        <v>0</v>
      </c>
      <c r="J330" s="41">
        <v>0</v>
      </c>
      <c r="K330" s="41">
        <v>0</v>
      </c>
      <c r="L330" s="41">
        <v>3555555.5555555648</v>
      </c>
      <c r="M330" s="41">
        <v>27777.777777777781</v>
      </c>
      <c r="N330" s="41">
        <v>28008333.333333451</v>
      </c>
      <c r="O330" s="41">
        <v>79166.666666666672</v>
      </c>
      <c r="P330" s="41">
        <v>66333333.333332963</v>
      </c>
      <c r="Q330" s="41">
        <v>166666.66666666669</v>
      </c>
      <c r="R330" s="41">
        <v>13759259.25925923</v>
      </c>
      <c r="S330" s="41">
        <v>87962.962962962964</v>
      </c>
      <c r="T330" s="41">
        <v>8296296.2962962687</v>
      </c>
      <c r="U330" s="41">
        <v>64814.814814814818</v>
      </c>
      <c r="V330" s="41">
        <v>222150925.92592549</v>
      </c>
      <c r="W330" s="41">
        <v>725462.96296296292</v>
      </c>
      <c r="X330" s="38">
        <f t="shared" si="24"/>
        <v>0.444301851851851</v>
      </c>
      <c r="Y330" s="39">
        <f t="shared" si="25"/>
        <v>1.4509259259259258E-3</v>
      </c>
      <c r="Z330" s="39">
        <f t="shared" si="29"/>
        <v>3.2763303427497392E-3</v>
      </c>
      <c r="AA330" s="41">
        <f t="shared" si="26"/>
        <v>277849074.07407451</v>
      </c>
      <c r="AB330" s="39">
        <f t="shared" si="27"/>
        <v>2.6109965108955325E-3</v>
      </c>
      <c r="AC330" s="38">
        <f t="shared" si="28"/>
        <v>0.42571145035446017</v>
      </c>
      <c r="AD330" s="3"/>
    </row>
    <row r="331" spans="1:30" x14ac:dyDescent="0.25">
      <c r="A331" s="37">
        <v>45967</v>
      </c>
      <c r="B331" s="41">
        <v>5538888.8888889048</v>
      </c>
      <c r="C331" s="41">
        <v>35185.185185185182</v>
      </c>
      <c r="D331" s="41">
        <v>19520833.333333291</v>
      </c>
      <c r="E331" s="41">
        <v>131944.44444444441</v>
      </c>
      <c r="F331" s="41">
        <v>27437499.999999929</v>
      </c>
      <c r="G331" s="41">
        <v>131944.44444444441</v>
      </c>
      <c r="H331" s="41">
        <v>50000000</v>
      </c>
      <c r="I331" s="41">
        <v>0</v>
      </c>
      <c r="J331" s="41">
        <v>0</v>
      </c>
      <c r="K331" s="41">
        <v>0</v>
      </c>
      <c r="L331" s="41">
        <v>3583333.3333333428</v>
      </c>
      <c r="M331" s="41">
        <v>27777.777777777781</v>
      </c>
      <c r="N331" s="41">
        <v>28087500.000000119</v>
      </c>
      <c r="O331" s="41">
        <v>79166.666666666672</v>
      </c>
      <c r="P331" s="41">
        <v>66499999.999999627</v>
      </c>
      <c r="Q331" s="41">
        <v>166666.66666666669</v>
      </c>
      <c r="R331" s="41">
        <v>13847222.2222222</v>
      </c>
      <c r="S331" s="41">
        <v>87962.962962962964</v>
      </c>
      <c r="T331" s="41">
        <v>8361111.1111110831</v>
      </c>
      <c r="U331" s="41">
        <v>64814.814814814818</v>
      </c>
      <c r="V331" s="41">
        <v>222876388.88888851</v>
      </c>
      <c r="W331" s="41">
        <v>725462.96296296292</v>
      </c>
      <c r="X331" s="38">
        <f t="shared" si="24"/>
        <v>0.445752777777777</v>
      </c>
      <c r="Y331" s="39">
        <f t="shared" si="25"/>
        <v>1.4509259259259258E-3</v>
      </c>
      <c r="Z331" s="39">
        <f t="shared" si="29"/>
        <v>3.2656310566306752E-3</v>
      </c>
      <c r="AA331" s="41">
        <f t="shared" si="26"/>
        <v>277123611.11111152</v>
      </c>
      <c r="AB331" s="39">
        <f t="shared" si="27"/>
        <v>2.617831660226496E-3</v>
      </c>
      <c r="AC331" s="38">
        <f t="shared" si="28"/>
        <v>0.42525601513442218</v>
      </c>
      <c r="AD331" s="3"/>
    </row>
    <row r="332" spans="1:30" x14ac:dyDescent="0.25">
      <c r="A332" s="37">
        <v>45968</v>
      </c>
      <c r="B332" s="41">
        <v>5574074.0740740905</v>
      </c>
      <c r="C332" s="41">
        <v>35185.185185185182</v>
      </c>
      <c r="D332" s="41">
        <v>19652777.777777731</v>
      </c>
      <c r="E332" s="41">
        <v>131944.44444444441</v>
      </c>
      <c r="F332" s="41">
        <v>27569444.44444437</v>
      </c>
      <c r="G332" s="41">
        <v>131944.44444444441</v>
      </c>
      <c r="H332" s="41">
        <v>50000000</v>
      </c>
      <c r="I332" s="41">
        <v>0</v>
      </c>
      <c r="J332" s="41">
        <v>0</v>
      </c>
      <c r="K332" s="41">
        <v>0</v>
      </c>
      <c r="L332" s="41">
        <v>3611111.1111111208</v>
      </c>
      <c r="M332" s="41">
        <v>27777.777777777781</v>
      </c>
      <c r="N332" s="41">
        <v>28166666.666666791</v>
      </c>
      <c r="O332" s="41">
        <v>79166.666666666672</v>
      </c>
      <c r="P332" s="41">
        <v>66666666.666666292</v>
      </c>
      <c r="Q332" s="41">
        <v>166666.66666666669</v>
      </c>
      <c r="R332" s="41">
        <v>13935185.18518516</v>
      </c>
      <c r="S332" s="41">
        <v>87962.962962962964</v>
      </c>
      <c r="T332" s="41">
        <v>8425925.9259258974</v>
      </c>
      <c r="U332" s="41">
        <v>64814.814814814818</v>
      </c>
      <c r="V332" s="41">
        <v>223601851.85185149</v>
      </c>
      <c r="W332" s="41">
        <v>725462.96296296292</v>
      </c>
      <c r="X332" s="38">
        <f t="shared" si="24"/>
        <v>0.44720370370370299</v>
      </c>
      <c r="Y332" s="39">
        <f t="shared" si="25"/>
        <v>1.4509259259259258E-3</v>
      </c>
      <c r="Z332" s="39">
        <f t="shared" si="29"/>
        <v>3.2550014228946923E-3</v>
      </c>
      <c r="AA332" s="41">
        <f t="shared" si="26"/>
        <v>276398148.14814854</v>
      </c>
      <c r="AB332" s="39">
        <f t="shared" si="27"/>
        <v>2.6247026900271309E-3</v>
      </c>
      <c r="AC332" s="38">
        <f t="shared" si="28"/>
        <v>0.42480382323440669</v>
      </c>
      <c r="AD332" s="3"/>
    </row>
    <row r="333" spans="1:30" x14ac:dyDescent="0.25">
      <c r="A333" s="37">
        <v>45969</v>
      </c>
      <c r="B333" s="41">
        <v>5609259.2592592761</v>
      </c>
      <c r="C333" s="41">
        <v>35185.185185185182</v>
      </c>
      <c r="D333" s="41">
        <v>19784722.222222179</v>
      </c>
      <c r="E333" s="41">
        <v>131944.44444444441</v>
      </c>
      <c r="F333" s="41">
        <v>27701388.888888821</v>
      </c>
      <c r="G333" s="41">
        <v>131944.44444444441</v>
      </c>
      <c r="H333" s="41">
        <v>50000000</v>
      </c>
      <c r="I333" s="41">
        <v>0</v>
      </c>
      <c r="J333" s="41">
        <v>0</v>
      </c>
      <c r="K333" s="41">
        <v>0</v>
      </c>
      <c r="L333" s="41">
        <v>3638888.8888888988</v>
      </c>
      <c r="M333" s="41">
        <v>27777.777777777781</v>
      </c>
      <c r="N333" s="41">
        <v>28245833.333333459</v>
      </c>
      <c r="O333" s="41">
        <v>79166.666666666672</v>
      </c>
      <c r="P333" s="41">
        <v>66833333.333332963</v>
      </c>
      <c r="Q333" s="41">
        <v>166666.66666666669</v>
      </c>
      <c r="R333" s="41">
        <v>14023148.148148119</v>
      </c>
      <c r="S333" s="41">
        <v>87962.962962962964</v>
      </c>
      <c r="T333" s="41">
        <v>8490740.7407407127</v>
      </c>
      <c r="U333" s="41">
        <v>64814.814814814818</v>
      </c>
      <c r="V333" s="41">
        <v>224327314.81481439</v>
      </c>
      <c r="W333" s="41">
        <v>725462.96296296292</v>
      </c>
      <c r="X333" s="38">
        <f t="shared" si="24"/>
        <v>0.44865462962962877</v>
      </c>
      <c r="Y333" s="39">
        <f t="shared" si="25"/>
        <v>1.4509259259259258E-3</v>
      </c>
      <c r="Z333" s="39">
        <f t="shared" si="29"/>
        <v>3.2444407635927003E-3</v>
      </c>
      <c r="AA333" s="41">
        <f t="shared" si="26"/>
        <v>275672685.18518561</v>
      </c>
      <c r="AB333" s="39">
        <f t="shared" si="27"/>
        <v>2.6316098835676327E-3</v>
      </c>
      <c r="AC333" s="38">
        <f t="shared" si="28"/>
        <v>0.42435484013204278</v>
      </c>
      <c r="AD333" s="3"/>
    </row>
    <row r="334" spans="1:30" x14ac:dyDescent="0.25">
      <c r="A334" s="37">
        <v>45970</v>
      </c>
      <c r="B334" s="41">
        <v>5644444.4444444617</v>
      </c>
      <c r="C334" s="41">
        <v>35185.185185185182</v>
      </c>
      <c r="D334" s="41">
        <v>19916666.666666619</v>
      </c>
      <c r="E334" s="41">
        <v>131944.44444444441</v>
      </c>
      <c r="F334" s="41">
        <v>27833333.333333261</v>
      </c>
      <c r="G334" s="41">
        <v>131944.44444444441</v>
      </c>
      <c r="H334" s="41">
        <v>50000000</v>
      </c>
      <c r="I334" s="41">
        <v>0</v>
      </c>
      <c r="J334" s="41">
        <v>0</v>
      </c>
      <c r="K334" s="41">
        <v>0</v>
      </c>
      <c r="L334" s="41">
        <v>3666666.6666666772</v>
      </c>
      <c r="M334" s="41">
        <v>27777.777777777781</v>
      </c>
      <c r="N334" s="41">
        <v>28325000.000000119</v>
      </c>
      <c r="O334" s="41">
        <v>79166.666666666672</v>
      </c>
      <c r="P334" s="41">
        <v>66999999.99999962</v>
      </c>
      <c r="Q334" s="41">
        <v>166666.66666666669</v>
      </c>
      <c r="R334" s="41">
        <v>14111111.11111108</v>
      </c>
      <c r="S334" s="41">
        <v>87962.962962962964</v>
      </c>
      <c r="T334" s="41">
        <v>8555555.555555528</v>
      </c>
      <c r="U334" s="41">
        <v>64814.814814814818</v>
      </c>
      <c r="V334" s="41">
        <v>225052777.77777731</v>
      </c>
      <c r="W334" s="41">
        <v>725462.96296296292</v>
      </c>
      <c r="X334" s="38">
        <f t="shared" si="24"/>
        <v>0.45010555555555465</v>
      </c>
      <c r="Y334" s="39">
        <f t="shared" si="25"/>
        <v>1.4509259259259258E-3</v>
      </c>
      <c r="Z334" s="39">
        <f t="shared" si="29"/>
        <v>3.2339484095454166E-3</v>
      </c>
      <c r="AA334" s="41">
        <f t="shared" si="26"/>
        <v>274947222.22222269</v>
      </c>
      <c r="AB334" s="39">
        <f t="shared" si="27"/>
        <v>2.6385535271078917E-3</v>
      </c>
      <c r="AC334" s="38">
        <f t="shared" si="28"/>
        <v>0.42390903179317518</v>
      </c>
      <c r="AD334" s="3"/>
    </row>
    <row r="335" spans="1:30" x14ac:dyDescent="0.25">
      <c r="A335" s="37">
        <v>45971</v>
      </c>
      <c r="B335" s="41">
        <v>5679629.6296296474</v>
      </c>
      <c r="C335" s="41">
        <v>35185.185185185182</v>
      </c>
      <c r="D335" s="41">
        <v>20048611.11111106</v>
      </c>
      <c r="E335" s="41">
        <v>131944.44444444441</v>
      </c>
      <c r="F335" s="41">
        <v>27965277.777777709</v>
      </c>
      <c r="G335" s="41">
        <v>131944.44444444441</v>
      </c>
      <c r="H335" s="41">
        <v>50000000</v>
      </c>
      <c r="I335" s="41">
        <v>0</v>
      </c>
      <c r="J335" s="41">
        <v>0</v>
      </c>
      <c r="K335" s="41">
        <v>0</v>
      </c>
      <c r="L335" s="41">
        <v>3694444.4444444552</v>
      </c>
      <c r="M335" s="41">
        <v>27777.777777777781</v>
      </c>
      <c r="N335" s="41">
        <v>28404166.666666791</v>
      </c>
      <c r="O335" s="41">
        <v>79166.666666666672</v>
      </c>
      <c r="P335" s="41">
        <v>67166666.666666284</v>
      </c>
      <c r="Q335" s="41">
        <v>166666.66666666669</v>
      </c>
      <c r="R335" s="41">
        <v>14199074.07407405</v>
      </c>
      <c r="S335" s="41">
        <v>87962.962962962964</v>
      </c>
      <c r="T335" s="41">
        <v>8620370.3703703433</v>
      </c>
      <c r="U335" s="41">
        <v>64814.814814814818</v>
      </c>
      <c r="V335" s="41">
        <v>225778240.74074039</v>
      </c>
      <c r="W335" s="41">
        <v>725462.96296296292</v>
      </c>
      <c r="X335" s="38">
        <f t="shared" si="24"/>
        <v>0.45155648148148075</v>
      </c>
      <c r="Y335" s="39">
        <f t="shared" si="25"/>
        <v>1.4509259259259258E-3</v>
      </c>
      <c r="Z335" s="39">
        <f t="shared" si="29"/>
        <v>3.2235237002020169E-3</v>
      </c>
      <c r="AA335" s="41">
        <f t="shared" si="26"/>
        <v>274221759.25925958</v>
      </c>
      <c r="AB335" s="39">
        <f t="shared" si="27"/>
        <v>2.6455339099370409E-3</v>
      </c>
      <c r="AC335" s="38">
        <f t="shared" si="28"/>
        <v>0.4234663646632647</v>
      </c>
      <c r="AD335" s="3"/>
    </row>
    <row r="336" spans="1:30" x14ac:dyDescent="0.25">
      <c r="A336" s="37">
        <v>45972</v>
      </c>
      <c r="B336" s="41">
        <v>5714814.814814833</v>
      </c>
      <c r="C336" s="41">
        <v>35185.185185185182</v>
      </c>
      <c r="D336" s="41">
        <v>20180555.555555511</v>
      </c>
      <c r="E336" s="41">
        <v>131944.44444444441</v>
      </c>
      <c r="F336" s="41">
        <v>28097222.222222149</v>
      </c>
      <c r="G336" s="41">
        <v>131944.44444444441</v>
      </c>
      <c r="H336" s="41">
        <v>50000000</v>
      </c>
      <c r="I336" s="41">
        <v>0</v>
      </c>
      <c r="J336" s="41">
        <v>0</v>
      </c>
      <c r="K336" s="41">
        <v>0</v>
      </c>
      <c r="L336" s="41">
        <v>3722222.2222222332</v>
      </c>
      <c r="M336" s="41">
        <v>27777.777777777781</v>
      </c>
      <c r="N336" s="41">
        <v>28483333.333333459</v>
      </c>
      <c r="O336" s="41">
        <v>79166.666666666672</v>
      </c>
      <c r="P336" s="41">
        <v>67333333.333332956</v>
      </c>
      <c r="Q336" s="41">
        <v>166666.66666666669</v>
      </c>
      <c r="R336" s="41">
        <v>14287037.037037009</v>
      </c>
      <c r="S336" s="41">
        <v>87962.962962962964</v>
      </c>
      <c r="T336" s="41">
        <v>8685185.1851851586</v>
      </c>
      <c r="U336" s="41">
        <v>64814.814814814818</v>
      </c>
      <c r="V336" s="41">
        <v>226503703.70370331</v>
      </c>
      <c r="W336" s="41">
        <v>725462.96296296292</v>
      </c>
      <c r="X336" s="38">
        <f t="shared" si="24"/>
        <v>0.45300740740740664</v>
      </c>
      <c r="Y336" s="39">
        <f t="shared" si="25"/>
        <v>1.4509259259259258E-3</v>
      </c>
      <c r="Z336" s="39">
        <f t="shared" si="29"/>
        <v>3.2131659835015151E-3</v>
      </c>
      <c r="AA336" s="41">
        <f t="shared" si="26"/>
        <v>273496296.29629672</v>
      </c>
      <c r="AB336" s="39">
        <f t="shared" si="27"/>
        <v>2.6525513244136244E-3</v>
      </c>
      <c r="AC336" s="38">
        <f t="shared" si="28"/>
        <v>0.42302680565897011</v>
      </c>
      <c r="AD336" s="3"/>
    </row>
    <row r="337" spans="1:30" x14ac:dyDescent="0.25">
      <c r="A337" s="37">
        <v>45973</v>
      </c>
      <c r="B337" s="41">
        <v>5750000.0000000186</v>
      </c>
      <c r="C337" s="41">
        <v>35185.185185185182</v>
      </c>
      <c r="D337" s="41">
        <v>20312499.999999952</v>
      </c>
      <c r="E337" s="41">
        <v>131944.44444444441</v>
      </c>
      <c r="F337" s="41">
        <v>28229166.66666659</v>
      </c>
      <c r="G337" s="41">
        <v>131944.44444444441</v>
      </c>
      <c r="H337" s="41">
        <v>50000000</v>
      </c>
      <c r="I337" s="41">
        <v>0</v>
      </c>
      <c r="J337" s="41">
        <v>0</v>
      </c>
      <c r="K337" s="41">
        <v>0</v>
      </c>
      <c r="L337" s="41">
        <v>3750000.0000000112</v>
      </c>
      <c r="M337" s="41">
        <v>27777.777777777781</v>
      </c>
      <c r="N337" s="41">
        <v>28562500.00000013</v>
      </c>
      <c r="O337" s="41">
        <v>79166.666666666672</v>
      </c>
      <c r="P337" s="41">
        <v>67499999.999999627</v>
      </c>
      <c r="Q337" s="41">
        <v>166666.66666666669</v>
      </c>
      <c r="R337" s="41">
        <v>14374999.99999997</v>
      </c>
      <c r="S337" s="41">
        <v>87962.962962962964</v>
      </c>
      <c r="T337" s="41">
        <v>8749999.9999999739</v>
      </c>
      <c r="U337" s="41">
        <v>64814.814814814818</v>
      </c>
      <c r="V337" s="41">
        <v>227229166.6666663</v>
      </c>
      <c r="W337" s="41">
        <v>725462.96296296292</v>
      </c>
      <c r="X337" s="38">
        <f t="shared" si="24"/>
        <v>0.45445833333333258</v>
      </c>
      <c r="Y337" s="39">
        <f t="shared" si="25"/>
        <v>1.4509259259259258E-3</v>
      </c>
      <c r="Z337" s="39">
        <f t="shared" si="29"/>
        <v>3.2028746157368097E-3</v>
      </c>
      <c r="AA337" s="41">
        <f t="shared" si="26"/>
        <v>272770833.33333373</v>
      </c>
      <c r="AB337" s="39">
        <f t="shared" si="27"/>
        <v>2.6596060660064287E-3</v>
      </c>
      <c r="AC337" s="38">
        <f t="shared" si="28"/>
        <v>0.42259032215990372</v>
      </c>
      <c r="AD337" s="3"/>
    </row>
    <row r="338" spans="1:30" x14ac:dyDescent="0.25">
      <c r="A338" s="37">
        <v>45974</v>
      </c>
      <c r="B338" s="41">
        <v>5785185.1851852043</v>
      </c>
      <c r="C338" s="41">
        <v>35185.185185185182</v>
      </c>
      <c r="D338" s="41">
        <v>20444444.444444399</v>
      </c>
      <c r="E338" s="41">
        <v>131944.44444444441</v>
      </c>
      <c r="F338" s="41">
        <v>28361111.111111041</v>
      </c>
      <c r="G338" s="41">
        <v>131944.44444444441</v>
      </c>
      <c r="H338" s="41">
        <v>50000000</v>
      </c>
      <c r="I338" s="41">
        <v>0</v>
      </c>
      <c r="J338" s="41">
        <v>0</v>
      </c>
      <c r="K338" s="41">
        <v>0</v>
      </c>
      <c r="L338" s="41">
        <v>3777777.7777777892</v>
      </c>
      <c r="M338" s="41">
        <v>27777.777777777781</v>
      </c>
      <c r="N338" s="41">
        <v>28641666.666666791</v>
      </c>
      <c r="O338" s="41">
        <v>79166.666666666672</v>
      </c>
      <c r="P338" s="41">
        <v>67666666.666666299</v>
      </c>
      <c r="Q338" s="41">
        <v>166666.66666666669</v>
      </c>
      <c r="R338" s="41">
        <v>14462962.962962929</v>
      </c>
      <c r="S338" s="41">
        <v>87962.962962962964</v>
      </c>
      <c r="T338" s="41">
        <v>8814814.8148147892</v>
      </c>
      <c r="U338" s="41">
        <v>64814.814814814818</v>
      </c>
      <c r="V338" s="41">
        <v>227954629.62962919</v>
      </c>
      <c r="W338" s="41">
        <v>725462.96296296292</v>
      </c>
      <c r="X338" s="38">
        <f t="shared" si="24"/>
        <v>0.4559092592592584</v>
      </c>
      <c r="Y338" s="39">
        <f t="shared" si="25"/>
        <v>1.4509259259259258E-3</v>
      </c>
      <c r="Z338" s="39">
        <f t="shared" si="29"/>
        <v>3.1926489614213143E-3</v>
      </c>
      <c r="AA338" s="41">
        <f t="shared" si="26"/>
        <v>272045370.37037081</v>
      </c>
      <c r="AB338" s="39">
        <f t="shared" si="27"/>
        <v>2.6666984333359382E-3</v>
      </c>
      <c r="AC338" s="38">
        <f t="shared" si="28"/>
        <v>0.422156882000564</v>
      </c>
      <c r="AD338" s="3"/>
    </row>
    <row r="339" spans="1:30" x14ac:dyDescent="0.25">
      <c r="A339" s="37">
        <v>45975</v>
      </c>
      <c r="B339" s="41">
        <v>5820370.3703703899</v>
      </c>
      <c r="C339" s="41">
        <v>35185.185185185182</v>
      </c>
      <c r="D339" s="41">
        <v>20576388.88888884</v>
      </c>
      <c r="E339" s="41">
        <v>131944.44444444441</v>
      </c>
      <c r="F339" s="41">
        <v>28493055.555555481</v>
      </c>
      <c r="G339" s="41">
        <v>131944.44444444441</v>
      </c>
      <c r="H339" s="41">
        <v>50000000</v>
      </c>
      <c r="I339" s="41">
        <v>0</v>
      </c>
      <c r="J339" s="41">
        <v>0</v>
      </c>
      <c r="K339" s="41">
        <v>0</v>
      </c>
      <c r="L339" s="41">
        <v>3805555.5555555671</v>
      </c>
      <c r="M339" s="41">
        <v>27777.777777777781</v>
      </c>
      <c r="N339" s="41">
        <v>28720833.333333459</v>
      </c>
      <c r="O339" s="41">
        <v>79166.666666666672</v>
      </c>
      <c r="P339" s="41">
        <v>67833333.333332971</v>
      </c>
      <c r="Q339" s="41">
        <v>166666.66666666669</v>
      </c>
      <c r="R339" s="41">
        <v>14550925.925925899</v>
      </c>
      <c r="S339" s="41">
        <v>87962.962962962964</v>
      </c>
      <c r="T339" s="41">
        <v>8879629.6296296045</v>
      </c>
      <c r="U339" s="41">
        <v>64814.814814814818</v>
      </c>
      <c r="V339" s="41">
        <v>228680092.59259221</v>
      </c>
      <c r="W339" s="41">
        <v>725462.96296296292</v>
      </c>
      <c r="X339" s="38">
        <f t="shared" si="24"/>
        <v>0.4573601851851844</v>
      </c>
      <c r="Y339" s="39">
        <f t="shared" si="25"/>
        <v>1.4509259259259258E-3</v>
      </c>
      <c r="Z339" s="39">
        <f t="shared" si="29"/>
        <v>3.1824883931581634E-3</v>
      </c>
      <c r="AA339" s="41">
        <f t="shared" si="26"/>
        <v>271319907.40740776</v>
      </c>
      <c r="AB339" s="39">
        <f t="shared" si="27"/>
        <v>2.6738287282164828E-3</v>
      </c>
      <c r="AC339" s="38">
        <f t="shared" si="28"/>
        <v>0.42172645346243187</v>
      </c>
      <c r="AD339" s="3"/>
    </row>
    <row r="340" spans="1:30" x14ac:dyDescent="0.25">
      <c r="A340" s="37">
        <v>45976</v>
      </c>
      <c r="B340" s="41">
        <v>5855555.5555555765</v>
      </c>
      <c r="C340" s="41">
        <v>35185.185185185182</v>
      </c>
      <c r="D340" s="41">
        <v>20708333.33333328</v>
      </c>
      <c r="E340" s="41">
        <v>131944.44444444441</v>
      </c>
      <c r="F340" s="41">
        <v>28624999.999999929</v>
      </c>
      <c r="G340" s="41">
        <v>131944.44444444441</v>
      </c>
      <c r="H340" s="41">
        <v>50000000</v>
      </c>
      <c r="I340" s="41">
        <v>0</v>
      </c>
      <c r="J340" s="41">
        <v>0</v>
      </c>
      <c r="K340" s="41">
        <v>0</v>
      </c>
      <c r="L340" s="41">
        <v>3833333.3333333451</v>
      </c>
      <c r="M340" s="41">
        <v>27777.777777777781</v>
      </c>
      <c r="N340" s="41">
        <v>28800000.00000013</v>
      </c>
      <c r="O340" s="41">
        <v>79166.666666666672</v>
      </c>
      <c r="P340" s="41">
        <v>67999999.999999642</v>
      </c>
      <c r="Q340" s="41">
        <v>166666.66666666669</v>
      </c>
      <c r="R340" s="41">
        <v>14638888.88888886</v>
      </c>
      <c r="S340" s="41">
        <v>87962.962962962964</v>
      </c>
      <c r="T340" s="41">
        <v>8944444.4444444198</v>
      </c>
      <c r="U340" s="41">
        <v>64814.814814814818</v>
      </c>
      <c r="V340" s="41">
        <v>229405555.55555519</v>
      </c>
      <c r="W340" s="41">
        <v>725462.96296296292</v>
      </c>
      <c r="X340" s="38">
        <f t="shared" si="24"/>
        <v>0.45881111111111039</v>
      </c>
      <c r="Y340" s="39">
        <f t="shared" si="25"/>
        <v>1.4509259259259258E-3</v>
      </c>
      <c r="Z340" s="39">
        <f t="shared" si="29"/>
        <v>3.1723922915118819E-3</v>
      </c>
      <c r="AA340" s="41">
        <f t="shared" si="26"/>
        <v>270594444.44444478</v>
      </c>
      <c r="AB340" s="39">
        <f t="shared" si="27"/>
        <v>2.6809972556990406E-3</v>
      </c>
      <c r="AC340" s="38">
        <f t="shared" si="28"/>
        <v>0.42129900526623537</v>
      </c>
      <c r="AD340" s="3"/>
    </row>
    <row r="341" spans="1:30" x14ac:dyDescent="0.25">
      <c r="A341" s="37">
        <v>45977</v>
      </c>
      <c r="B341" s="41">
        <v>5890740.7407407612</v>
      </c>
      <c r="C341" s="41">
        <v>35185.185185185182</v>
      </c>
      <c r="D341" s="41">
        <v>20840277.777777731</v>
      </c>
      <c r="E341" s="41">
        <v>131944.44444444441</v>
      </c>
      <c r="F341" s="41">
        <v>28756944.44444437</v>
      </c>
      <c r="G341" s="41">
        <v>131944.44444444441</v>
      </c>
      <c r="H341" s="41">
        <v>50000000</v>
      </c>
      <c r="I341" s="41">
        <v>0</v>
      </c>
      <c r="J341" s="41">
        <v>0</v>
      </c>
      <c r="K341" s="41">
        <v>0</v>
      </c>
      <c r="L341" s="41">
        <v>3861111.1111111231</v>
      </c>
      <c r="M341" s="41">
        <v>27777.777777777781</v>
      </c>
      <c r="N341" s="41">
        <v>28879166.666666798</v>
      </c>
      <c r="O341" s="41">
        <v>79166.666666666672</v>
      </c>
      <c r="P341" s="41">
        <v>68166666.666666314</v>
      </c>
      <c r="Q341" s="41">
        <v>166666.66666666669</v>
      </c>
      <c r="R341" s="41">
        <v>14726851.851851819</v>
      </c>
      <c r="S341" s="41">
        <v>87962.962962962964</v>
      </c>
      <c r="T341" s="41">
        <v>9009259.2592592351</v>
      </c>
      <c r="U341" s="41">
        <v>64814.814814814818</v>
      </c>
      <c r="V341" s="41">
        <v>230131018.51851809</v>
      </c>
      <c r="W341" s="41">
        <v>725462.96296296292</v>
      </c>
      <c r="X341" s="38">
        <f t="shared" si="24"/>
        <v>0.46026203703703616</v>
      </c>
      <c r="Y341" s="39">
        <f t="shared" si="25"/>
        <v>1.4509259259259258E-3</v>
      </c>
      <c r="Z341" s="39">
        <f t="shared" si="29"/>
        <v>3.1623600448825112E-3</v>
      </c>
      <c r="AA341" s="41">
        <f t="shared" si="26"/>
        <v>269868981.48148191</v>
      </c>
      <c r="AB341" s="39">
        <f t="shared" si="27"/>
        <v>2.6882043241147494E-3</v>
      </c>
      <c r="AC341" s="38">
        <f t="shared" si="28"/>
        <v>0.4208745065643712</v>
      </c>
      <c r="AD341" s="3"/>
    </row>
    <row r="342" spans="1:30" x14ac:dyDescent="0.25">
      <c r="A342" s="37">
        <v>45978</v>
      </c>
      <c r="B342" s="41">
        <v>5925925.9259259468</v>
      </c>
      <c r="C342" s="41">
        <v>35185.185185185182</v>
      </c>
      <c r="D342" s="41">
        <v>20972222.222222172</v>
      </c>
      <c r="E342" s="41">
        <v>131944.44444444441</v>
      </c>
      <c r="F342" s="41">
        <v>28888888.88888881</v>
      </c>
      <c r="G342" s="41">
        <v>131944.44444444441</v>
      </c>
      <c r="H342" s="41">
        <v>50000000</v>
      </c>
      <c r="I342" s="41">
        <v>0</v>
      </c>
      <c r="J342" s="41">
        <v>0</v>
      </c>
      <c r="K342" s="41">
        <v>0</v>
      </c>
      <c r="L342" s="41">
        <v>3888888.8888889011</v>
      </c>
      <c r="M342" s="41">
        <v>27777.777777777781</v>
      </c>
      <c r="N342" s="41">
        <v>28958333.33333347</v>
      </c>
      <c r="O342" s="41">
        <v>79166.666666666672</v>
      </c>
      <c r="P342" s="41">
        <v>68333333.333332986</v>
      </c>
      <c r="Q342" s="41">
        <v>166666.66666666669</v>
      </c>
      <c r="R342" s="41">
        <v>14814814.814814789</v>
      </c>
      <c r="S342" s="41">
        <v>87962.962962962964</v>
      </c>
      <c r="T342" s="41">
        <v>9074074.0740740504</v>
      </c>
      <c r="U342" s="41">
        <v>64814.814814814818</v>
      </c>
      <c r="V342" s="41">
        <v>230856481.48148111</v>
      </c>
      <c r="W342" s="41">
        <v>725462.96296296292</v>
      </c>
      <c r="X342" s="38">
        <f t="shared" si="24"/>
        <v>0.46171296296296221</v>
      </c>
      <c r="Y342" s="39">
        <f t="shared" si="25"/>
        <v>1.4509259259259258E-3</v>
      </c>
      <c r="Z342" s="39">
        <f t="shared" si="29"/>
        <v>3.1523910493821009E-3</v>
      </c>
      <c r="AA342" s="41">
        <f t="shared" si="26"/>
        <v>269143518.51851892</v>
      </c>
      <c r="AB342" s="39">
        <f t="shared" si="27"/>
        <v>2.695450245119115E-3</v>
      </c>
      <c r="AC342" s="38">
        <f t="shared" si="28"/>
        <v>0.42045292693348318</v>
      </c>
      <c r="AD342" s="3"/>
    </row>
    <row r="343" spans="1:30" x14ac:dyDescent="0.25">
      <c r="A343" s="37">
        <v>45979</v>
      </c>
      <c r="B343" s="41">
        <v>5961111.1111111324</v>
      </c>
      <c r="C343" s="41">
        <v>35185.185185185182</v>
      </c>
      <c r="D343" s="41">
        <v>21104166.666666619</v>
      </c>
      <c r="E343" s="41">
        <v>131944.44444444441</v>
      </c>
      <c r="F343" s="41">
        <v>29020833.333333261</v>
      </c>
      <c r="G343" s="41">
        <v>131944.44444444441</v>
      </c>
      <c r="H343" s="41">
        <v>50000000</v>
      </c>
      <c r="I343" s="41">
        <v>0</v>
      </c>
      <c r="J343" s="41">
        <v>0</v>
      </c>
      <c r="K343" s="41">
        <v>0</v>
      </c>
      <c r="L343" s="41">
        <v>3916666.6666666791</v>
      </c>
      <c r="M343" s="41">
        <v>27777.777777777781</v>
      </c>
      <c r="N343" s="41">
        <v>29037500.00000013</v>
      </c>
      <c r="O343" s="41">
        <v>79166.666666666672</v>
      </c>
      <c r="P343" s="41">
        <v>68499999.999999657</v>
      </c>
      <c r="Q343" s="41">
        <v>166666.66666666669</v>
      </c>
      <c r="R343" s="41">
        <v>14902777.77777775</v>
      </c>
      <c r="S343" s="41">
        <v>87962.962962962964</v>
      </c>
      <c r="T343" s="41">
        <v>9138888.8888888657</v>
      </c>
      <c r="U343" s="41">
        <v>64814.814814814818</v>
      </c>
      <c r="V343" s="41">
        <v>231581944.44444409</v>
      </c>
      <c r="W343" s="41">
        <v>725462.96296296292</v>
      </c>
      <c r="X343" s="38">
        <f t="shared" ref="X343:X406" si="30">V343/$B$6</f>
        <v>0.46316388888888815</v>
      </c>
      <c r="Y343" s="39">
        <f t="shared" ref="Y343:Y406" si="31">W343/$B$6</f>
        <v>1.4509259259259258E-3</v>
      </c>
      <c r="Z343" s="39">
        <f t="shared" si="29"/>
        <v>3.1424847087135315E-3</v>
      </c>
      <c r="AA343" s="41">
        <f t="shared" ref="AA343:AA406" si="32">$B$6-V343</f>
        <v>268418055.55555591</v>
      </c>
      <c r="AB343" s="39">
        <f t="shared" ref="AB343:AB406" si="33">W343/AA343</f>
        <v>2.7027353337369291E-3</v>
      </c>
      <c r="AC343" s="38">
        <f t="shared" ref="AC343:AC406" si="34" xml:space="preserve"> P343/(V343-P343)</f>
        <v>0.42003423636719578</v>
      </c>
      <c r="AD343" s="3"/>
    </row>
    <row r="344" spans="1:30" x14ac:dyDescent="0.25">
      <c r="A344" s="37">
        <v>45980</v>
      </c>
      <c r="B344" s="41">
        <v>5996296.2962963181</v>
      </c>
      <c r="C344" s="41">
        <v>35185.185185185182</v>
      </c>
      <c r="D344" s="41">
        <v>21236111.11111106</v>
      </c>
      <c r="E344" s="41">
        <v>131944.44444444441</v>
      </c>
      <c r="F344" s="41">
        <v>29152777.777777702</v>
      </c>
      <c r="G344" s="41">
        <v>131944.44444444441</v>
      </c>
      <c r="H344" s="41">
        <v>50000000</v>
      </c>
      <c r="I344" s="41">
        <v>0</v>
      </c>
      <c r="J344" s="41">
        <v>0</v>
      </c>
      <c r="K344" s="41">
        <v>0</v>
      </c>
      <c r="L344" s="41">
        <v>3944444.4444444571</v>
      </c>
      <c r="M344" s="41">
        <v>27777.777777777781</v>
      </c>
      <c r="N344" s="41">
        <v>29116666.666666798</v>
      </c>
      <c r="O344" s="41">
        <v>79166.666666666672</v>
      </c>
      <c r="P344" s="41">
        <v>68666666.666666329</v>
      </c>
      <c r="Q344" s="41">
        <v>166666.66666666669</v>
      </c>
      <c r="R344" s="41">
        <v>14990740.740740711</v>
      </c>
      <c r="S344" s="41">
        <v>87962.962962962964</v>
      </c>
      <c r="T344" s="41">
        <v>9203703.703703681</v>
      </c>
      <c r="U344" s="41">
        <v>64814.814814814818</v>
      </c>
      <c r="V344" s="41">
        <v>232307407.40740699</v>
      </c>
      <c r="W344" s="41">
        <v>725462.96296296292</v>
      </c>
      <c r="X344" s="38">
        <f t="shared" si="30"/>
        <v>0.46461481481481398</v>
      </c>
      <c r="Y344" s="39">
        <f t="shared" si="31"/>
        <v>1.4509259259259258E-3</v>
      </c>
      <c r="Z344" s="39">
        <f t="shared" ref="Z344:Z407" si="35">W344/V343</f>
        <v>3.1326404340516261E-3</v>
      </c>
      <c r="AA344" s="41">
        <f t="shared" si="32"/>
        <v>267692592.59259301</v>
      </c>
      <c r="AB344" s="39">
        <f t="shared" si="33"/>
        <v>2.710059908407926E-3</v>
      </c>
      <c r="AC344" s="38">
        <f t="shared" si="34"/>
        <v>0.41961840526899302</v>
      </c>
      <c r="AD344" s="3"/>
    </row>
    <row r="345" spans="1:30" x14ac:dyDescent="0.25">
      <c r="A345" s="37">
        <v>45981</v>
      </c>
      <c r="B345" s="41">
        <v>6031481.4814815037</v>
      </c>
      <c r="C345" s="41">
        <v>35185.185185185182</v>
      </c>
      <c r="D345" s="41">
        <v>21368055.5555555</v>
      </c>
      <c r="E345" s="41">
        <v>131944.44444444441</v>
      </c>
      <c r="F345" s="41">
        <v>29284722.222222149</v>
      </c>
      <c r="G345" s="41">
        <v>131944.44444444441</v>
      </c>
      <c r="H345" s="41">
        <v>50000000</v>
      </c>
      <c r="I345" s="41">
        <v>0</v>
      </c>
      <c r="J345" s="41">
        <v>0</v>
      </c>
      <c r="K345" s="41">
        <v>0</v>
      </c>
      <c r="L345" s="41">
        <v>3972222.2222222351</v>
      </c>
      <c r="M345" s="41">
        <v>27777.777777777781</v>
      </c>
      <c r="N345" s="41">
        <v>29195833.33333347</v>
      </c>
      <c r="O345" s="41">
        <v>79166.666666666672</v>
      </c>
      <c r="P345" s="41">
        <v>68833333.333333001</v>
      </c>
      <c r="Q345" s="41">
        <v>166666.66666666669</v>
      </c>
      <c r="R345" s="41">
        <v>15078703.70370367</v>
      </c>
      <c r="S345" s="41">
        <v>87962.962962962964</v>
      </c>
      <c r="T345" s="41">
        <v>9268518.5185184963</v>
      </c>
      <c r="U345" s="41">
        <v>64814.814814814818</v>
      </c>
      <c r="V345" s="41">
        <v>233032870.37037009</v>
      </c>
      <c r="W345" s="41">
        <v>725462.96296296292</v>
      </c>
      <c r="X345" s="38">
        <f t="shared" si="30"/>
        <v>0.4660657407407402</v>
      </c>
      <c r="Y345" s="39">
        <f t="shared" si="31"/>
        <v>1.4509259259259258E-3</v>
      </c>
      <c r="Z345" s="39">
        <f t="shared" si="35"/>
        <v>3.1228576439264757E-3</v>
      </c>
      <c r="AA345" s="41">
        <f t="shared" si="32"/>
        <v>266967129.62962991</v>
      </c>
      <c r="AB345" s="39">
        <f t="shared" si="33"/>
        <v>2.7174242910331906E-3</v>
      </c>
      <c r="AC345" s="38">
        <f t="shared" si="34"/>
        <v>0.41920540444524429</v>
      </c>
      <c r="AD345" s="3"/>
    </row>
    <row r="346" spans="1:30" x14ac:dyDescent="0.25">
      <c r="A346" s="37">
        <v>45982</v>
      </c>
      <c r="B346" s="41">
        <v>6066666.6666666893</v>
      </c>
      <c r="C346" s="41">
        <v>35185.185185185182</v>
      </c>
      <c r="D346" s="41">
        <v>21499999.999999952</v>
      </c>
      <c r="E346" s="41">
        <v>131944.44444444441</v>
      </c>
      <c r="F346" s="41">
        <v>29416666.66666659</v>
      </c>
      <c r="G346" s="41">
        <v>131944.44444444441</v>
      </c>
      <c r="H346" s="41">
        <v>50000000</v>
      </c>
      <c r="I346" s="41">
        <v>0</v>
      </c>
      <c r="J346" s="41">
        <v>0</v>
      </c>
      <c r="K346" s="41">
        <v>0</v>
      </c>
      <c r="L346" s="41">
        <v>4000000.000000013</v>
      </c>
      <c r="M346" s="41">
        <v>27777.777777777781</v>
      </c>
      <c r="N346" s="41">
        <v>29275000.000000142</v>
      </c>
      <c r="O346" s="41">
        <v>79166.666666666672</v>
      </c>
      <c r="P346" s="41">
        <v>68999999.999999672</v>
      </c>
      <c r="Q346" s="41">
        <v>166666.66666666669</v>
      </c>
      <c r="R346" s="41">
        <v>15166666.66666664</v>
      </c>
      <c r="S346" s="41">
        <v>87962.962962962964</v>
      </c>
      <c r="T346" s="41">
        <v>9333333.3333333116</v>
      </c>
      <c r="U346" s="41">
        <v>64814.814814814818</v>
      </c>
      <c r="V346" s="41">
        <v>233758333.33333299</v>
      </c>
      <c r="W346" s="41">
        <v>725462.96296296292</v>
      </c>
      <c r="X346" s="38">
        <f t="shared" si="30"/>
        <v>0.46751666666666597</v>
      </c>
      <c r="Y346" s="39">
        <f t="shared" si="31"/>
        <v>1.4509259259259258E-3</v>
      </c>
      <c r="Z346" s="39">
        <f t="shared" si="35"/>
        <v>3.1131357641089453E-3</v>
      </c>
      <c r="AA346" s="41">
        <f t="shared" si="32"/>
        <v>266241666.66666701</v>
      </c>
      <c r="AB346" s="39">
        <f t="shared" si="33"/>
        <v>2.7248288070222991E-3</v>
      </c>
      <c r="AC346" s="38">
        <f t="shared" si="34"/>
        <v>0.41879520509837448</v>
      </c>
      <c r="AD346" s="3"/>
    </row>
    <row r="347" spans="1:30" x14ac:dyDescent="0.25">
      <c r="A347" s="37">
        <v>45983</v>
      </c>
      <c r="B347" s="41">
        <v>6101851.851851875</v>
      </c>
      <c r="C347" s="41">
        <v>35185.185185185182</v>
      </c>
      <c r="D347" s="41">
        <v>21631944.444444388</v>
      </c>
      <c r="E347" s="41">
        <v>131944.44444444441</v>
      </c>
      <c r="F347" s="41">
        <v>29548611.11111103</v>
      </c>
      <c r="G347" s="41">
        <v>131944.44444444441</v>
      </c>
      <c r="H347" s="41">
        <v>50000000</v>
      </c>
      <c r="I347" s="41">
        <v>0</v>
      </c>
      <c r="J347" s="41">
        <v>0</v>
      </c>
      <c r="K347" s="41">
        <v>0</v>
      </c>
      <c r="L347" s="41">
        <v>4027777.777777791</v>
      </c>
      <c r="M347" s="41">
        <v>27777.777777777781</v>
      </c>
      <c r="N347" s="41">
        <v>29354166.666666809</v>
      </c>
      <c r="O347" s="41">
        <v>79166.666666666672</v>
      </c>
      <c r="P347" s="41">
        <v>69166666.666666344</v>
      </c>
      <c r="Q347" s="41">
        <v>166666.66666666669</v>
      </c>
      <c r="R347" s="41">
        <v>15254629.629629601</v>
      </c>
      <c r="S347" s="41">
        <v>87962.962962962964</v>
      </c>
      <c r="T347" s="41">
        <v>9398148.1481481269</v>
      </c>
      <c r="U347" s="41">
        <v>64814.814814814818</v>
      </c>
      <c r="V347" s="41">
        <v>234483796.29629591</v>
      </c>
      <c r="W347" s="41">
        <v>725462.96296296292</v>
      </c>
      <c r="X347" s="38">
        <f t="shared" si="30"/>
        <v>0.4689675925925918</v>
      </c>
      <c r="Y347" s="39">
        <f t="shared" si="31"/>
        <v>1.4509259259259258E-3</v>
      </c>
      <c r="Z347" s="39">
        <f t="shared" si="35"/>
        <v>3.1034742274983311E-3</v>
      </c>
      <c r="AA347" s="41">
        <f t="shared" si="32"/>
        <v>265516203.70370409</v>
      </c>
      <c r="AB347" s="39">
        <f t="shared" si="33"/>
        <v>2.7322737853412685E-3</v>
      </c>
      <c r="AC347" s="38">
        <f t="shared" si="34"/>
        <v>0.41838777882016709</v>
      </c>
      <c r="AD347" s="3"/>
    </row>
    <row r="348" spans="1:30" x14ac:dyDescent="0.25">
      <c r="A348" s="37">
        <v>45984</v>
      </c>
      <c r="B348" s="41">
        <v>6137037.0370370606</v>
      </c>
      <c r="C348" s="41">
        <v>35185.185185185182</v>
      </c>
      <c r="D348" s="41">
        <v>21763888.88888884</v>
      </c>
      <c r="E348" s="41">
        <v>131944.44444444441</v>
      </c>
      <c r="F348" s="41">
        <v>29680555.555555481</v>
      </c>
      <c r="G348" s="41">
        <v>131944.44444444441</v>
      </c>
      <c r="H348" s="41">
        <v>50000000</v>
      </c>
      <c r="I348" s="41">
        <v>0</v>
      </c>
      <c r="J348" s="41">
        <v>0</v>
      </c>
      <c r="K348" s="41">
        <v>0</v>
      </c>
      <c r="L348" s="41">
        <v>4055555.555555569</v>
      </c>
      <c r="M348" s="41">
        <v>27777.777777777781</v>
      </c>
      <c r="N348" s="41">
        <v>29433333.33333347</v>
      </c>
      <c r="O348" s="41">
        <v>79166.666666666672</v>
      </c>
      <c r="P348" s="41">
        <v>69333333.333333015</v>
      </c>
      <c r="Q348" s="41">
        <v>166666.66666666669</v>
      </c>
      <c r="R348" s="41">
        <v>15342592.59259256</v>
      </c>
      <c r="S348" s="41">
        <v>87962.962962962964</v>
      </c>
      <c r="T348" s="41">
        <v>9462962.9629629422</v>
      </c>
      <c r="U348" s="41">
        <v>64814.814814814818</v>
      </c>
      <c r="V348" s="41">
        <v>235209259.25925899</v>
      </c>
      <c r="W348" s="41">
        <v>725462.96296296292</v>
      </c>
      <c r="X348" s="38">
        <f t="shared" si="30"/>
        <v>0.47041851851851796</v>
      </c>
      <c r="Y348" s="39">
        <f t="shared" si="31"/>
        <v>1.4509259259259258E-3</v>
      </c>
      <c r="Z348" s="39">
        <f t="shared" si="35"/>
        <v>3.0938724740120684E-3</v>
      </c>
      <c r="AA348" s="41">
        <f t="shared" si="32"/>
        <v>264790740.74074101</v>
      </c>
      <c r="AB348" s="39">
        <f t="shared" si="33"/>
        <v>2.739759558561265E-3</v>
      </c>
      <c r="AC348" s="38">
        <f t="shared" si="34"/>
        <v>0.4179830975852078</v>
      </c>
      <c r="AD348" s="3"/>
    </row>
    <row r="349" spans="1:30" x14ac:dyDescent="0.25">
      <c r="A349" s="37">
        <v>45985</v>
      </c>
      <c r="B349" s="41">
        <v>6172222.2222222462</v>
      </c>
      <c r="C349" s="41">
        <v>35185.185185185182</v>
      </c>
      <c r="D349" s="41">
        <v>21895833.33333328</v>
      </c>
      <c r="E349" s="41">
        <v>131944.44444444441</v>
      </c>
      <c r="F349" s="41">
        <v>29812499.999999922</v>
      </c>
      <c r="G349" s="41">
        <v>131944.44444444441</v>
      </c>
      <c r="H349" s="41">
        <v>50000000</v>
      </c>
      <c r="I349" s="41">
        <v>0</v>
      </c>
      <c r="J349" s="41">
        <v>0</v>
      </c>
      <c r="K349" s="41">
        <v>0</v>
      </c>
      <c r="L349" s="41">
        <v>4083333.333333347</v>
      </c>
      <c r="M349" s="41">
        <v>27777.777777777781</v>
      </c>
      <c r="N349" s="41">
        <v>29512500.000000142</v>
      </c>
      <c r="O349" s="41">
        <v>79166.666666666672</v>
      </c>
      <c r="P349" s="41">
        <v>69499999.999999687</v>
      </c>
      <c r="Q349" s="41">
        <v>166666.66666666669</v>
      </c>
      <c r="R349" s="41">
        <v>15430555.555555521</v>
      </c>
      <c r="S349" s="41">
        <v>87962.962962962964</v>
      </c>
      <c r="T349" s="41">
        <v>9527777.7777777575</v>
      </c>
      <c r="U349" s="41">
        <v>64814.814814814818</v>
      </c>
      <c r="V349" s="41">
        <v>235934722.22222191</v>
      </c>
      <c r="W349" s="41">
        <v>725462.96296296292</v>
      </c>
      <c r="X349" s="38">
        <f t="shared" si="30"/>
        <v>0.47186944444444384</v>
      </c>
      <c r="Y349" s="39">
        <f t="shared" si="31"/>
        <v>1.4509259259259258E-3</v>
      </c>
      <c r="Z349" s="39">
        <f t="shared" si="35"/>
        <v>3.0843299504775138E-3</v>
      </c>
      <c r="AA349" s="41">
        <f t="shared" si="32"/>
        <v>264065277.77777809</v>
      </c>
      <c r="AB349" s="39">
        <f t="shared" si="33"/>
        <v>2.7472864629081231E-3</v>
      </c>
      <c r="AC349" s="38">
        <f t="shared" si="34"/>
        <v>0.41758113374445921</v>
      </c>
      <c r="AD349" s="3"/>
    </row>
    <row r="350" spans="1:30" x14ac:dyDescent="0.25">
      <c r="A350" s="37">
        <v>45986</v>
      </c>
      <c r="B350" s="41">
        <v>6207407.4074074319</v>
      </c>
      <c r="C350" s="41">
        <v>35185.185185185182</v>
      </c>
      <c r="D350" s="41">
        <v>22027777.77777772</v>
      </c>
      <c r="E350" s="41">
        <v>131944.44444444441</v>
      </c>
      <c r="F350" s="41">
        <v>29944444.44444437</v>
      </c>
      <c r="G350" s="41">
        <v>131944.44444444441</v>
      </c>
      <c r="H350" s="41">
        <v>50000000</v>
      </c>
      <c r="I350" s="41">
        <v>0</v>
      </c>
      <c r="J350" s="41">
        <v>0</v>
      </c>
      <c r="K350" s="41">
        <v>0</v>
      </c>
      <c r="L350" s="41">
        <v>4111111.111111125</v>
      </c>
      <c r="M350" s="41">
        <v>27777.777777777781</v>
      </c>
      <c r="N350" s="41">
        <v>29591666.666666809</v>
      </c>
      <c r="O350" s="41">
        <v>79166.666666666672</v>
      </c>
      <c r="P350" s="41">
        <v>69666666.666666359</v>
      </c>
      <c r="Q350" s="41">
        <v>166666.66666666669</v>
      </c>
      <c r="R350" s="41">
        <v>15518518.518518491</v>
      </c>
      <c r="S350" s="41">
        <v>87962.962962962964</v>
      </c>
      <c r="T350" s="41">
        <v>9592592.5925925728</v>
      </c>
      <c r="U350" s="41">
        <v>64814.814814814818</v>
      </c>
      <c r="V350" s="41">
        <v>236660185.1851849</v>
      </c>
      <c r="W350" s="41">
        <v>725462.96296296292</v>
      </c>
      <c r="X350" s="38">
        <f t="shared" si="30"/>
        <v>0.47332037037036978</v>
      </c>
      <c r="Y350" s="39">
        <f t="shared" si="31"/>
        <v>1.4509259259259258E-3</v>
      </c>
      <c r="Z350" s="39">
        <f t="shared" si="35"/>
        <v>3.0748461105257105E-3</v>
      </c>
      <c r="AA350" s="41">
        <f t="shared" si="32"/>
        <v>263339814.8148151</v>
      </c>
      <c r="AB350" s="39">
        <f t="shared" si="33"/>
        <v>2.7548548383126968E-3</v>
      </c>
      <c r="AC350" s="38">
        <f t="shared" si="34"/>
        <v>0.4171818600189609</v>
      </c>
      <c r="AD350" s="3"/>
    </row>
    <row r="351" spans="1:30" x14ac:dyDescent="0.25">
      <c r="A351" s="37">
        <v>45987</v>
      </c>
      <c r="B351" s="41">
        <v>6242592.5925926166</v>
      </c>
      <c r="C351" s="41">
        <v>35185.185185185182</v>
      </c>
      <c r="D351" s="41">
        <v>22159722.222222172</v>
      </c>
      <c r="E351" s="41">
        <v>131944.44444444441</v>
      </c>
      <c r="F351" s="41">
        <v>30076388.88888881</v>
      </c>
      <c r="G351" s="41">
        <v>131944.44444444441</v>
      </c>
      <c r="H351" s="41">
        <v>50000000</v>
      </c>
      <c r="I351" s="41">
        <v>0</v>
      </c>
      <c r="J351" s="41">
        <v>0</v>
      </c>
      <c r="K351" s="41">
        <v>0</v>
      </c>
      <c r="L351" s="41">
        <v>4138888.888888902</v>
      </c>
      <c r="M351" s="41">
        <v>27777.777777777781</v>
      </c>
      <c r="N351" s="41">
        <v>29670833.333333481</v>
      </c>
      <c r="O351" s="41">
        <v>79166.666666666672</v>
      </c>
      <c r="P351" s="41">
        <v>69833333.33333303</v>
      </c>
      <c r="Q351" s="41">
        <v>166666.66666666669</v>
      </c>
      <c r="R351" s="41">
        <v>15606481.48148145</v>
      </c>
      <c r="S351" s="41">
        <v>87962.962962962964</v>
      </c>
      <c r="T351" s="41">
        <v>9657407.4074073881</v>
      </c>
      <c r="U351" s="41">
        <v>64814.814814814818</v>
      </c>
      <c r="V351" s="41">
        <v>237385648.14814779</v>
      </c>
      <c r="W351" s="41">
        <v>725462.96296296292</v>
      </c>
      <c r="X351" s="38">
        <f t="shared" si="30"/>
        <v>0.47477129629629561</v>
      </c>
      <c r="Y351" s="39">
        <f t="shared" si="31"/>
        <v>1.4509259259259258E-3</v>
      </c>
      <c r="Z351" s="39">
        <f t="shared" si="35"/>
        <v>3.0654204144870984E-3</v>
      </c>
      <c r="AA351" s="41">
        <f t="shared" si="32"/>
        <v>262614351.85185221</v>
      </c>
      <c r="AB351" s="39">
        <f t="shared" si="33"/>
        <v>2.7624650284620239E-3</v>
      </c>
      <c r="AC351" s="38">
        <f t="shared" si="34"/>
        <v>0.41678524949366119</v>
      </c>
      <c r="AD351" s="3"/>
    </row>
    <row r="352" spans="1:30" x14ac:dyDescent="0.25">
      <c r="A352" s="37">
        <v>45988</v>
      </c>
      <c r="B352" s="41">
        <v>6277777.7777778031</v>
      </c>
      <c r="C352" s="41">
        <v>35185.185185185182</v>
      </c>
      <c r="D352" s="41">
        <v>22291666.666666608</v>
      </c>
      <c r="E352" s="41">
        <v>131944.44444444441</v>
      </c>
      <c r="F352" s="41">
        <v>30208333.33333325</v>
      </c>
      <c r="G352" s="41">
        <v>131944.44444444441</v>
      </c>
      <c r="H352" s="41">
        <v>50000000</v>
      </c>
      <c r="I352" s="41">
        <v>0</v>
      </c>
      <c r="J352" s="41">
        <v>0</v>
      </c>
      <c r="K352" s="41">
        <v>0</v>
      </c>
      <c r="L352" s="41">
        <v>4166666.66666668</v>
      </c>
      <c r="M352" s="41">
        <v>27777.777777777781</v>
      </c>
      <c r="N352" s="41">
        <v>29750000.000000149</v>
      </c>
      <c r="O352" s="41">
        <v>79166.666666666672</v>
      </c>
      <c r="P352" s="41">
        <v>69999999.999999702</v>
      </c>
      <c r="Q352" s="41">
        <v>166666.66666666669</v>
      </c>
      <c r="R352" s="41">
        <v>15694444.444444411</v>
      </c>
      <c r="S352" s="41">
        <v>87962.962962962964</v>
      </c>
      <c r="T352" s="41">
        <v>9722222.2222222034</v>
      </c>
      <c r="U352" s="41">
        <v>64814.814814814818</v>
      </c>
      <c r="V352" s="41">
        <v>238111111.11111081</v>
      </c>
      <c r="W352" s="41">
        <v>725462.96296296292</v>
      </c>
      <c r="X352" s="38">
        <f t="shared" si="30"/>
        <v>0.4762222222222216</v>
      </c>
      <c r="Y352" s="39">
        <f t="shared" si="31"/>
        <v>1.4509259259259258E-3</v>
      </c>
      <c r="Z352" s="39">
        <f t="shared" si="35"/>
        <v>3.0560523292891555E-3</v>
      </c>
      <c r="AA352" s="41">
        <f t="shared" si="32"/>
        <v>261888888.88888919</v>
      </c>
      <c r="AB352" s="39">
        <f t="shared" si="33"/>
        <v>2.7701173808513612E-3</v>
      </c>
      <c r="AC352" s="38">
        <f t="shared" si="34"/>
        <v>0.41639127561136641</v>
      </c>
      <c r="AD352" s="3"/>
    </row>
    <row r="353" spans="1:30" x14ac:dyDescent="0.25">
      <c r="A353" s="37">
        <v>45989</v>
      </c>
      <c r="B353" s="41">
        <v>6312962.9629629888</v>
      </c>
      <c r="C353" s="41">
        <v>35185.185185185182</v>
      </c>
      <c r="D353" s="41">
        <v>22423611.11111106</v>
      </c>
      <c r="E353" s="41">
        <v>131944.44444444441</v>
      </c>
      <c r="F353" s="41">
        <v>30340277.777777702</v>
      </c>
      <c r="G353" s="41">
        <v>131944.44444444441</v>
      </c>
      <c r="H353" s="41">
        <v>50000000</v>
      </c>
      <c r="I353" s="41">
        <v>0</v>
      </c>
      <c r="J353" s="41">
        <v>0</v>
      </c>
      <c r="K353" s="41">
        <v>0</v>
      </c>
      <c r="L353" s="41">
        <v>4194444.444444458</v>
      </c>
      <c r="M353" s="41">
        <v>27777.777777777781</v>
      </c>
      <c r="N353" s="41">
        <v>29829166.666666809</v>
      </c>
      <c r="O353" s="41">
        <v>79166.666666666672</v>
      </c>
      <c r="P353" s="41">
        <v>70166666.666666374</v>
      </c>
      <c r="Q353" s="41">
        <v>166666.66666666669</v>
      </c>
      <c r="R353" s="41">
        <v>15782407.407407381</v>
      </c>
      <c r="S353" s="41">
        <v>87962.962962962964</v>
      </c>
      <c r="T353" s="41">
        <v>9787037.0370370187</v>
      </c>
      <c r="U353" s="41">
        <v>64814.814814814818</v>
      </c>
      <c r="V353" s="41">
        <v>238836574.07407379</v>
      </c>
      <c r="W353" s="41">
        <v>725462.96296296292</v>
      </c>
      <c r="X353" s="38">
        <f t="shared" si="30"/>
        <v>0.4776731481481476</v>
      </c>
      <c r="Y353" s="39">
        <f t="shared" si="31"/>
        <v>1.4509259259259258E-3</v>
      </c>
      <c r="Z353" s="39">
        <f t="shared" si="35"/>
        <v>3.046741328355891E-3</v>
      </c>
      <c r="AA353" s="41">
        <f t="shared" si="32"/>
        <v>261163425.92592621</v>
      </c>
      <c r="AB353" s="39">
        <f t="shared" si="33"/>
        <v>2.7778122468370666E-3</v>
      </c>
      <c r="AC353" s="38">
        <f t="shared" si="34"/>
        <v>0.41599991216681542</v>
      </c>
      <c r="AD353" s="3"/>
    </row>
    <row r="354" spans="1:30" x14ac:dyDescent="0.25">
      <c r="A354" s="37">
        <v>45990</v>
      </c>
      <c r="B354" s="41">
        <v>6348148.1481481744</v>
      </c>
      <c r="C354" s="41">
        <v>35185.185185185182</v>
      </c>
      <c r="D354" s="41">
        <v>22555555.5555555</v>
      </c>
      <c r="E354" s="41">
        <v>131944.44444444441</v>
      </c>
      <c r="F354" s="41">
        <v>30472222.222222138</v>
      </c>
      <c r="G354" s="41">
        <v>131944.44444444441</v>
      </c>
      <c r="H354" s="41">
        <v>50000000</v>
      </c>
      <c r="I354" s="41">
        <v>0</v>
      </c>
      <c r="J354" s="41">
        <v>0</v>
      </c>
      <c r="K354" s="41">
        <v>0</v>
      </c>
      <c r="L354" s="41">
        <v>4222222.222222236</v>
      </c>
      <c r="M354" s="41">
        <v>27777.777777777781</v>
      </c>
      <c r="N354" s="41">
        <v>29908333.333333481</v>
      </c>
      <c r="O354" s="41">
        <v>79166.666666666672</v>
      </c>
      <c r="P354" s="41">
        <v>70333333.333333045</v>
      </c>
      <c r="Q354" s="41">
        <v>166666.66666666669</v>
      </c>
      <c r="R354" s="41">
        <v>15870370.37037034</v>
      </c>
      <c r="S354" s="41">
        <v>87962.962962962964</v>
      </c>
      <c r="T354" s="41">
        <v>9851851.851851834</v>
      </c>
      <c r="U354" s="41">
        <v>64814.814814814818</v>
      </c>
      <c r="V354" s="41">
        <v>239562037.03703669</v>
      </c>
      <c r="W354" s="41">
        <v>725462.96296296292</v>
      </c>
      <c r="X354" s="38">
        <f t="shared" si="30"/>
        <v>0.47912407407407337</v>
      </c>
      <c r="Y354" s="39">
        <f t="shared" si="31"/>
        <v>1.4509259259259258E-3</v>
      </c>
      <c r="Z354" s="39">
        <f t="shared" si="35"/>
        <v>3.0374868915091905E-3</v>
      </c>
      <c r="AA354" s="41">
        <f t="shared" si="32"/>
        <v>260437962.96296331</v>
      </c>
      <c r="AB354" s="39">
        <f t="shared" si="33"/>
        <v>2.7855499816903822E-3</v>
      </c>
      <c r="AC354" s="38">
        <f t="shared" si="34"/>
        <v>0.41561113330086785</v>
      </c>
      <c r="AD354" s="3"/>
    </row>
    <row r="355" spans="1:30" x14ac:dyDescent="0.25">
      <c r="A355" s="37">
        <v>45991</v>
      </c>
      <c r="B355" s="41">
        <v>6383333.33333336</v>
      </c>
      <c r="C355" s="41">
        <v>35185.185185185182</v>
      </c>
      <c r="D355" s="41">
        <v>22687499.99999994</v>
      </c>
      <c r="E355" s="41">
        <v>131944.44444444441</v>
      </c>
      <c r="F355" s="41">
        <v>30604166.66666659</v>
      </c>
      <c r="G355" s="41">
        <v>131944.44444444441</v>
      </c>
      <c r="H355" s="41">
        <v>50000000</v>
      </c>
      <c r="I355" s="41">
        <v>0</v>
      </c>
      <c r="J355" s="41">
        <v>0</v>
      </c>
      <c r="K355" s="41">
        <v>0</v>
      </c>
      <c r="L355" s="41">
        <v>4250000.000000014</v>
      </c>
      <c r="M355" s="41">
        <v>27777.777777777781</v>
      </c>
      <c r="N355" s="41">
        <v>29987500.000000149</v>
      </c>
      <c r="O355" s="41">
        <v>79166.666666666672</v>
      </c>
      <c r="P355" s="41">
        <v>70499999.999999717</v>
      </c>
      <c r="Q355" s="41">
        <v>166666.66666666669</v>
      </c>
      <c r="R355" s="41">
        <v>15958333.3333333</v>
      </c>
      <c r="S355" s="41">
        <v>87962.962962962964</v>
      </c>
      <c r="T355" s="41">
        <v>9916666.6666666493</v>
      </c>
      <c r="U355" s="41">
        <v>64814.814814814818</v>
      </c>
      <c r="V355" s="41">
        <v>240287499.9999997</v>
      </c>
      <c r="W355" s="41">
        <v>725462.96296296292</v>
      </c>
      <c r="X355" s="38">
        <f t="shared" si="30"/>
        <v>0.48057499999999942</v>
      </c>
      <c r="Y355" s="39">
        <f t="shared" si="31"/>
        <v>1.4509259259259258E-3</v>
      </c>
      <c r="Z355" s="39">
        <f t="shared" si="35"/>
        <v>3.0282885048719347E-3</v>
      </c>
      <c r="AA355" s="41">
        <f t="shared" si="32"/>
        <v>259712500.0000003</v>
      </c>
      <c r="AB355" s="39">
        <f t="shared" si="33"/>
        <v>2.7933309446521136E-3</v>
      </c>
      <c r="AC355" s="38">
        <f t="shared" si="34"/>
        <v>0.415224913494808</v>
      </c>
      <c r="AD355" s="3"/>
    </row>
    <row r="356" spans="1:30" x14ac:dyDescent="0.25">
      <c r="A356" s="37">
        <v>45992</v>
      </c>
      <c r="B356" s="41">
        <v>6418518.5185185457</v>
      </c>
      <c r="C356" s="41">
        <v>35185.185185185182</v>
      </c>
      <c r="D356" s="41">
        <v>22819444.444444388</v>
      </c>
      <c r="E356" s="41">
        <v>131944.44444444441</v>
      </c>
      <c r="F356" s="41">
        <v>30736111.11111103</v>
      </c>
      <c r="G356" s="41">
        <v>131944.44444444441</v>
      </c>
      <c r="H356" s="41">
        <v>50000000</v>
      </c>
      <c r="I356" s="41">
        <v>0</v>
      </c>
      <c r="J356" s="41">
        <v>0</v>
      </c>
      <c r="K356" s="41">
        <v>0</v>
      </c>
      <c r="L356" s="41">
        <v>4277777.777777792</v>
      </c>
      <c r="M356" s="41">
        <v>27777.777777777781</v>
      </c>
      <c r="N356" s="41">
        <v>30066666.666666821</v>
      </c>
      <c r="O356" s="41">
        <v>79166.666666666672</v>
      </c>
      <c r="P356" s="41">
        <v>70666666.666666389</v>
      </c>
      <c r="Q356" s="41">
        <v>166666.66666666669</v>
      </c>
      <c r="R356" s="41">
        <v>16046296.296296259</v>
      </c>
      <c r="S356" s="41">
        <v>87962.962962962964</v>
      </c>
      <c r="T356" s="41">
        <v>9981481.4814814646</v>
      </c>
      <c r="U356" s="41">
        <v>64814.814814814818</v>
      </c>
      <c r="V356" s="41">
        <v>241012962.96296269</v>
      </c>
      <c r="W356" s="41">
        <v>725462.96296296292</v>
      </c>
      <c r="X356" s="38">
        <f t="shared" si="30"/>
        <v>0.48202592592592536</v>
      </c>
      <c r="Y356" s="39">
        <f t="shared" si="31"/>
        <v>1.4509259259259258E-3</v>
      </c>
      <c r="Z356" s="39">
        <f t="shared" si="35"/>
        <v>3.0191456607728817E-3</v>
      </c>
      <c r="AA356" s="41">
        <f t="shared" si="32"/>
        <v>258987037.03703731</v>
      </c>
      <c r="AB356" s="39">
        <f t="shared" si="33"/>
        <v>2.8011554989882202E-3</v>
      </c>
      <c r="AC356" s="38">
        <f t="shared" si="34"/>
        <v>0.41484122756476294</v>
      </c>
      <c r="AD356" s="3"/>
    </row>
    <row r="357" spans="1:30" x14ac:dyDescent="0.25">
      <c r="A357" s="37">
        <v>45993</v>
      </c>
      <c r="B357" s="41">
        <v>6453703.7037037313</v>
      </c>
      <c r="C357" s="41">
        <v>35185.185185185182</v>
      </c>
      <c r="D357" s="41">
        <v>22951388.888888828</v>
      </c>
      <c r="E357" s="41">
        <v>131944.44444444441</v>
      </c>
      <c r="F357" s="41">
        <v>30868055.55555547</v>
      </c>
      <c r="G357" s="41">
        <v>131944.44444444441</v>
      </c>
      <c r="H357" s="41">
        <v>50000000</v>
      </c>
      <c r="I357" s="41">
        <v>0</v>
      </c>
      <c r="J357" s="41">
        <v>0</v>
      </c>
      <c r="K357" s="41">
        <v>0</v>
      </c>
      <c r="L357" s="41">
        <v>4305555.5555555699</v>
      </c>
      <c r="M357" s="41">
        <v>27777.777777777781</v>
      </c>
      <c r="N357" s="41">
        <v>30145833.333333481</v>
      </c>
      <c r="O357" s="41">
        <v>79166.666666666672</v>
      </c>
      <c r="P357" s="41">
        <v>70833333.33333306</v>
      </c>
      <c r="Q357" s="41">
        <v>166666.66666666669</v>
      </c>
      <c r="R357" s="41">
        <v>16134259.25925923</v>
      </c>
      <c r="S357" s="41">
        <v>87962.962962962964</v>
      </c>
      <c r="T357" s="41">
        <v>10046296.29629628</v>
      </c>
      <c r="U357" s="41">
        <v>64814.814814814818</v>
      </c>
      <c r="V357" s="41">
        <v>241738425.92592561</v>
      </c>
      <c r="W357" s="41">
        <v>725462.96296296292</v>
      </c>
      <c r="X357" s="38">
        <f t="shared" si="30"/>
        <v>0.48347685185185124</v>
      </c>
      <c r="Y357" s="39">
        <f t="shared" si="31"/>
        <v>1.4509259259259258E-3</v>
      </c>
      <c r="Z357" s="39">
        <f t="shared" si="35"/>
        <v>3.0100578576532722E-3</v>
      </c>
      <c r="AA357" s="41">
        <f t="shared" si="32"/>
        <v>258261574.07407439</v>
      </c>
      <c r="AB357" s="39">
        <f t="shared" si="33"/>
        <v>2.8090240120463533E-3</v>
      </c>
      <c r="AC357" s="38">
        <f t="shared" si="34"/>
        <v>0.41446005065622693</v>
      </c>
      <c r="AD357" s="3"/>
    </row>
    <row r="358" spans="1:30" x14ac:dyDescent="0.25">
      <c r="A358" s="37">
        <v>45994</v>
      </c>
      <c r="B358" s="41">
        <v>6488888.8888889169</v>
      </c>
      <c r="C358" s="41">
        <v>35185.185185185182</v>
      </c>
      <c r="D358" s="41">
        <v>23083333.33333328</v>
      </c>
      <c r="E358" s="41">
        <v>131944.44444444441</v>
      </c>
      <c r="F358" s="41">
        <v>30999999.999999922</v>
      </c>
      <c r="G358" s="41">
        <v>131944.44444444441</v>
      </c>
      <c r="H358" s="41">
        <v>50000000</v>
      </c>
      <c r="I358" s="41">
        <v>0</v>
      </c>
      <c r="J358" s="41">
        <v>0</v>
      </c>
      <c r="K358" s="41">
        <v>0</v>
      </c>
      <c r="L358" s="41">
        <v>4333333.3333333479</v>
      </c>
      <c r="M358" s="41">
        <v>27777.777777777781</v>
      </c>
      <c r="N358" s="41">
        <v>30225000.000000149</v>
      </c>
      <c r="O358" s="41">
        <v>79166.666666666672</v>
      </c>
      <c r="P358" s="41">
        <v>70999999.999999732</v>
      </c>
      <c r="Q358" s="41">
        <v>166666.66666666669</v>
      </c>
      <c r="R358" s="41">
        <v>16222222.22222219</v>
      </c>
      <c r="S358" s="41">
        <v>87962.962962962964</v>
      </c>
      <c r="T358" s="41">
        <v>10111111.111111101</v>
      </c>
      <c r="U358" s="41">
        <v>64814.814814814818</v>
      </c>
      <c r="V358" s="41">
        <v>242463888.8888886</v>
      </c>
      <c r="W358" s="41">
        <v>725462.96296296292</v>
      </c>
      <c r="X358" s="38">
        <f t="shared" si="30"/>
        <v>0.48492777777777718</v>
      </c>
      <c r="Y358" s="39">
        <f t="shared" si="31"/>
        <v>1.4509259259259258E-3</v>
      </c>
      <c r="Z358" s="39">
        <f t="shared" si="35"/>
        <v>3.0010245999751071E-3</v>
      </c>
      <c r="AA358" s="41">
        <f t="shared" si="32"/>
        <v>257536111.1111114</v>
      </c>
      <c r="AB358" s="39">
        <f t="shared" si="33"/>
        <v>2.816936855313347E-3</v>
      </c>
      <c r="AC358" s="38">
        <f t="shared" si="34"/>
        <v>0.41408135823869469</v>
      </c>
      <c r="AD358" s="3"/>
    </row>
    <row r="359" spans="1:30" x14ac:dyDescent="0.25">
      <c r="A359" s="37">
        <v>45995</v>
      </c>
      <c r="B359" s="41">
        <v>6524074.0740741026</v>
      </c>
      <c r="C359" s="41">
        <v>35185.185185185182</v>
      </c>
      <c r="D359" s="41">
        <v>23215277.77777772</v>
      </c>
      <c r="E359" s="41">
        <v>131944.44444444441</v>
      </c>
      <c r="F359" s="41">
        <v>31131944.444444358</v>
      </c>
      <c r="G359" s="41">
        <v>131944.44444444441</v>
      </c>
      <c r="H359" s="41">
        <v>50000000</v>
      </c>
      <c r="I359" s="41">
        <v>0</v>
      </c>
      <c r="J359" s="41">
        <v>0</v>
      </c>
      <c r="K359" s="41">
        <v>0</v>
      </c>
      <c r="L359" s="41">
        <v>4361111.1111111259</v>
      </c>
      <c r="M359" s="41">
        <v>27777.777777777781</v>
      </c>
      <c r="N359" s="41">
        <v>30304166.666666821</v>
      </c>
      <c r="O359" s="41">
        <v>79166.666666666672</v>
      </c>
      <c r="P359" s="41">
        <v>71166666.666666403</v>
      </c>
      <c r="Q359" s="41">
        <v>166666.66666666669</v>
      </c>
      <c r="R359" s="41">
        <v>16310185.185185149</v>
      </c>
      <c r="S359" s="41">
        <v>87962.962962962964</v>
      </c>
      <c r="T359" s="41">
        <v>10175925.92592591</v>
      </c>
      <c r="U359" s="41">
        <v>64814.814814814818</v>
      </c>
      <c r="V359" s="41">
        <v>243189351.85185161</v>
      </c>
      <c r="W359" s="41">
        <v>725462.96296296292</v>
      </c>
      <c r="X359" s="38">
        <f t="shared" si="30"/>
        <v>0.48637870370370323</v>
      </c>
      <c r="Y359" s="39">
        <f t="shared" si="31"/>
        <v>1.4509259259259258E-3</v>
      </c>
      <c r="Z359" s="39">
        <f t="shared" si="35"/>
        <v>2.9920453981310728E-3</v>
      </c>
      <c r="AA359" s="41">
        <f t="shared" si="32"/>
        <v>256810648.14814839</v>
      </c>
      <c r="AB359" s="39">
        <f t="shared" si="33"/>
        <v>2.8248944044736782E-3</v>
      </c>
      <c r="AC359" s="38">
        <f t="shared" si="34"/>
        <v>0.41370512610039972</v>
      </c>
      <c r="AD359" s="3"/>
    </row>
    <row r="360" spans="1:30" x14ac:dyDescent="0.25">
      <c r="A360" s="37">
        <v>45996</v>
      </c>
      <c r="B360" s="41">
        <v>6559259.2592592882</v>
      </c>
      <c r="C360" s="41">
        <v>35185.185185185182</v>
      </c>
      <c r="D360" s="41">
        <v>23347222.222222161</v>
      </c>
      <c r="E360" s="41">
        <v>131944.44444444441</v>
      </c>
      <c r="F360" s="41">
        <v>31263888.88888881</v>
      </c>
      <c r="G360" s="41">
        <v>131944.44444444441</v>
      </c>
      <c r="H360" s="41">
        <v>50000000</v>
      </c>
      <c r="I360" s="41">
        <v>0</v>
      </c>
      <c r="J360" s="41">
        <v>0</v>
      </c>
      <c r="K360" s="41">
        <v>0</v>
      </c>
      <c r="L360" s="41">
        <v>4388888.8888889039</v>
      </c>
      <c r="M360" s="41">
        <v>27777.777777777781</v>
      </c>
      <c r="N360" s="41">
        <v>30383333.333333489</v>
      </c>
      <c r="O360" s="41">
        <v>79166.666666666672</v>
      </c>
      <c r="P360" s="41">
        <v>71333333.333333075</v>
      </c>
      <c r="Q360" s="41">
        <v>166666.66666666669</v>
      </c>
      <c r="R360" s="41">
        <v>16398148.14814811</v>
      </c>
      <c r="S360" s="41">
        <v>87962.962962962964</v>
      </c>
      <c r="T360" s="41">
        <v>10240740.740740729</v>
      </c>
      <c r="U360" s="41">
        <v>64814.814814814818</v>
      </c>
      <c r="V360" s="41">
        <v>243914814.8148146</v>
      </c>
      <c r="W360" s="41">
        <v>725462.96296296292</v>
      </c>
      <c r="X360" s="38">
        <f t="shared" si="30"/>
        <v>0.48782962962962917</v>
      </c>
      <c r="Y360" s="39">
        <f t="shared" si="31"/>
        <v>1.4509259259259258E-3</v>
      </c>
      <c r="Z360" s="39">
        <f t="shared" si="35"/>
        <v>2.9831197683560886E-3</v>
      </c>
      <c r="AA360" s="41">
        <f t="shared" si="32"/>
        <v>256085185.1851854</v>
      </c>
      <c r="AB360" s="39">
        <f t="shared" si="33"/>
        <v>2.8328970394689242E-3</v>
      </c>
      <c r="AC360" s="38">
        <f t="shared" si="34"/>
        <v>0.41333133034315356</v>
      </c>
      <c r="AD360" s="3"/>
    </row>
    <row r="361" spans="1:30" x14ac:dyDescent="0.25">
      <c r="A361" s="37">
        <v>45997</v>
      </c>
      <c r="B361" s="41">
        <v>6594444.4444444738</v>
      </c>
      <c r="C361" s="41">
        <v>35185.185185185182</v>
      </c>
      <c r="D361" s="41">
        <v>23479166.666666608</v>
      </c>
      <c r="E361" s="41">
        <v>131944.44444444441</v>
      </c>
      <c r="F361" s="41">
        <v>31395833.33333325</v>
      </c>
      <c r="G361" s="41">
        <v>131944.44444444441</v>
      </c>
      <c r="H361" s="41">
        <v>50000000</v>
      </c>
      <c r="I361" s="41">
        <v>0</v>
      </c>
      <c r="J361" s="41">
        <v>0</v>
      </c>
      <c r="K361" s="41">
        <v>0</v>
      </c>
      <c r="L361" s="41">
        <v>4416666.6666666819</v>
      </c>
      <c r="M361" s="41">
        <v>27777.777777777781</v>
      </c>
      <c r="N361" s="41">
        <v>30462500.00000016</v>
      </c>
      <c r="O361" s="41">
        <v>79166.666666666672</v>
      </c>
      <c r="P361" s="41">
        <v>71499999.999999747</v>
      </c>
      <c r="Q361" s="41">
        <v>166666.66666666669</v>
      </c>
      <c r="R361" s="41">
        <v>16486111.11111108</v>
      </c>
      <c r="S361" s="41">
        <v>87962.962962962964</v>
      </c>
      <c r="T361" s="41">
        <v>10305555.555555539</v>
      </c>
      <c r="U361" s="41">
        <v>64814.814814814818</v>
      </c>
      <c r="V361" s="41">
        <v>244640277.77777761</v>
      </c>
      <c r="W361" s="41">
        <v>725462.96296296292</v>
      </c>
      <c r="X361" s="38">
        <f t="shared" si="30"/>
        <v>0.48928055555555522</v>
      </c>
      <c r="Y361" s="39">
        <f t="shared" si="31"/>
        <v>1.4509259259259258E-3</v>
      </c>
      <c r="Z361" s="39">
        <f t="shared" si="35"/>
        <v>2.9742472326404206E-3</v>
      </c>
      <c r="AA361" s="41">
        <f t="shared" si="32"/>
        <v>255359722.22222239</v>
      </c>
      <c r="AB361" s="39">
        <f t="shared" si="33"/>
        <v>2.8409451445582374E-3</v>
      </c>
      <c r="AC361" s="38">
        <f t="shared" si="34"/>
        <v>0.41295994737728559</v>
      </c>
      <c r="AD361" s="3"/>
    </row>
    <row r="362" spans="1:30" x14ac:dyDescent="0.25">
      <c r="A362" s="37">
        <v>45998</v>
      </c>
      <c r="B362" s="41">
        <v>6629629.6296296585</v>
      </c>
      <c r="C362" s="41">
        <v>35185.185185185182</v>
      </c>
      <c r="D362" s="41">
        <v>23611111.111111049</v>
      </c>
      <c r="E362" s="41">
        <v>131944.44444444441</v>
      </c>
      <c r="F362" s="41">
        <v>31527777.77777769</v>
      </c>
      <c r="G362" s="41">
        <v>131944.44444444441</v>
      </c>
      <c r="H362" s="41">
        <v>50000000</v>
      </c>
      <c r="I362" s="41">
        <v>0</v>
      </c>
      <c r="J362" s="41">
        <v>0</v>
      </c>
      <c r="K362" s="41">
        <v>0</v>
      </c>
      <c r="L362" s="41">
        <v>4444444.4444444599</v>
      </c>
      <c r="M362" s="41">
        <v>27777.777777777781</v>
      </c>
      <c r="N362" s="41">
        <v>30541666.666666821</v>
      </c>
      <c r="O362" s="41">
        <v>79166.666666666672</v>
      </c>
      <c r="P362" s="41">
        <v>71666666.666666418</v>
      </c>
      <c r="Q362" s="41">
        <v>166666.66666666669</v>
      </c>
      <c r="R362" s="41">
        <v>16574074.074074039</v>
      </c>
      <c r="S362" s="41">
        <v>87962.962962962964</v>
      </c>
      <c r="T362" s="41">
        <v>10370370.37037036</v>
      </c>
      <c r="U362" s="41">
        <v>64814.814814814818</v>
      </c>
      <c r="V362" s="41">
        <v>245365740.74074051</v>
      </c>
      <c r="W362" s="41">
        <v>725462.96296296292</v>
      </c>
      <c r="X362" s="38">
        <f t="shared" si="30"/>
        <v>0.49073148148148099</v>
      </c>
      <c r="Y362" s="39">
        <f t="shared" si="31"/>
        <v>1.4509259259259258E-3</v>
      </c>
      <c r="Z362" s="39">
        <f t="shared" si="35"/>
        <v>2.9654273186443454E-3</v>
      </c>
      <c r="AA362" s="41">
        <f t="shared" si="32"/>
        <v>254634259.25925949</v>
      </c>
      <c r="AB362" s="39">
        <f t="shared" si="33"/>
        <v>2.8490391083798449E-3</v>
      </c>
      <c r="AC362" s="38">
        <f t="shared" si="34"/>
        <v>0.41259095391668077</v>
      </c>
      <c r="AD362" s="3"/>
    </row>
    <row r="363" spans="1:30" x14ac:dyDescent="0.25">
      <c r="A363" s="37">
        <v>45999</v>
      </c>
      <c r="B363" s="41">
        <v>6664814.8148148451</v>
      </c>
      <c r="C363" s="41">
        <v>35185.185185185182</v>
      </c>
      <c r="D363" s="41">
        <v>23743055.5555555</v>
      </c>
      <c r="E363" s="41">
        <v>131944.44444444441</v>
      </c>
      <c r="F363" s="41">
        <v>31659722.222222138</v>
      </c>
      <c r="G363" s="41">
        <v>131944.44444444441</v>
      </c>
      <c r="H363" s="41">
        <v>50000000</v>
      </c>
      <c r="I363" s="41">
        <v>0</v>
      </c>
      <c r="J363" s="41">
        <v>0</v>
      </c>
      <c r="K363" s="41">
        <v>0</v>
      </c>
      <c r="L363" s="41">
        <v>4472222.2222222378</v>
      </c>
      <c r="M363" s="41">
        <v>27777.777777777781</v>
      </c>
      <c r="N363" s="41">
        <v>30620833.333333489</v>
      </c>
      <c r="O363" s="41">
        <v>79166.666666666672</v>
      </c>
      <c r="P363" s="41">
        <v>71833333.33333309</v>
      </c>
      <c r="Q363" s="41">
        <v>166666.66666666669</v>
      </c>
      <c r="R363" s="41">
        <v>16662037.037037</v>
      </c>
      <c r="S363" s="41">
        <v>87962.962962962964</v>
      </c>
      <c r="T363" s="41">
        <v>10435185.18518517</v>
      </c>
      <c r="U363" s="41">
        <v>64814.814814814818</v>
      </c>
      <c r="V363" s="41">
        <v>246091203.70370349</v>
      </c>
      <c r="W363" s="41">
        <v>725462.96296296292</v>
      </c>
      <c r="X363" s="38">
        <f t="shared" si="30"/>
        <v>0.49218240740740699</v>
      </c>
      <c r="Y363" s="39">
        <f t="shared" si="31"/>
        <v>1.4509259259259258E-3</v>
      </c>
      <c r="Z363" s="39">
        <f t="shared" si="35"/>
        <v>2.9566595596143348E-3</v>
      </c>
      <c r="AA363" s="41">
        <f t="shared" si="32"/>
        <v>253908796.29629651</v>
      </c>
      <c r="AB363" s="39">
        <f t="shared" si="33"/>
        <v>2.8571793240136142E-3</v>
      </c>
      <c r="AC363" s="38">
        <f t="shared" si="34"/>
        <v>0.41222432697391176</v>
      </c>
      <c r="AD363" s="3"/>
    </row>
    <row r="364" spans="1:30" x14ac:dyDescent="0.25">
      <c r="A364" s="37">
        <v>46000</v>
      </c>
      <c r="B364" s="41">
        <v>6700000.0000000307</v>
      </c>
      <c r="C364" s="41">
        <v>35185.185185185182</v>
      </c>
      <c r="D364" s="41">
        <v>23874999.99999994</v>
      </c>
      <c r="E364" s="41">
        <v>131944.44444444441</v>
      </c>
      <c r="F364" s="41">
        <v>31791666.666666579</v>
      </c>
      <c r="G364" s="41">
        <v>131944.44444444441</v>
      </c>
      <c r="H364" s="41">
        <v>50000000</v>
      </c>
      <c r="I364" s="41">
        <v>0</v>
      </c>
      <c r="J364" s="41">
        <v>0</v>
      </c>
      <c r="K364" s="41">
        <v>0</v>
      </c>
      <c r="L364" s="41">
        <v>4500000.0000000158</v>
      </c>
      <c r="M364" s="41">
        <v>27777.777777777781</v>
      </c>
      <c r="N364" s="41">
        <v>30700000.00000016</v>
      </c>
      <c r="O364" s="41">
        <v>79166.666666666672</v>
      </c>
      <c r="P364" s="41">
        <v>71999999.999999762</v>
      </c>
      <c r="Q364" s="41">
        <v>166666.66666666669</v>
      </c>
      <c r="R364" s="41">
        <v>16749999.999999961</v>
      </c>
      <c r="S364" s="41">
        <v>87962.962962962964</v>
      </c>
      <c r="T364" s="41">
        <v>10499999.999999991</v>
      </c>
      <c r="U364" s="41">
        <v>64814.814814814818</v>
      </c>
      <c r="V364" s="41">
        <v>246816666.66666639</v>
      </c>
      <c r="W364" s="41">
        <v>725462.96296296292</v>
      </c>
      <c r="X364" s="38">
        <f t="shared" si="30"/>
        <v>0.49363333333333276</v>
      </c>
      <c r="Y364" s="39">
        <f t="shared" si="31"/>
        <v>1.4509259259259258E-3</v>
      </c>
      <c r="Z364" s="39">
        <f t="shared" si="35"/>
        <v>2.9479434943007077E-3</v>
      </c>
      <c r="AA364" s="41">
        <f t="shared" si="32"/>
        <v>253183333.33333361</v>
      </c>
      <c r="AB364" s="39">
        <f t="shared" si="33"/>
        <v>2.8653661890446795E-3</v>
      </c>
      <c r="AC364" s="38">
        <f t="shared" si="34"/>
        <v>0.41186004385546637</v>
      </c>
      <c r="AD364" s="3"/>
    </row>
    <row r="365" spans="1:30" x14ac:dyDescent="0.25">
      <c r="A365" s="37">
        <v>46001</v>
      </c>
      <c r="B365" s="41">
        <v>6735185.1851852164</v>
      </c>
      <c r="C365" s="41">
        <v>35185.185185185182</v>
      </c>
      <c r="D365" s="41">
        <v>24006944.444444381</v>
      </c>
      <c r="E365" s="41">
        <v>131944.44444444441</v>
      </c>
      <c r="F365" s="41">
        <v>31923611.11111103</v>
      </c>
      <c r="G365" s="41">
        <v>131944.44444444441</v>
      </c>
      <c r="H365" s="41">
        <v>50000000</v>
      </c>
      <c r="I365" s="41">
        <v>0</v>
      </c>
      <c r="J365" s="41">
        <v>0</v>
      </c>
      <c r="K365" s="41">
        <v>0</v>
      </c>
      <c r="L365" s="41">
        <v>4527777.7777777938</v>
      </c>
      <c r="M365" s="41">
        <v>27777.777777777781</v>
      </c>
      <c r="N365" s="41">
        <v>30779166.666666832</v>
      </c>
      <c r="O365" s="41">
        <v>79166.666666666672</v>
      </c>
      <c r="P365" s="41">
        <v>72166666.666666433</v>
      </c>
      <c r="Q365" s="41">
        <v>166666.66666666669</v>
      </c>
      <c r="R365" s="41">
        <v>16837962.962962929</v>
      </c>
      <c r="S365" s="41">
        <v>87962.962962962964</v>
      </c>
      <c r="T365" s="41">
        <v>10564814.8148148</v>
      </c>
      <c r="U365" s="41">
        <v>64814.814814814818</v>
      </c>
      <c r="V365" s="41">
        <v>247542129.6296294</v>
      </c>
      <c r="W365" s="41">
        <v>725462.96296296292</v>
      </c>
      <c r="X365" s="38">
        <f t="shared" si="30"/>
        <v>0.49508425925925881</v>
      </c>
      <c r="Y365" s="39">
        <f t="shared" si="31"/>
        <v>1.4509259259259258E-3</v>
      </c>
      <c r="Z365" s="39">
        <f t="shared" si="35"/>
        <v>2.9392786668767522E-3</v>
      </c>
      <c r="AA365" s="41">
        <f t="shared" si="32"/>
        <v>252457870.3703706</v>
      </c>
      <c r="AB365" s="39">
        <f t="shared" si="33"/>
        <v>2.8736001056281824E-3</v>
      </c>
      <c r="AC365" s="38">
        <f t="shared" si="34"/>
        <v>0.41149808215706374</v>
      </c>
      <c r="AD365" s="3"/>
    </row>
    <row r="366" spans="1:30" x14ac:dyDescent="0.25">
      <c r="A366" s="37">
        <v>46002</v>
      </c>
      <c r="B366" s="41">
        <v>6770370.370370402</v>
      </c>
      <c r="C366" s="41">
        <v>35185.185185185182</v>
      </c>
      <c r="D366" s="41">
        <v>24138888.888888828</v>
      </c>
      <c r="E366" s="41">
        <v>131944.44444444441</v>
      </c>
      <c r="F366" s="41">
        <v>32055555.55555547</v>
      </c>
      <c r="G366" s="41">
        <v>131944.44444444441</v>
      </c>
      <c r="H366" s="41">
        <v>50000000</v>
      </c>
      <c r="I366" s="41">
        <v>0</v>
      </c>
      <c r="J366" s="41">
        <v>0</v>
      </c>
      <c r="K366" s="41">
        <v>0</v>
      </c>
      <c r="L366" s="41">
        <v>4555555.5555555718</v>
      </c>
      <c r="M366" s="41">
        <v>27777.777777777781</v>
      </c>
      <c r="N366" s="41">
        <v>30858333.3333335</v>
      </c>
      <c r="O366" s="41">
        <v>79166.666666666672</v>
      </c>
      <c r="P366" s="41">
        <v>72333333.333333105</v>
      </c>
      <c r="Q366" s="41">
        <v>166666.66666666669</v>
      </c>
      <c r="R366" s="41">
        <v>16925925.925925892</v>
      </c>
      <c r="S366" s="41">
        <v>87962.962962962964</v>
      </c>
      <c r="T366" s="41">
        <v>10629629.629629619</v>
      </c>
      <c r="U366" s="41">
        <v>64814.814814814818</v>
      </c>
      <c r="V366" s="41">
        <v>248267592.59259239</v>
      </c>
      <c r="W366" s="41">
        <v>725462.96296296292</v>
      </c>
      <c r="X366" s="38">
        <f t="shared" si="30"/>
        <v>0.4965351851851848</v>
      </c>
      <c r="Y366" s="39">
        <f t="shared" si="31"/>
        <v>1.4509259259259258E-3</v>
      </c>
      <c r="Z366" s="39">
        <f t="shared" si="35"/>
        <v>2.9306646268592541E-3</v>
      </c>
      <c r="AA366" s="41">
        <f t="shared" si="32"/>
        <v>251732407.40740761</v>
      </c>
      <c r="AB366" s="39">
        <f t="shared" si="33"/>
        <v>2.8818814805551137E-3</v>
      </c>
      <c r="AC366" s="38">
        <f t="shared" si="34"/>
        <v>0.41113841975906268</v>
      </c>
      <c r="AD366" s="3"/>
    </row>
    <row r="367" spans="1:30" x14ac:dyDescent="0.25">
      <c r="A367" s="37">
        <v>46003</v>
      </c>
      <c r="B367" s="41">
        <v>6805555.5555555876</v>
      </c>
      <c r="C367" s="41">
        <v>35185.185185185182</v>
      </c>
      <c r="D367" s="41">
        <v>24270833.333333269</v>
      </c>
      <c r="E367" s="41">
        <v>131944.44444444441</v>
      </c>
      <c r="F367" s="41">
        <v>32187499.999999911</v>
      </c>
      <c r="G367" s="41">
        <v>131944.44444444441</v>
      </c>
      <c r="H367" s="41">
        <v>50000000</v>
      </c>
      <c r="I367" s="41">
        <v>0</v>
      </c>
      <c r="J367" s="41">
        <v>0</v>
      </c>
      <c r="K367" s="41">
        <v>0</v>
      </c>
      <c r="L367" s="41">
        <v>4583333.3333333498</v>
      </c>
      <c r="M367" s="41">
        <v>27777.777777777781</v>
      </c>
      <c r="N367" s="41">
        <v>30937500.00000016</v>
      </c>
      <c r="O367" s="41">
        <v>79166.666666666672</v>
      </c>
      <c r="P367" s="41">
        <v>72499999.999999776</v>
      </c>
      <c r="Q367" s="41">
        <v>166666.66666666669</v>
      </c>
      <c r="R367" s="41">
        <v>17013888.888888851</v>
      </c>
      <c r="S367" s="41">
        <v>87962.962962962964</v>
      </c>
      <c r="T367" s="41">
        <v>10694444.444444429</v>
      </c>
      <c r="U367" s="41">
        <v>64814.814814814818</v>
      </c>
      <c r="V367" s="41">
        <v>248993055.55555531</v>
      </c>
      <c r="W367" s="41">
        <v>725462.96296296292</v>
      </c>
      <c r="X367" s="38">
        <f t="shared" si="30"/>
        <v>0.49798611111111063</v>
      </c>
      <c r="Y367" s="39">
        <f t="shared" si="31"/>
        <v>1.4509259259259258E-3</v>
      </c>
      <c r="Z367" s="39">
        <f t="shared" si="35"/>
        <v>2.9221009290304315E-3</v>
      </c>
      <c r="AA367" s="41">
        <f t="shared" si="32"/>
        <v>251006944.44444469</v>
      </c>
      <c r="AB367" s="39">
        <f t="shared" si="33"/>
        <v>2.8902107253193127E-3</v>
      </c>
      <c r="AC367" s="38">
        <f t="shared" si="34"/>
        <v>0.41078103482195433</v>
      </c>
      <c r="AD367" s="3"/>
    </row>
    <row r="368" spans="1:30" x14ac:dyDescent="0.25">
      <c r="A368" s="37">
        <v>46004</v>
      </c>
      <c r="B368" s="41">
        <v>6840740.7407407733</v>
      </c>
      <c r="C368" s="41">
        <v>35185.185185185182</v>
      </c>
      <c r="D368" s="41">
        <v>24402777.77777772</v>
      </c>
      <c r="E368" s="41">
        <v>131944.44444444441</v>
      </c>
      <c r="F368" s="41">
        <v>32319444.444444358</v>
      </c>
      <c r="G368" s="41">
        <v>131944.44444444441</v>
      </c>
      <c r="H368" s="41">
        <v>50000000</v>
      </c>
      <c r="I368" s="41">
        <v>0</v>
      </c>
      <c r="J368" s="41">
        <v>0</v>
      </c>
      <c r="K368" s="41">
        <v>0</v>
      </c>
      <c r="L368" s="41">
        <v>4611111.1111111278</v>
      </c>
      <c r="M368" s="41">
        <v>27777.777777777781</v>
      </c>
      <c r="N368" s="41">
        <v>31016666.666666832</v>
      </c>
      <c r="O368" s="41">
        <v>79166.666666666672</v>
      </c>
      <c r="P368" s="41">
        <v>72666666.666666448</v>
      </c>
      <c r="Q368" s="41">
        <v>166666.66666666669</v>
      </c>
      <c r="R368" s="41">
        <v>17101851.851851821</v>
      </c>
      <c r="S368" s="41">
        <v>87962.962962962964</v>
      </c>
      <c r="T368" s="41">
        <v>10759259.25925925</v>
      </c>
      <c r="U368" s="41">
        <v>64814.814814814818</v>
      </c>
      <c r="V368" s="41">
        <v>249718518.5185183</v>
      </c>
      <c r="W368" s="41">
        <v>725462.96296296292</v>
      </c>
      <c r="X368" s="38">
        <f t="shared" si="30"/>
        <v>0.49943703703703662</v>
      </c>
      <c r="Y368" s="39">
        <f t="shared" si="31"/>
        <v>1.4509259259259258E-3</v>
      </c>
      <c r="Z368" s="39">
        <f t="shared" si="35"/>
        <v>2.9135871333612262E-3</v>
      </c>
      <c r="AA368" s="41">
        <f t="shared" si="32"/>
        <v>250281481.4814817</v>
      </c>
      <c r="AB368" s="39">
        <f t="shared" si="33"/>
        <v>2.8985882561856254E-3</v>
      </c>
      <c r="AC368" s="38">
        <f t="shared" si="34"/>
        <v>0.41042590578194171</v>
      </c>
      <c r="AD368" s="3"/>
    </row>
    <row r="369" spans="1:30" s="55" customFormat="1" x14ac:dyDescent="0.25">
      <c r="A369" s="51">
        <v>46005</v>
      </c>
      <c r="B369" s="52">
        <v>6875925.9259259589</v>
      </c>
      <c r="C369" s="52">
        <v>35185.185185185182</v>
      </c>
      <c r="D369" s="52">
        <v>24534722.222222161</v>
      </c>
      <c r="E369" s="52">
        <v>131944.44444444441</v>
      </c>
      <c r="F369" s="52">
        <v>32451388.888888799</v>
      </c>
      <c r="G369" s="52">
        <v>131944.44444444441</v>
      </c>
      <c r="H369" s="52">
        <v>50000000</v>
      </c>
      <c r="I369" s="52">
        <v>0</v>
      </c>
      <c r="J369" s="52">
        <v>0</v>
      </c>
      <c r="K369" s="52">
        <v>0</v>
      </c>
      <c r="L369" s="52">
        <v>4638888.8888889058</v>
      </c>
      <c r="M369" s="52">
        <v>27777.777777777781</v>
      </c>
      <c r="N369" s="52">
        <v>31095833.3333335</v>
      </c>
      <c r="O369" s="52">
        <v>79166.666666666672</v>
      </c>
      <c r="P369" s="52">
        <v>72833333.33333312</v>
      </c>
      <c r="Q369" s="52">
        <v>166666.66666666669</v>
      </c>
      <c r="R369" s="52">
        <v>17189814.81481478</v>
      </c>
      <c r="S369" s="52">
        <v>87962.962962962964</v>
      </c>
      <c r="T369" s="52">
        <v>10824074.07407406</v>
      </c>
      <c r="U369" s="52">
        <v>64814.814814814818</v>
      </c>
      <c r="V369" s="52">
        <v>250443981.48148131</v>
      </c>
      <c r="W369" s="52">
        <v>725462.96296296292</v>
      </c>
      <c r="X369" s="53">
        <f t="shared" si="30"/>
        <v>0.50088796296296267</v>
      </c>
      <c r="Y369" s="54">
        <f t="shared" si="31"/>
        <v>1.4509259259259258E-3</v>
      </c>
      <c r="Z369" s="54">
        <f t="shared" si="35"/>
        <v>2.9051228049359304E-3</v>
      </c>
      <c r="AA369" s="52">
        <f t="shared" si="32"/>
        <v>249556018.51851869</v>
      </c>
      <c r="AB369" s="54">
        <f t="shared" si="33"/>
        <v>2.9070144942592471E-3</v>
      </c>
      <c r="AC369" s="53">
        <f t="shared" si="34"/>
        <v>0.41007301134660323</v>
      </c>
      <c r="AD369" s="53"/>
    </row>
    <row r="370" spans="1:30" x14ac:dyDescent="0.25">
      <c r="A370" s="37">
        <v>46006</v>
      </c>
      <c r="B370" s="41">
        <v>6911111.1111111445</v>
      </c>
      <c r="C370" s="41">
        <v>35185.185185185182</v>
      </c>
      <c r="D370" s="41">
        <v>24666666.666666601</v>
      </c>
      <c r="E370" s="41">
        <v>131944.44444444441</v>
      </c>
      <c r="F370" s="41">
        <v>32583333.33333325</v>
      </c>
      <c r="G370" s="41">
        <v>131944.44444444441</v>
      </c>
      <c r="H370" s="41">
        <v>50000000</v>
      </c>
      <c r="I370" s="41">
        <v>0</v>
      </c>
      <c r="J370" s="41">
        <v>0</v>
      </c>
      <c r="K370" s="41">
        <v>0</v>
      </c>
      <c r="L370" s="41">
        <v>4666666.6666666837</v>
      </c>
      <c r="M370" s="41">
        <v>27777.777777777781</v>
      </c>
      <c r="N370" s="41">
        <v>31175000.000000171</v>
      </c>
      <c r="O370" s="41">
        <v>79166.666666666672</v>
      </c>
      <c r="P370" s="41">
        <v>72999999.999999791</v>
      </c>
      <c r="Q370" s="41">
        <v>166666.66666666669</v>
      </c>
      <c r="R370" s="41">
        <v>17277777.777777739</v>
      </c>
      <c r="S370" s="41">
        <v>87962.962962962964</v>
      </c>
      <c r="T370" s="41">
        <v>10888888.888888881</v>
      </c>
      <c r="U370" s="41">
        <v>64814.814814814818</v>
      </c>
      <c r="V370" s="41">
        <v>251169444.44444421</v>
      </c>
      <c r="W370" s="41">
        <v>725462.96296296292</v>
      </c>
      <c r="X370" s="38">
        <f t="shared" si="30"/>
        <v>0.50233888888888845</v>
      </c>
      <c r="Y370" s="39">
        <f t="shared" si="31"/>
        <v>1.4509259259259258E-3</v>
      </c>
      <c r="Z370" s="39">
        <f t="shared" si="35"/>
        <v>2.8967075138781329E-3</v>
      </c>
      <c r="AA370" s="41">
        <f t="shared" si="32"/>
        <v>248830555.55555579</v>
      </c>
      <c r="AB370" s="39">
        <f t="shared" si="33"/>
        <v>2.9154898655562845E-3</v>
      </c>
      <c r="AC370" s="38">
        <f t="shared" si="34"/>
        <v>0.40972233049063672</v>
      </c>
      <c r="AD370" s="3"/>
    </row>
    <row r="371" spans="1:30" x14ac:dyDescent="0.25">
      <c r="A371" s="37">
        <v>46007</v>
      </c>
      <c r="B371" s="41">
        <v>6946296.2962963302</v>
      </c>
      <c r="C371" s="41">
        <v>35185.185185185182</v>
      </c>
      <c r="D371" s="41">
        <v>24798611.111111049</v>
      </c>
      <c r="E371" s="41">
        <v>131944.44444444441</v>
      </c>
      <c r="F371" s="41">
        <v>32715277.77777769</v>
      </c>
      <c r="G371" s="41">
        <v>131944.44444444441</v>
      </c>
      <c r="H371" s="41">
        <v>50000000</v>
      </c>
      <c r="I371" s="41">
        <v>0</v>
      </c>
      <c r="J371" s="41">
        <v>0</v>
      </c>
      <c r="K371" s="41">
        <v>0</v>
      </c>
      <c r="L371" s="41">
        <v>4694444.4444444617</v>
      </c>
      <c r="M371" s="41">
        <v>27777.777777777781</v>
      </c>
      <c r="N371" s="41">
        <v>31254166.666666839</v>
      </c>
      <c r="O371" s="41">
        <v>79166.666666666672</v>
      </c>
      <c r="P371" s="41">
        <v>73166666.666666463</v>
      </c>
      <c r="Q371" s="41">
        <v>166666.66666666669</v>
      </c>
      <c r="R371" s="41">
        <v>17365740.740740709</v>
      </c>
      <c r="S371" s="41">
        <v>87962.962962962964</v>
      </c>
      <c r="T371" s="41">
        <v>10953703.70370369</v>
      </c>
      <c r="U371" s="41">
        <v>64814.814814814818</v>
      </c>
      <c r="V371" s="41">
        <v>251894907.40740719</v>
      </c>
      <c r="W371" s="41">
        <v>725462.96296296292</v>
      </c>
      <c r="X371" s="38">
        <f t="shared" si="30"/>
        <v>0.50378981481481444</v>
      </c>
      <c r="Y371" s="39">
        <f t="shared" si="31"/>
        <v>1.4509259259259258E-3</v>
      </c>
      <c r="Z371" s="39">
        <f t="shared" si="35"/>
        <v>2.8883408352779433E-3</v>
      </c>
      <c r="AA371" s="41">
        <f t="shared" si="32"/>
        <v>248105092.59259281</v>
      </c>
      <c r="AB371" s="39">
        <f t="shared" si="33"/>
        <v>2.924014801075557E-3</v>
      </c>
      <c r="AC371" s="38">
        <f t="shared" si="34"/>
        <v>0.40937384245168301</v>
      </c>
      <c r="AD371" s="3"/>
    </row>
    <row r="372" spans="1:30" x14ac:dyDescent="0.25">
      <c r="A372" s="37">
        <v>46008</v>
      </c>
      <c r="B372" s="41">
        <v>6981481.4814815158</v>
      </c>
      <c r="C372" s="41">
        <v>35185.185185185182</v>
      </c>
      <c r="D372" s="41">
        <v>24930555.555555489</v>
      </c>
      <c r="E372" s="41">
        <v>131944.44444444441</v>
      </c>
      <c r="F372" s="41">
        <v>32847222.222222131</v>
      </c>
      <c r="G372" s="41">
        <v>131944.44444444441</v>
      </c>
      <c r="H372" s="41">
        <v>50000000</v>
      </c>
      <c r="I372" s="41">
        <v>0</v>
      </c>
      <c r="J372" s="41">
        <v>0</v>
      </c>
      <c r="K372" s="41">
        <v>0</v>
      </c>
      <c r="L372" s="41">
        <v>4722222.2222222397</v>
      </c>
      <c r="M372" s="41">
        <v>27777.777777777781</v>
      </c>
      <c r="N372" s="41">
        <v>31333333.3333335</v>
      </c>
      <c r="O372" s="41">
        <v>79166.666666666672</v>
      </c>
      <c r="P372" s="41">
        <v>73333333.333333135</v>
      </c>
      <c r="Q372" s="41">
        <v>166666.66666666669</v>
      </c>
      <c r="R372" s="41">
        <v>17453703.703703672</v>
      </c>
      <c r="S372" s="41">
        <v>87962.962962962964</v>
      </c>
      <c r="T372" s="41">
        <v>11018518.518518509</v>
      </c>
      <c r="U372" s="41">
        <v>64814.814814814818</v>
      </c>
      <c r="V372" s="41">
        <v>252620370.37037021</v>
      </c>
      <c r="W372" s="41">
        <v>725462.96296296292</v>
      </c>
      <c r="X372" s="38">
        <f t="shared" si="30"/>
        <v>0.50524074074074043</v>
      </c>
      <c r="Y372" s="39">
        <f t="shared" si="31"/>
        <v>1.4509259259259258E-3</v>
      </c>
      <c r="Z372" s="39">
        <f t="shared" si="35"/>
        <v>2.8800223491204651E-3</v>
      </c>
      <c r="AA372" s="41">
        <f t="shared" si="32"/>
        <v>247379629.62962979</v>
      </c>
      <c r="AB372" s="39">
        <f t="shared" si="33"/>
        <v>2.9325897368716529E-3</v>
      </c>
      <c r="AC372" s="38">
        <f t="shared" si="34"/>
        <v>0.40902752672622922</v>
      </c>
      <c r="AD372" s="3"/>
    </row>
    <row r="373" spans="1:30" x14ac:dyDescent="0.25">
      <c r="A373" s="37">
        <v>46009</v>
      </c>
      <c r="B373" s="41">
        <v>7016666.6666667014</v>
      </c>
      <c r="C373" s="41">
        <v>35185.185185185182</v>
      </c>
      <c r="D373" s="41">
        <v>25062499.99999994</v>
      </c>
      <c r="E373" s="41">
        <v>131944.44444444441</v>
      </c>
      <c r="F373" s="41">
        <v>32979166.666666579</v>
      </c>
      <c r="G373" s="41">
        <v>131944.44444444441</v>
      </c>
      <c r="H373" s="41">
        <v>50000000</v>
      </c>
      <c r="I373" s="41">
        <v>0</v>
      </c>
      <c r="J373" s="41">
        <v>0</v>
      </c>
      <c r="K373" s="41">
        <v>0</v>
      </c>
      <c r="L373" s="41">
        <v>4750000.0000000177</v>
      </c>
      <c r="M373" s="41">
        <v>27777.777777777781</v>
      </c>
      <c r="N373" s="41">
        <v>31412500.000000171</v>
      </c>
      <c r="O373" s="41">
        <v>79166.666666666672</v>
      </c>
      <c r="P373" s="41">
        <v>73499999.999999806</v>
      </c>
      <c r="Q373" s="41">
        <v>166666.66666666669</v>
      </c>
      <c r="R373" s="41">
        <v>17541666.666666631</v>
      </c>
      <c r="S373" s="41">
        <v>87962.962962962964</v>
      </c>
      <c r="T373" s="41">
        <v>11083333.333333321</v>
      </c>
      <c r="U373" s="41">
        <v>64814.814814814818</v>
      </c>
      <c r="V373" s="41">
        <v>253345833.3333331</v>
      </c>
      <c r="W373" s="41">
        <v>725462.96296296292</v>
      </c>
      <c r="X373" s="38">
        <f t="shared" si="30"/>
        <v>0.50669166666666621</v>
      </c>
      <c r="Y373" s="39">
        <f t="shared" si="31"/>
        <v>1.4509259259259258E-3</v>
      </c>
      <c r="Z373" s="39">
        <f t="shared" si="35"/>
        <v>2.8717516402155204E-3</v>
      </c>
      <c r="AA373" s="41">
        <f t="shared" si="32"/>
        <v>246654166.6666669</v>
      </c>
      <c r="AB373" s="39">
        <f t="shared" si="33"/>
        <v>2.941215114129279E-3</v>
      </c>
      <c r="AC373" s="38">
        <f t="shared" si="34"/>
        <v>0.40868336306558756</v>
      </c>
      <c r="AD373" s="3"/>
    </row>
    <row r="374" spans="1:30" x14ac:dyDescent="0.25">
      <c r="A374" s="37">
        <v>46010</v>
      </c>
      <c r="B374" s="41">
        <v>7051851.8518518871</v>
      </c>
      <c r="C374" s="41">
        <v>35185.185185185182</v>
      </c>
      <c r="D374" s="41">
        <v>25194444.444444381</v>
      </c>
      <c r="E374" s="41">
        <v>131944.44444444441</v>
      </c>
      <c r="F374" s="41">
        <v>33111111.111111019</v>
      </c>
      <c r="G374" s="41">
        <v>131944.44444444441</v>
      </c>
      <c r="H374" s="41">
        <v>50000000</v>
      </c>
      <c r="I374" s="41">
        <v>0</v>
      </c>
      <c r="J374" s="41">
        <v>0</v>
      </c>
      <c r="K374" s="41">
        <v>0</v>
      </c>
      <c r="L374" s="41">
        <v>4777777.7777777957</v>
      </c>
      <c r="M374" s="41">
        <v>27777.777777777781</v>
      </c>
      <c r="N374" s="41">
        <v>31491666.666666839</v>
      </c>
      <c r="O374" s="41">
        <v>79166.666666666672</v>
      </c>
      <c r="P374" s="41">
        <v>73666666.666666478</v>
      </c>
      <c r="Q374" s="41">
        <v>166666.66666666669</v>
      </c>
      <c r="R374" s="41">
        <v>17629629.62962959</v>
      </c>
      <c r="S374" s="41">
        <v>87962.962962962964</v>
      </c>
      <c r="T374" s="41">
        <v>11148148.14814814</v>
      </c>
      <c r="U374" s="41">
        <v>64814.814814814818</v>
      </c>
      <c r="V374" s="41">
        <v>254071296.29629609</v>
      </c>
      <c r="W374" s="41">
        <v>725462.96296296292</v>
      </c>
      <c r="X374" s="38">
        <f t="shared" si="30"/>
        <v>0.5081425925925922</v>
      </c>
      <c r="Y374" s="39">
        <f t="shared" si="31"/>
        <v>1.4509259259259258E-3</v>
      </c>
      <c r="Z374" s="39">
        <f t="shared" si="35"/>
        <v>2.8635282981285671E-3</v>
      </c>
      <c r="AA374" s="41">
        <f t="shared" si="32"/>
        <v>245928703.70370391</v>
      </c>
      <c r="AB374" s="39">
        <f t="shared" si="33"/>
        <v>2.9498913792389368E-3</v>
      </c>
      <c r="AC374" s="38">
        <f t="shared" si="34"/>
        <v>0.40834133147194734</v>
      </c>
      <c r="AD374" s="3"/>
    </row>
    <row r="375" spans="1:30" x14ac:dyDescent="0.25">
      <c r="A375" s="37">
        <v>46011</v>
      </c>
      <c r="B375" s="41">
        <v>7087037.0370370727</v>
      </c>
      <c r="C375" s="41">
        <v>35185.185185185182</v>
      </c>
      <c r="D375" s="41">
        <v>25326388.888888821</v>
      </c>
      <c r="E375" s="41">
        <v>131944.44444444441</v>
      </c>
      <c r="F375" s="41">
        <v>33243055.55555547</v>
      </c>
      <c r="G375" s="41">
        <v>131944.44444444441</v>
      </c>
      <c r="H375" s="41">
        <v>50000000</v>
      </c>
      <c r="I375" s="41">
        <v>0</v>
      </c>
      <c r="J375" s="41">
        <v>0</v>
      </c>
      <c r="K375" s="41">
        <v>0</v>
      </c>
      <c r="L375" s="41">
        <v>4805555.5555555737</v>
      </c>
      <c r="M375" s="41">
        <v>27777.777777777781</v>
      </c>
      <c r="N375" s="41">
        <v>31570833.333333511</v>
      </c>
      <c r="O375" s="41">
        <v>79166.666666666672</v>
      </c>
      <c r="P375" s="41">
        <v>73833333.33333315</v>
      </c>
      <c r="Q375" s="41">
        <v>166666.66666666669</v>
      </c>
      <c r="R375" s="41">
        <v>17717592.59259256</v>
      </c>
      <c r="S375" s="41">
        <v>87962.962962962964</v>
      </c>
      <c r="T375" s="41">
        <v>11212962.962962961</v>
      </c>
      <c r="U375" s="41">
        <v>64814.814814814818</v>
      </c>
      <c r="V375" s="41">
        <v>254796759.2592591</v>
      </c>
      <c r="W375" s="41">
        <v>725462.96296296292</v>
      </c>
      <c r="X375" s="38">
        <f t="shared" si="30"/>
        <v>0.5095935185185182</v>
      </c>
      <c r="Y375" s="39">
        <f t="shared" si="31"/>
        <v>1.4509259259259258E-3</v>
      </c>
      <c r="Z375" s="39">
        <f t="shared" si="35"/>
        <v>2.8553519171127984E-3</v>
      </c>
      <c r="AA375" s="41">
        <f t="shared" si="32"/>
        <v>245203240.7407409</v>
      </c>
      <c r="AB375" s="39">
        <f t="shared" si="33"/>
        <v>2.9586189838739195E-3</v>
      </c>
      <c r="AC375" s="38">
        <f t="shared" si="34"/>
        <v>0.40800141219450309</v>
      </c>
      <c r="AD375" s="3"/>
    </row>
    <row r="376" spans="1:30" x14ac:dyDescent="0.25">
      <c r="A376" s="37">
        <v>46012</v>
      </c>
      <c r="B376" s="41">
        <v>7122222.2222222583</v>
      </c>
      <c r="C376" s="41">
        <v>35185.185185185182</v>
      </c>
      <c r="D376" s="41">
        <v>25458333.333333269</v>
      </c>
      <c r="E376" s="41">
        <v>131944.44444444441</v>
      </c>
      <c r="F376" s="41">
        <v>33374999.999999911</v>
      </c>
      <c r="G376" s="41">
        <v>131944.44444444441</v>
      </c>
      <c r="H376" s="41">
        <v>50000000</v>
      </c>
      <c r="I376" s="41">
        <v>0</v>
      </c>
      <c r="J376" s="41">
        <v>0</v>
      </c>
      <c r="K376" s="41">
        <v>0</v>
      </c>
      <c r="L376" s="41">
        <v>4833333.3333333516</v>
      </c>
      <c r="M376" s="41">
        <v>27777.777777777781</v>
      </c>
      <c r="N376" s="41">
        <v>31650000.000000179</v>
      </c>
      <c r="O376" s="41">
        <v>79166.666666666672</v>
      </c>
      <c r="P376" s="41">
        <v>73999999.999999821</v>
      </c>
      <c r="Q376" s="41">
        <v>166666.66666666669</v>
      </c>
      <c r="R376" s="41">
        <v>17805555.555555519</v>
      </c>
      <c r="S376" s="41">
        <v>87962.962962962964</v>
      </c>
      <c r="T376" s="41">
        <v>11277777.777777771</v>
      </c>
      <c r="U376" s="41">
        <v>64814.814814814818</v>
      </c>
      <c r="V376" s="41">
        <v>255522222.22222209</v>
      </c>
      <c r="W376" s="41">
        <v>725462.96296296292</v>
      </c>
      <c r="X376" s="38">
        <f t="shared" si="30"/>
        <v>0.51104444444444419</v>
      </c>
      <c r="Y376" s="39">
        <f t="shared" si="31"/>
        <v>1.4509259259259258E-3</v>
      </c>
      <c r="Z376" s="39">
        <f t="shared" si="35"/>
        <v>2.8472220960424175E-3</v>
      </c>
      <c r="AA376" s="41">
        <f t="shared" si="32"/>
        <v>244477777.77777791</v>
      </c>
      <c r="AB376" s="39">
        <f t="shared" si="33"/>
        <v>2.9673983850687009E-3</v>
      </c>
      <c r="AC376" s="38">
        <f t="shared" si="34"/>
        <v>0.40766358572565231</v>
      </c>
      <c r="AD376" s="3"/>
    </row>
    <row r="377" spans="1:30" x14ac:dyDescent="0.25">
      <c r="A377" s="37">
        <v>46013</v>
      </c>
      <c r="B377" s="41">
        <v>7157407.407407444</v>
      </c>
      <c r="C377" s="41">
        <v>35185.185185185182</v>
      </c>
      <c r="D377" s="41">
        <v>25590277.777777709</v>
      </c>
      <c r="E377" s="41">
        <v>131944.44444444441</v>
      </c>
      <c r="F377" s="41">
        <v>33506944.444444351</v>
      </c>
      <c r="G377" s="41">
        <v>131944.44444444441</v>
      </c>
      <c r="H377" s="41">
        <v>50000000</v>
      </c>
      <c r="I377" s="41">
        <v>0</v>
      </c>
      <c r="J377" s="41">
        <v>0</v>
      </c>
      <c r="K377" s="41">
        <v>0</v>
      </c>
      <c r="L377" s="41">
        <v>4861111.1111111296</v>
      </c>
      <c r="M377" s="41">
        <v>27777.777777777781</v>
      </c>
      <c r="N377" s="41">
        <v>31729166.666666839</v>
      </c>
      <c r="O377" s="41">
        <v>79166.666666666672</v>
      </c>
      <c r="P377" s="41">
        <v>74166666.666666493</v>
      </c>
      <c r="Q377" s="41">
        <v>166666.66666666669</v>
      </c>
      <c r="R377" s="41">
        <v>17893518.518518481</v>
      </c>
      <c r="S377" s="41">
        <v>87962.962962962964</v>
      </c>
      <c r="T377" s="41">
        <v>11342592.59259259</v>
      </c>
      <c r="U377" s="41">
        <v>64814.814814814818</v>
      </c>
      <c r="V377" s="41">
        <v>256247685.18518499</v>
      </c>
      <c r="W377" s="41">
        <v>725462.96296296292</v>
      </c>
      <c r="X377" s="38">
        <f t="shared" si="30"/>
        <v>0.51249537037036996</v>
      </c>
      <c r="Y377" s="39">
        <f t="shared" si="31"/>
        <v>1.4509259259259258E-3</v>
      </c>
      <c r="Z377" s="39">
        <f t="shared" si="35"/>
        <v>2.839138438347032E-3</v>
      </c>
      <c r="AA377" s="41">
        <f t="shared" si="32"/>
        <v>243752314.81481501</v>
      </c>
      <c r="AB377" s="39">
        <f t="shared" si="33"/>
        <v>2.9762300452987125E-3</v>
      </c>
      <c r="AC377" s="38">
        <f t="shared" si="34"/>
        <v>0.4073278327972632</v>
      </c>
      <c r="AD377" s="3"/>
    </row>
    <row r="378" spans="1:30" x14ac:dyDescent="0.25">
      <c r="A378" s="37">
        <v>46014</v>
      </c>
      <c r="B378" s="41">
        <v>7192592.5925926296</v>
      </c>
      <c r="C378" s="41">
        <v>35185.185185185182</v>
      </c>
      <c r="D378" s="41">
        <v>25722222.222222161</v>
      </c>
      <c r="E378" s="41">
        <v>131944.44444444441</v>
      </c>
      <c r="F378" s="41">
        <v>33638888.888888799</v>
      </c>
      <c r="G378" s="41">
        <v>131944.44444444441</v>
      </c>
      <c r="H378" s="41">
        <v>50000000</v>
      </c>
      <c r="I378" s="41">
        <v>0</v>
      </c>
      <c r="J378" s="41">
        <v>0</v>
      </c>
      <c r="K378" s="41">
        <v>0</v>
      </c>
      <c r="L378" s="41">
        <v>4888888.8888889076</v>
      </c>
      <c r="M378" s="41">
        <v>27777.777777777781</v>
      </c>
      <c r="N378" s="41">
        <v>31808333.333333511</v>
      </c>
      <c r="O378" s="41">
        <v>79166.666666666672</v>
      </c>
      <c r="P378" s="41">
        <v>74333333.333333164</v>
      </c>
      <c r="Q378" s="41">
        <v>166666.66666666669</v>
      </c>
      <c r="R378" s="41">
        <v>17981481.48148144</v>
      </c>
      <c r="S378" s="41">
        <v>87962.962962962964</v>
      </c>
      <c r="T378" s="41">
        <v>11407407.407407399</v>
      </c>
      <c r="U378" s="41">
        <v>64814.814814814818</v>
      </c>
      <c r="V378" s="41">
        <v>256973148.148148</v>
      </c>
      <c r="W378" s="41">
        <v>725462.96296296292</v>
      </c>
      <c r="X378" s="38">
        <f t="shared" si="30"/>
        <v>0.51394629629629596</v>
      </c>
      <c r="Y378" s="39">
        <f t="shared" si="31"/>
        <v>1.4509259259259258E-3</v>
      </c>
      <c r="Z378" s="39">
        <f t="shared" si="35"/>
        <v>2.8311005519471742E-3</v>
      </c>
      <c r="AA378" s="41">
        <f t="shared" si="32"/>
        <v>243026851.851852</v>
      </c>
      <c r="AB378" s="39">
        <f t="shared" si="33"/>
        <v>2.9851144325615578E-3</v>
      </c>
      <c r="AC378" s="38">
        <f t="shared" si="34"/>
        <v>0.40699413437701104</v>
      </c>
      <c r="AD378" s="3"/>
    </row>
    <row r="379" spans="1:30" x14ac:dyDescent="0.25">
      <c r="A379" s="37">
        <v>46015</v>
      </c>
      <c r="B379" s="41">
        <v>7227777.7777778152</v>
      </c>
      <c r="C379" s="41">
        <v>35185.185185185182</v>
      </c>
      <c r="D379" s="41">
        <v>25854166.666666601</v>
      </c>
      <c r="E379" s="41">
        <v>131944.44444444441</v>
      </c>
      <c r="F379" s="41">
        <v>33770833.333333246</v>
      </c>
      <c r="G379" s="41">
        <v>131944.44444444441</v>
      </c>
      <c r="H379" s="41">
        <v>50000000</v>
      </c>
      <c r="I379" s="41">
        <v>0</v>
      </c>
      <c r="J379" s="41">
        <v>0</v>
      </c>
      <c r="K379" s="41">
        <v>0</v>
      </c>
      <c r="L379" s="41">
        <v>4916666.6666666856</v>
      </c>
      <c r="M379" s="41">
        <v>27777.777777777781</v>
      </c>
      <c r="N379" s="41">
        <v>31887500.000000179</v>
      </c>
      <c r="O379" s="41">
        <v>79166.666666666672</v>
      </c>
      <c r="P379" s="41">
        <v>74499999.999999836</v>
      </c>
      <c r="Q379" s="41">
        <v>166666.66666666669</v>
      </c>
      <c r="R379" s="41">
        <v>18069444.444444411</v>
      </c>
      <c r="S379" s="41">
        <v>87962.962962962964</v>
      </c>
      <c r="T379" s="41">
        <v>11472222.22222222</v>
      </c>
      <c r="U379" s="41">
        <v>64814.814814814818</v>
      </c>
      <c r="V379" s="41">
        <v>257698611.11111099</v>
      </c>
      <c r="W379" s="41">
        <v>725462.96296296292</v>
      </c>
      <c r="X379" s="38">
        <f t="shared" si="30"/>
        <v>0.51539722222222195</v>
      </c>
      <c r="Y379" s="39">
        <f t="shared" si="31"/>
        <v>1.4509259259259258E-3</v>
      </c>
      <c r="Z379" s="39">
        <f t="shared" si="35"/>
        <v>2.8231080491909026E-3</v>
      </c>
      <c r="AA379" s="41">
        <f t="shared" si="32"/>
        <v>242301388.88888901</v>
      </c>
      <c r="AB379" s="39">
        <f t="shared" si="33"/>
        <v>2.9940520204596722E-3</v>
      </c>
      <c r="AC379" s="38">
        <f t="shared" si="34"/>
        <v>0.40666247166478298</v>
      </c>
      <c r="AD379" s="3"/>
    </row>
    <row r="380" spans="1:30" x14ac:dyDescent="0.25">
      <c r="A380" s="37">
        <v>46016</v>
      </c>
      <c r="B380" s="41">
        <v>7262962.9629630009</v>
      </c>
      <c r="C380" s="41">
        <v>35185.185185185182</v>
      </c>
      <c r="D380" s="41">
        <v>25986111.111111041</v>
      </c>
      <c r="E380" s="41">
        <v>131944.44444444441</v>
      </c>
      <c r="F380" s="41">
        <v>33902777.777777687</v>
      </c>
      <c r="G380" s="41">
        <v>131944.44444444441</v>
      </c>
      <c r="H380" s="41">
        <v>50000000</v>
      </c>
      <c r="I380" s="41">
        <v>0</v>
      </c>
      <c r="J380" s="41">
        <v>0</v>
      </c>
      <c r="K380" s="41">
        <v>0</v>
      </c>
      <c r="L380" s="41">
        <v>4944444.4444444636</v>
      </c>
      <c r="M380" s="41">
        <v>27777.777777777781</v>
      </c>
      <c r="N380" s="41">
        <v>31966666.66666685</v>
      </c>
      <c r="O380" s="41">
        <v>79166.666666666672</v>
      </c>
      <c r="P380" s="41">
        <v>74666666.666666508</v>
      </c>
      <c r="Q380" s="41">
        <v>166666.66666666669</v>
      </c>
      <c r="R380" s="41">
        <v>18157407.407407369</v>
      </c>
      <c r="S380" s="41">
        <v>87962.962962962964</v>
      </c>
      <c r="T380" s="41">
        <v>11537037.03703703</v>
      </c>
      <c r="U380" s="41">
        <v>64814.814814814818</v>
      </c>
      <c r="V380" s="41">
        <v>258424074.074074</v>
      </c>
      <c r="W380" s="41">
        <v>725462.96296296292</v>
      </c>
      <c r="X380" s="38">
        <f t="shared" si="30"/>
        <v>0.51684814814814795</v>
      </c>
      <c r="Y380" s="39">
        <f t="shared" si="31"/>
        <v>1.4509259259259258E-3</v>
      </c>
      <c r="Z380" s="39">
        <f t="shared" si="35"/>
        <v>2.8151605467914907E-3</v>
      </c>
      <c r="AA380" s="41">
        <f t="shared" si="32"/>
        <v>241575925.925926</v>
      </c>
      <c r="AB380" s="39">
        <f t="shared" si="33"/>
        <v>3.0030432882844887E-3</v>
      </c>
      <c r="AC380" s="38">
        <f t="shared" si="34"/>
        <v>0.40633282608914628</v>
      </c>
      <c r="AD380" s="3"/>
    </row>
    <row r="381" spans="1:30" x14ac:dyDescent="0.25">
      <c r="A381" s="37">
        <v>46017</v>
      </c>
      <c r="B381" s="41">
        <v>7298148.1481481874</v>
      </c>
      <c r="C381" s="41">
        <v>35185.185185185182</v>
      </c>
      <c r="D381" s="41">
        <v>26118055.555555489</v>
      </c>
      <c r="E381" s="41">
        <v>131944.44444444441</v>
      </c>
      <c r="F381" s="41">
        <v>34034722.222222142</v>
      </c>
      <c r="G381" s="41">
        <v>131944.44444444441</v>
      </c>
      <c r="H381" s="41">
        <v>50000000</v>
      </c>
      <c r="I381" s="41">
        <v>0</v>
      </c>
      <c r="J381" s="41">
        <v>0</v>
      </c>
      <c r="K381" s="41">
        <v>0</v>
      </c>
      <c r="L381" s="41">
        <v>4972222.2222222416</v>
      </c>
      <c r="M381" s="41">
        <v>27777.777777777781</v>
      </c>
      <c r="N381" s="41">
        <v>32045833.333333511</v>
      </c>
      <c r="O381" s="41">
        <v>79166.666666666672</v>
      </c>
      <c r="P381" s="41">
        <v>74833333.333333179</v>
      </c>
      <c r="Q381" s="41">
        <v>166666.66666666669</v>
      </c>
      <c r="R381" s="41">
        <v>18245370.370370328</v>
      </c>
      <c r="S381" s="41">
        <v>87962.962962962964</v>
      </c>
      <c r="T381" s="41">
        <v>11601851.851851851</v>
      </c>
      <c r="U381" s="41">
        <v>64814.814814814818</v>
      </c>
      <c r="V381" s="41">
        <v>259149537.0370369</v>
      </c>
      <c r="W381" s="41">
        <v>725462.96296296292</v>
      </c>
      <c r="X381" s="38">
        <f t="shared" si="30"/>
        <v>0.51829907407407383</v>
      </c>
      <c r="Y381" s="39">
        <f t="shared" si="31"/>
        <v>1.4509259259259258E-3</v>
      </c>
      <c r="Z381" s="39">
        <f t="shared" si="35"/>
        <v>2.8072576657661471E-3</v>
      </c>
      <c r="AA381" s="41">
        <f t="shared" si="32"/>
        <v>240850462.9629631</v>
      </c>
      <c r="AB381" s="39">
        <f t="shared" si="33"/>
        <v>3.0120887211021112E-3</v>
      </c>
      <c r="AC381" s="38">
        <f t="shared" si="34"/>
        <v>0.40600517930388264</v>
      </c>
      <c r="AD381" s="3"/>
    </row>
    <row r="382" spans="1:30" x14ac:dyDescent="0.25">
      <c r="A382" s="37">
        <v>46018</v>
      </c>
      <c r="B382" s="41">
        <v>7333333.3333333721</v>
      </c>
      <c r="C382" s="41">
        <v>35185.185185185182</v>
      </c>
      <c r="D382" s="41">
        <v>26249999.999999929</v>
      </c>
      <c r="E382" s="41">
        <v>131944.44444444441</v>
      </c>
      <c r="F382" s="41">
        <v>34166666.66666659</v>
      </c>
      <c r="G382" s="41">
        <v>131944.44444444441</v>
      </c>
      <c r="H382" s="41">
        <v>50000000</v>
      </c>
      <c r="I382" s="41">
        <v>0</v>
      </c>
      <c r="J382" s="41">
        <v>0</v>
      </c>
      <c r="K382" s="41">
        <v>0</v>
      </c>
      <c r="L382" s="41">
        <v>5000000.0000000196</v>
      </c>
      <c r="M382" s="41">
        <v>27777.777777777781</v>
      </c>
      <c r="N382" s="41">
        <v>32125000.000000179</v>
      </c>
      <c r="O382" s="41">
        <v>79166.666666666672</v>
      </c>
      <c r="P382" s="41">
        <v>74999999.999999851</v>
      </c>
      <c r="Q382" s="41">
        <v>166666.66666666669</v>
      </c>
      <c r="R382" s="41">
        <v>18333333.333333291</v>
      </c>
      <c r="S382" s="41">
        <v>87962.962962962964</v>
      </c>
      <c r="T382" s="41">
        <v>11666666.66666666</v>
      </c>
      <c r="U382" s="41">
        <v>64814.814814814818</v>
      </c>
      <c r="V382" s="41">
        <v>259874999.99999991</v>
      </c>
      <c r="W382" s="41">
        <v>725462.96296296292</v>
      </c>
      <c r="X382" s="38">
        <f t="shared" si="30"/>
        <v>0.51974999999999982</v>
      </c>
      <c r="Y382" s="39">
        <f t="shared" si="31"/>
        <v>1.4509259259259258E-3</v>
      </c>
      <c r="Z382" s="39">
        <f t="shared" si="35"/>
        <v>2.7993990313757802E-3</v>
      </c>
      <c r="AA382" s="41">
        <f t="shared" si="32"/>
        <v>240125000.00000009</v>
      </c>
      <c r="AB382" s="39">
        <f t="shared" si="33"/>
        <v>3.0211888098405524E-3</v>
      </c>
      <c r="AC382" s="38">
        <f t="shared" si="34"/>
        <v>0.40567951318458323</v>
      </c>
      <c r="AD382" s="3"/>
    </row>
    <row r="383" spans="1:30" x14ac:dyDescent="0.25">
      <c r="A383" s="37">
        <v>46019</v>
      </c>
      <c r="B383" s="41">
        <v>7368518.5185185578</v>
      </c>
      <c r="C383" s="41">
        <v>35185.185185185182</v>
      </c>
      <c r="D383" s="41">
        <v>26381944.444444381</v>
      </c>
      <c r="E383" s="41">
        <v>131944.44444444441</v>
      </c>
      <c r="F383" s="41">
        <v>34298611.111111037</v>
      </c>
      <c r="G383" s="41">
        <v>131944.44444444441</v>
      </c>
      <c r="H383" s="41">
        <v>50000000</v>
      </c>
      <c r="I383" s="41">
        <v>0</v>
      </c>
      <c r="J383" s="41">
        <v>111111.11111111109</v>
      </c>
      <c r="K383" s="41">
        <v>111111.11111111109</v>
      </c>
      <c r="L383" s="41">
        <v>5027777.7777777975</v>
      </c>
      <c r="M383" s="41">
        <v>27777.777777777781</v>
      </c>
      <c r="N383" s="41">
        <v>32204166.66666685</v>
      </c>
      <c r="O383" s="41">
        <v>79166.666666666672</v>
      </c>
      <c r="P383" s="41">
        <v>75000000</v>
      </c>
      <c r="Q383" s="41">
        <v>0</v>
      </c>
      <c r="R383" s="41">
        <v>18421296.296296261</v>
      </c>
      <c r="S383" s="41">
        <v>87962.962962962964</v>
      </c>
      <c r="T383" s="41">
        <v>11731481.481481479</v>
      </c>
      <c r="U383" s="41">
        <v>64814.814814814818</v>
      </c>
      <c r="V383" s="41">
        <v>260544907.40740749</v>
      </c>
      <c r="W383" s="41">
        <v>669907.40740740742</v>
      </c>
      <c r="X383" s="38">
        <f t="shared" si="30"/>
        <v>0.52108981481481498</v>
      </c>
      <c r="Y383" s="39">
        <f t="shared" si="31"/>
        <v>1.3398148148148147E-3</v>
      </c>
      <c r="Z383" s="39">
        <f t="shared" si="35"/>
        <v>2.5778062815099861E-3</v>
      </c>
      <c r="AA383" s="41">
        <f t="shared" si="32"/>
        <v>239455092.59259251</v>
      </c>
      <c r="AB383" s="39">
        <f t="shared" si="33"/>
        <v>2.7976327425501195E-3</v>
      </c>
      <c r="AC383" s="38">
        <f t="shared" si="34"/>
        <v>0.40421481272627902</v>
      </c>
      <c r="AD383" s="3"/>
    </row>
    <row r="384" spans="1:30" x14ac:dyDescent="0.25">
      <c r="A384" s="37">
        <v>46020</v>
      </c>
      <c r="B384" s="41">
        <v>7403703.7037037434</v>
      </c>
      <c r="C384" s="41">
        <v>35185.185185185182</v>
      </c>
      <c r="D384" s="41">
        <v>26513888.888888821</v>
      </c>
      <c r="E384" s="41">
        <v>131944.44444444441</v>
      </c>
      <c r="F384" s="41">
        <v>34430555.555555493</v>
      </c>
      <c r="G384" s="41">
        <v>131944.44444444441</v>
      </c>
      <c r="H384" s="41">
        <v>50000000</v>
      </c>
      <c r="I384" s="41">
        <v>0</v>
      </c>
      <c r="J384" s="41">
        <v>222222.22222222219</v>
      </c>
      <c r="K384" s="41">
        <v>111111.11111111109</v>
      </c>
      <c r="L384" s="41">
        <v>5055555.5555555765</v>
      </c>
      <c r="M384" s="41">
        <v>27777.777777777781</v>
      </c>
      <c r="N384" s="41">
        <v>32283333.333333518</v>
      </c>
      <c r="O384" s="41">
        <v>79166.666666666672</v>
      </c>
      <c r="P384" s="41">
        <v>75000000</v>
      </c>
      <c r="Q384" s="41">
        <v>0</v>
      </c>
      <c r="R384" s="41">
        <v>18509259.25925922</v>
      </c>
      <c r="S384" s="41">
        <v>87962.962962962964</v>
      </c>
      <c r="T384" s="41">
        <v>11796296.296296289</v>
      </c>
      <c r="U384" s="41">
        <v>64814.814814814818</v>
      </c>
      <c r="V384" s="41">
        <v>261214814.8148149</v>
      </c>
      <c r="W384" s="41">
        <v>669907.40740740742</v>
      </c>
      <c r="X384" s="38">
        <f t="shared" si="30"/>
        <v>0.5224296296296298</v>
      </c>
      <c r="Y384" s="39">
        <f t="shared" si="31"/>
        <v>1.3398148148148147E-3</v>
      </c>
      <c r="Z384" s="39">
        <f t="shared" si="35"/>
        <v>2.5711782819838047E-3</v>
      </c>
      <c r="AA384" s="41">
        <f t="shared" si="32"/>
        <v>238785185.1851851</v>
      </c>
      <c r="AB384" s="39">
        <f t="shared" si="33"/>
        <v>2.8054814493113298E-3</v>
      </c>
      <c r="AC384" s="38">
        <f t="shared" si="34"/>
        <v>0.40276065078165385</v>
      </c>
      <c r="AD384" s="3"/>
    </row>
    <row r="385" spans="1:30" x14ac:dyDescent="0.25">
      <c r="A385" s="37">
        <v>46021</v>
      </c>
      <c r="B385" s="41">
        <v>7438888.888888929</v>
      </c>
      <c r="C385" s="41">
        <v>35185.185185185182</v>
      </c>
      <c r="D385" s="41">
        <v>26645833.333333269</v>
      </c>
      <c r="E385" s="41">
        <v>131944.44444444441</v>
      </c>
      <c r="F385" s="41">
        <v>34562499.999999933</v>
      </c>
      <c r="G385" s="41">
        <v>131944.44444444441</v>
      </c>
      <c r="H385" s="41">
        <v>50000000</v>
      </c>
      <c r="I385" s="41">
        <v>0</v>
      </c>
      <c r="J385" s="41">
        <v>333333.33333333331</v>
      </c>
      <c r="K385" s="41">
        <v>111111.11111111109</v>
      </c>
      <c r="L385" s="41">
        <v>5083333.3333333544</v>
      </c>
      <c r="M385" s="41">
        <v>27777.777777777781</v>
      </c>
      <c r="N385" s="41">
        <v>32362500.00000019</v>
      </c>
      <c r="O385" s="41">
        <v>79166.666666666672</v>
      </c>
      <c r="P385" s="41">
        <v>75000000</v>
      </c>
      <c r="Q385" s="41">
        <v>0</v>
      </c>
      <c r="R385" s="41">
        <v>18597222.222222179</v>
      </c>
      <c r="S385" s="41">
        <v>87962.962962962964</v>
      </c>
      <c r="T385" s="41">
        <v>11861111.11111111</v>
      </c>
      <c r="U385" s="41">
        <v>64814.814814814818</v>
      </c>
      <c r="V385" s="41">
        <v>261884722.2222223</v>
      </c>
      <c r="W385" s="41">
        <v>669907.40740740742</v>
      </c>
      <c r="X385" s="38">
        <f t="shared" si="30"/>
        <v>0.52376944444444462</v>
      </c>
      <c r="Y385" s="39">
        <f t="shared" si="31"/>
        <v>1.3398148148148147E-3</v>
      </c>
      <c r="Z385" s="39">
        <f t="shared" si="35"/>
        <v>2.5645842785843912E-3</v>
      </c>
      <c r="AA385" s="41">
        <f t="shared" si="32"/>
        <v>238115277.7777777</v>
      </c>
      <c r="AB385" s="39">
        <f t="shared" si="33"/>
        <v>2.8133743187726155E-3</v>
      </c>
      <c r="AC385" s="38">
        <f t="shared" si="34"/>
        <v>0.40131691402156688</v>
      </c>
      <c r="AD385" s="3"/>
    </row>
    <row r="386" spans="1:30" x14ac:dyDescent="0.25">
      <c r="A386" s="37">
        <v>46022</v>
      </c>
      <c r="B386" s="41">
        <v>7474074.0740741147</v>
      </c>
      <c r="C386" s="41">
        <v>35185.185185185182</v>
      </c>
      <c r="D386" s="41">
        <v>26777777.777777709</v>
      </c>
      <c r="E386" s="41">
        <v>131944.44444444441</v>
      </c>
      <c r="F386" s="41">
        <v>34694444.444444381</v>
      </c>
      <c r="G386" s="41">
        <v>131944.44444444441</v>
      </c>
      <c r="H386" s="41">
        <v>50000000</v>
      </c>
      <c r="I386" s="41">
        <v>0</v>
      </c>
      <c r="J386" s="41">
        <v>444444.44444444438</v>
      </c>
      <c r="K386" s="41">
        <v>111111.11111111109</v>
      </c>
      <c r="L386" s="41">
        <v>5111111.1111111306</v>
      </c>
      <c r="M386" s="41">
        <v>27777.777777777781</v>
      </c>
      <c r="N386" s="41">
        <v>32441666.66666685</v>
      </c>
      <c r="O386" s="41">
        <v>79166.666666666672</v>
      </c>
      <c r="P386" s="41">
        <v>75000000</v>
      </c>
      <c r="Q386" s="41">
        <v>0</v>
      </c>
      <c r="R386" s="41">
        <v>18685185.185185149</v>
      </c>
      <c r="S386" s="41">
        <v>87962.962962962964</v>
      </c>
      <c r="T386" s="41">
        <v>11925925.92592592</v>
      </c>
      <c r="U386" s="41">
        <v>64814.814814814818</v>
      </c>
      <c r="V386" s="41">
        <v>262554629.6296297</v>
      </c>
      <c r="W386" s="41">
        <v>669907.40740740742</v>
      </c>
      <c r="X386" s="38">
        <f t="shared" si="30"/>
        <v>0.52510925925925944</v>
      </c>
      <c r="Y386" s="39">
        <f t="shared" si="31"/>
        <v>1.3398148148148147E-3</v>
      </c>
      <c r="Z386" s="39">
        <f t="shared" si="35"/>
        <v>2.5580240104230191E-3</v>
      </c>
      <c r="AA386" s="41">
        <f t="shared" si="32"/>
        <v>237445370.3703703</v>
      </c>
      <c r="AB386" s="39">
        <f t="shared" si="33"/>
        <v>2.8213117247242064E-3</v>
      </c>
      <c r="AC386" s="38">
        <f t="shared" si="34"/>
        <v>0.3998834907360323</v>
      </c>
      <c r="AD386" s="3"/>
    </row>
    <row r="387" spans="1:30" x14ac:dyDescent="0.25">
      <c r="A387" s="37">
        <v>46023</v>
      </c>
      <c r="B387" s="41">
        <v>7509259.2592593003</v>
      </c>
      <c r="C387" s="41">
        <v>35185.185185185182</v>
      </c>
      <c r="D387" s="41">
        <v>26909722.222222149</v>
      </c>
      <c r="E387" s="41">
        <v>131944.44444444441</v>
      </c>
      <c r="F387" s="41">
        <v>34826388.888888828</v>
      </c>
      <c r="G387" s="41">
        <v>131944.44444444441</v>
      </c>
      <c r="H387" s="41">
        <v>50000000</v>
      </c>
      <c r="I387" s="41">
        <v>0</v>
      </c>
      <c r="J387" s="41">
        <v>555555.5555555555</v>
      </c>
      <c r="K387" s="41">
        <v>111111.11111111109</v>
      </c>
      <c r="L387" s="41">
        <v>5138888.8888889086</v>
      </c>
      <c r="M387" s="41">
        <v>27777.777777777781</v>
      </c>
      <c r="N387" s="41">
        <v>32520833.333333518</v>
      </c>
      <c r="O387" s="41">
        <v>79166.666666666672</v>
      </c>
      <c r="P387" s="41">
        <v>75000000</v>
      </c>
      <c r="Q387" s="41">
        <v>0</v>
      </c>
      <c r="R387" s="41">
        <v>18773148.148148108</v>
      </c>
      <c r="S387" s="41">
        <v>87962.962962962964</v>
      </c>
      <c r="T387" s="41">
        <v>11990740.740740741</v>
      </c>
      <c r="U387" s="41">
        <v>64814.814814814818</v>
      </c>
      <c r="V387" s="41">
        <v>263224537.0370371</v>
      </c>
      <c r="W387" s="41">
        <v>669907.40740740742</v>
      </c>
      <c r="X387" s="38">
        <f t="shared" si="30"/>
        <v>0.52644907407407426</v>
      </c>
      <c r="Y387" s="39">
        <f t="shared" si="31"/>
        <v>1.3398148148148147E-3</v>
      </c>
      <c r="Z387" s="39">
        <f t="shared" si="35"/>
        <v>2.5514972192735895E-3</v>
      </c>
      <c r="AA387" s="41">
        <f t="shared" si="32"/>
        <v>236775462.9629629</v>
      </c>
      <c r="AB387" s="39">
        <f t="shared" si="33"/>
        <v>2.8292940451865836E-3</v>
      </c>
      <c r="AC387" s="38">
        <f t="shared" si="34"/>
        <v>0.39846027080540614</v>
      </c>
      <c r="AD387" s="3"/>
    </row>
    <row r="388" spans="1:30" x14ac:dyDescent="0.25">
      <c r="A388" s="37">
        <v>46024</v>
      </c>
      <c r="B388" s="41">
        <v>7544444.4444444859</v>
      </c>
      <c r="C388" s="41">
        <v>35185.185185185182</v>
      </c>
      <c r="D388" s="41">
        <v>27041666.666666601</v>
      </c>
      <c r="E388" s="41">
        <v>131944.44444444441</v>
      </c>
      <c r="F388" s="41">
        <v>34958333.333333284</v>
      </c>
      <c r="G388" s="41">
        <v>131944.44444444441</v>
      </c>
      <c r="H388" s="41">
        <v>50000000</v>
      </c>
      <c r="I388" s="41">
        <v>0</v>
      </c>
      <c r="J388" s="41">
        <v>666666.66666666663</v>
      </c>
      <c r="K388" s="41">
        <v>111111.11111111109</v>
      </c>
      <c r="L388" s="41">
        <v>5166666.6666666865</v>
      </c>
      <c r="M388" s="41">
        <v>27777.777777777781</v>
      </c>
      <c r="N388" s="41">
        <v>32600000.00000019</v>
      </c>
      <c r="O388" s="41">
        <v>79166.666666666672</v>
      </c>
      <c r="P388" s="41">
        <v>75000000</v>
      </c>
      <c r="Q388" s="41">
        <v>0</v>
      </c>
      <c r="R388" s="41">
        <v>18861111.111111071</v>
      </c>
      <c r="S388" s="41">
        <v>87962.962962962964</v>
      </c>
      <c r="T388" s="41">
        <v>12055555.55555555</v>
      </c>
      <c r="U388" s="41">
        <v>64814.814814814818</v>
      </c>
      <c r="V388" s="41">
        <v>263894444.44444451</v>
      </c>
      <c r="W388" s="41">
        <v>669907.40740740742</v>
      </c>
      <c r="X388" s="38">
        <f t="shared" si="30"/>
        <v>0.52778888888888897</v>
      </c>
      <c r="Y388" s="39">
        <f t="shared" si="31"/>
        <v>1.3398148148148147E-3</v>
      </c>
      <c r="Z388" s="39">
        <f t="shared" si="35"/>
        <v>2.5450036495387506E-3</v>
      </c>
      <c r="AA388" s="41">
        <f t="shared" si="32"/>
        <v>236105555.55555549</v>
      </c>
      <c r="AB388" s="39">
        <f t="shared" si="33"/>
        <v>2.8373216624704902E-3</v>
      </c>
      <c r="AC388" s="38">
        <f t="shared" si="34"/>
        <v>0.39704714567218596</v>
      </c>
      <c r="AD388" s="3"/>
    </row>
    <row r="389" spans="1:30" x14ac:dyDescent="0.25">
      <c r="A389" s="37">
        <v>46025</v>
      </c>
      <c r="B389" s="41">
        <v>7579629.6296296716</v>
      </c>
      <c r="C389" s="41">
        <v>35185.185185185182</v>
      </c>
      <c r="D389" s="41">
        <v>27173611.111111041</v>
      </c>
      <c r="E389" s="41">
        <v>131944.44444444441</v>
      </c>
      <c r="F389" s="41">
        <v>35090277.777777717</v>
      </c>
      <c r="G389" s="41">
        <v>131944.44444444441</v>
      </c>
      <c r="H389" s="41">
        <v>50000000</v>
      </c>
      <c r="I389" s="41">
        <v>0</v>
      </c>
      <c r="J389" s="41">
        <v>777777.77777777775</v>
      </c>
      <c r="K389" s="41">
        <v>111111.11111111109</v>
      </c>
      <c r="L389" s="41">
        <v>5194444.4444444655</v>
      </c>
      <c r="M389" s="41">
        <v>27777.777777777781</v>
      </c>
      <c r="N389" s="41">
        <v>32679166.666666862</v>
      </c>
      <c r="O389" s="41">
        <v>79166.666666666672</v>
      </c>
      <c r="P389" s="41">
        <v>75000000</v>
      </c>
      <c r="Q389" s="41">
        <v>0</v>
      </c>
      <c r="R389" s="41">
        <v>18949074.07407403</v>
      </c>
      <c r="S389" s="41">
        <v>87962.962962962964</v>
      </c>
      <c r="T389" s="41">
        <v>12120370.370370369</v>
      </c>
      <c r="U389" s="41">
        <v>64814.814814814818</v>
      </c>
      <c r="V389" s="41">
        <v>264564351.85185191</v>
      </c>
      <c r="W389" s="41">
        <v>669907.40740740742</v>
      </c>
      <c r="X389" s="38">
        <f t="shared" si="30"/>
        <v>0.5291287037037038</v>
      </c>
      <c r="Y389" s="39">
        <f t="shared" si="31"/>
        <v>1.3398148148148147E-3</v>
      </c>
      <c r="Z389" s="39">
        <f t="shared" si="35"/>
        <v>2.5385430482165283E-3</v>
      </c>
      <c r="AA389" s="41">
        <f t="shared" si="32"/>
        <v>235435648.14814809</v>
      </c>
      <c r="AB389" s="39">
        <f t="shared" si="33"/>
        <v>2.8453949632379696E-3</v>
      </c>
      <c r="AC389" s="38">
        <f t="shared" si="34"/>
        <v>0.39564400831340857</v>
      </c>
      <c r="AD389" s="3"/>
    </row>
    <row r="390" spans="1:30" x14ac:dyDescent="0.25">
      <c r="A390" s="37">
        <v>46026</v>
      </c>
      <c r="B390" s="41">
        <v>7614814.8148148572</v>
      </c>
      <c r="C390" s="41">
        <v>35185.185185185182</v>
      </c>
      <c r="D390" s="41">
        <v>27305555.555555489</v>
      </c>
      <c r="E390" s="41">
        <v>131944.44444444441</v>
      </c>
      <c r="F390" s="41">
        <v>35222222.222222172</v>
      </c>
      <c r="G390" s="41">
        <v>131944.44444444441</v>
      </c>
      <c r="H390" s="41">
        <v>50000000</v>
      </c>
      <c r="I390" s="41">
        <v>0</v>
      </c>
      <c r="J390" s="41">
        <v>888888.88888888888</v>
      </c>
      <c r="K390" s="41">
        <v>111111.11111111109</v>
      </c>
      <c r="L390" s="41">
        <v>5222222.2222222434</v>
      </c>
      <c r="M390" s="41">
        <v>27777.777777777781</v>
      </c>
      <c r="N390" s="41">
        <v>32758333.33333353</v>
      </c>
      <c r="O390" s="41">
        <v>79166.666666666672</v>
      </c>
      <c r="P390" s="41">
        <v>75000000</v>
      </c>
      <c r="Q390" s="41">
        <v>0</v>
      </c>
      <c r="R390" s="41">
        <v>19037037.037037</v>
      </c>
      <c r="S390" s="41">
        <v>87962.962962962964</v>
      </c>
      <c r="T390" s="41">
        <v>12185185.185185179</v>
      </c>
      <c r="U390" s="41">
        <v>64814.814814814818</v>
      </c>
      <c r="V390" s="41">
        <v>265234259.25925931</v>
      </c>
      <c r="W390" s="41">
        <v>669907.40740740742</v>
      </c>
      <c r="X390" s="38">
        <f t="shared" si="30"/>
        <v>0.53046851851851862</v>
      </c>
      <c r="Y390" s="39">
        <f t="shared" si="31"/>
        <v>1.3398148148148147E-3</v>
      </c>
      <c r="Z390" s="39">
        <f t="shared" si="35"/>
        <v>2.5321151648674701E-3</v>
      </c>
      <c r="AA390" s="41">
        <f t="shared" si="32"/>
        <v>234765740.74074069</v>
      </c>
      <c r="AB390" s="39">
        <f t="shared" si="33"/>
        <v>2.8535143385644483E-3</v>
      </c>
      <c r="AC390" s="38">
        <f t="shared" si="34"/>
        <v>0.39425075321363023</v>
      </c>
      <c r="AD390" s="3"/>
    </row>
    <row r="391" spans="1:30" x14ac:dyDescent="0.25">
      <c r="A391" s="37">
        <v>46027</v>
      </c>
      <c r="B391" s="41">
        <v>7650000.0000000428</v>
      </c>
      <c r="C391" s="41">
        <v>35185.185185185182</v>
      </c>
      <c r="D391" s="41">
        <v>27437499.999999929</v>
      </c>
      <c r="E391" s="41">
        <v>131944.44444444441</v>
      </c>
      <c r="F391" s="41">
        <v>35354166.666666619</v>
      </c>
      <c r="G391" s="41">
        <v>131944.44444444441</v>
      </c>
      <c r="H391" s="41">
        <v>50000000</v>
      </c>
      <c r="I391" s="41">
        <v>0</v>
      </c>
      <c r="J391" s="41">
        <v>1000000</v>
      </c>
      <c r="K391" s="41">
        <v>111111.11111111109</v>
      </c>
      <c r="L391" s="41">
        <v>5250000.0000000214</v>
      </c>
      <c r="M391" s="41">
        <v>27777.777777777781</v>
      </c>
      <c r="N391" s="41">
        <v>32837500.00000019</v>
      </c>
      <c r="O391" s="41">
        <v>79166.666666666672</v>
      </c>
      <c r="P391" s="41">
        <v>75000000</v>
      </c>
      <c r="Q391" s="41">
        <v>0</v>
      </c>
      <c r="R391" s="41">
        <v>19124999.999999959</v>
      </c>
      <c r="S391" s="41">
        <v>87962.962962962964</v>
      </c>
      <c r="T391" s="41">
        <v>12250000</v>
      </c>
      <c r="U391" s="41">
        <v>64814.814814814818</v>
      </c>
      <c r="V391" s="41">
        <v>265904166.66666681</v>
      </c>
      <c r="W391" s="41">
        <v>669907.40740740742</v>
      </c>
      <c r="X391" s="38">
        <f t="shared" si="30"/>
        <v>0.53180833333333366</v>
      </c>
      <c r="Y391" s="39">
        <f t="shared" si="31"/>
        <v>1.3398148148148147E-3</v>
      </c>
      <c r="Z391" s="39">
        <f t="shared" si="35"/>
        <v>2.5257197515822834E-3</v>
      </c>
      <c r="AA391" s="41">
        <f t="shared" si="32"/>
        <v>234095833.33333319</v>
      </c>
      <c r="AB391" s="39">
        <f t="shared" si="33"/>
        <v>2.8616801840018846E-3</v>
      </c>
      <c r="AC391" s="38">
        <f t="shared" si="34"/>
        <v>0.39286727633847668</v>
      </c>
      <c r="AD391" s="3"/>
    </row>
    <row r="392" spans="1:30" x14ac:dyDescent="0.25">
      <c r="A392" s="37">
        <v>46028</v>
      </c>
      <c r="B392" s="41">
        <v>7685185.1851852275</v>
      </c>
      <c r="C392" s="41">
        <v>35185.185185185182</v>
      </c>
      <c r="D392" s="41">
        <v>27569444.44444437</v>
      </c>
      <c r="E392" s="41">
        <v>131944.44444444441</v>
      </c>
      <c r="F392" s="41">
        <v>35486111.111111067</v>
      </c>
      <c r="G392" s="41">
        <v>131944.44444444441</v>
      </c>
      <c r="H392" s="41">
        <v>50000000</v>
      </c>
      <c r="I392" s="41">
        <v>0</v>
      </c>
      <c r="J392" s="41">
        <v>1111111.111111111</v>
      </c>
      <c r="K392" s="41">
        <v>111111.11111111109</v>
      </c>
      <c r="L392" s="41">
        <v>5277777.7777777994</v>
      </c>
      <c r="M392" s="41">
        <v>27777.777777777781</v>
      </c>
      <c r="N392" s="41">
        <v>32916666.666666862</v>
      </c>
      <c r="O392" s="41">
        <v>79166.666666666672</v>
      </c>
      <c r="P392" s="41">
        <v>75000000</v>
      </c>
      <c r="Q392" s="41">
        <v>0</v>
      </c>
      <c r="R392" s="41">
        <v>19212962.962962922</v>
      </c>
      <c r="S392" s="41">
        <v>87962.962962962964</v>
      </c>
      <c r="T392" s="41">
        <v>12314814.814814821</v>
      </c>
      <c r="U392" s="41">
        <v>64814.814814814818</v>
      </c>
      <c r="V392" s="41">
        <v>266574074.07407421</v>
      </c>
      <c r="W392" s="41">
        <v>669907.40740740742</v>
      </c>
      <c r="X392" s="38">
        <f t="shared" si="30"/>
        <v>0.53314814814814837</v>
      </c>
      <c r="Y392" s="39">
        <f t="shared" si="31"/>
        <v>1.3398148148148147E-3</v>
      </c>
      <c r="Z392" s="39">
        <f t="shared" si="35"/>
        <v>2.5193565629499613E-3</v>
      </c>
      <c r="AA392" s="41">
        <f t="shared" si="32"/>
        <v>233425925.92592579</v>
      </c>
      <c r="AB392" s="39">
        <f t="shared" si="33"/>
        <v>2.8698928996430005E-3</v>
      </c>
      <c r="AC392" s="38">
        <f t="shared" si="34"/>
        <v>0.39149347510874793</v>
      </c>
      <c r="AD392" s="3"/>
    </row>
    <row r="393" spans="1:30" x14ac:dyDescent="0.25">
      <c r="A393" s="37">
        <v>46029</v>
      </c>
      <c r="B393" s="41">
        <v>7720370.3703704141</v>
      </c>
      <c r="C393" s="41">
        <v>35185.185185185182</v>
      </c>
      <c r="D393" s="41">
        <v>27701388.888888821</v>
      </c>
      <c r="E393" s="41">
        <v>131944.44444444441</v>
      </c>
      <c r="F393" s="41">
        <v>35618055.555555508</v>
      </c>
      <c r="G393" s="41">
        <v>131944.44444444441</v>
      </c>
      <c r="H393" s="41">
        <v>50000000</v>
      </c>
      <c r="I393" s="41">
        <v>0</v>
      </c>
      <c r="J393" s="41">
        <v>1222222.222222222</v>
      </c>
      <c r="K393" s="41">
        <v>111111.11111111109</v>
      </c>
      <c r="L393" s="41">
        <v>5305555.5555555774</v>
      </c>
      <c r="M393" s="41">
        <v>27777.777777777781</v>
      </c>
      <c r="N393" s="41">
        <v>32995833.33333353</v>
      </c>
      <c r="O393" s="41">
        <v>79166.666666666672</v>
      </c>
      <c r="P393" s="41">
        <v>75000000</v>
      </c>
      <c r="Q393" s="41">
        <v>0</v>
      </c>
      <c r="R393" s="41">
        <v>19300925.925925881</v>
      </c>
      <c r="S393" s="41">
        <v>87962.962962962964</v>
      </c>
      <c r="T393" s="41">
        <v>12379629.629629631</v>
      </c>
      <c r="U393" s="41">
        <v>64814.814814814818</v>
      </c>
      <c r="V393" s="41">
        <v>267243981.48148161</v>
      </c>
      <c r="W393" s="41">
        <v>669907.40740740742</v>
      </c>
      <c r="X393" s="38">
        <f t="shared" si="30"/>
        <v>0.53448796296296319</v>
      </c>
      <c r="Y393" s="39">
        <f t="shared" si="31"/>
        <v>1.3398148148148147E-3</v>
      </c>
      <c r="Z393" s="39">
        <f t="shared" si="35"/>
        <v>2.5130253560263966E-3</v>
      </c>
      <c r="AA393" s="41">
        <f t="shared" si="32"/>
        <v>232756018.51851839</v>
      </c>
      <c r="AB393" s="39">
        <f t="shared" si="33"/>
        <v>2.8781528901866342E-3</v>
      </c>
      <c r="AC393" s="38">
        <f t="shared" si="34"/>
        <v>0.39012924837506324</v>
      </c>
      <c r="AD393" s="3"/>
    </row>
    <row r="394" spans="1:30" x14ac:dyDescent="0.25">
      <c r="A394" s="37">
        <v>46030</v>
      </c>
      <c r="B394" s="41">
        <v>7755555.5555555997</v>
      </c>
      <c r="C394" s="41">
        <v>35185.185185185182</v>
      </c>
      <c r="D394" s="41">
        <v>27833333.333333261</v>
      </c>
      <c r="E394" s="41">
        <v>131944.44444444441</v>
      </c>
      <c r="F394" s="41">
        <v>35749999.999999963</v>
      </c>
      <c r="G394" s="41">
        <v>131944.44444444441</v>
      </c>
      <c r="H394" s="41">
        <v>50000000</v>
      </c>
      <c r="I394" s="41">
        <v>0</v>
      </c>
      <c r="J394" s="41">
        <v>1333333.333333333</v>
      </c>
      <c r="K394" s="41">
        <v>111111.11111111109</v>
      </c>
      <c r="L394" s="41">
        <v>5333333.3333333554</v>
      </c>
      <c r="M394" s="41">
        <v>27777.777777777781</v>
      </c>
      <c r="N394" s="41">
        <v>33075000.000000201</v>
      </c>
      <c r="O394" s="41">
        <v>79166.666666666672</v>
      </c>
      <c r="P394" s="41">
        <v>75000000</v>
      </c>
      <c r="Q394" s="41">
        <v>0</v>
      </c>
      <c r="R394" s="41">
        <v>19388888.888888851</v>
      </c>
      <c r="S394" s="41">
        <v>87962.962962962964</v>
      </c>
      <c r="T394" s="41">
        <v>12444444.44444445</v>
      </c>
      <c r="U394" s="41">
        <v>64814.814814814818</v>
      </c>
      <c r="V394" s="41">
        <v>267913888.88888901</v>
      </c>
      <c r="W394" s="41">
        <v>669907.40740740742</v>
      </c>
      <c r="X394" s="38">
        <f t="shared" si="30"/>
        <v>0.53582777777777801</v>
      </c>
      <c r="Y394" s="39">
        <f t="shared" si="31"/>
        <v>1.3398148148148147E-3</v>
      </c>
      <c r="Z394" s="39">
        <f t="shared" si="35"/>
        <v>2.5067258903034564E-3</v>
      </c>
      <c r="AA394" s="41">
        <f t="shared" si="32"/>
        <v>232086111.11111099</v>
      </c>
      <c r="AB394" s="39">
        <f t="shared" si="33"/>
        <v>2.8864605650042105E-3</v>
      </c>
      <c r="AC394" s="38">
        <f t="shared" si="34"/>
        <v>0.38877449639303635</v>
      </c>
      <c r="AD394" s="3"/>
    </row>
    <row r="395" spans="1:30" x14ac:dyDescent="0.25">
      <c r="A395" s="37">
        <v>46031</v>
      </c>
      <c r="B395" s="41">
        <v>7790740.7407407854</v>
      </c>
      <c r="C395" s="41">
        <v>35185.185185185182</v>
      </c>
      <c r="D395" s="41">
        <v>27965277.777777709</v>
      </c>
      <c r="E395" s="41">
        <v>131944.44444444441</v>
      </c>
      <c r="F395" s="41">
        <v>35881944.444444411</v>
      </c>
      <c r="G395" s="41">
        <v>131944.44444444441</v>
      </c>
      <c r="H395" s="41">
        <v>50000000</v>
      </c>
      <c r="I395" s="41">
        <v>0</v>
      </c>
      <c r="J395" s="41">
        <v>1444444.444444444</v>
      </c>
      <c r="K395" s="41">
        <v>111111.11111111109</v>
      </c>
      <c r="L395" s="41">
        <v>5361111.1111111334</v>
      </c>
      <c r="M395" s="41">
        <v>27777.777777777781</v>
      </c>
      <c r="N395" s="41">
        <v>33154166.666666869</v>
      </c>
      <c r="O395" s="41">
        <v>79166.666666666672</v>
      </c>
      <c r="P395" s="41">
        <v>75000000</v>
      </c>
      <c r="Q395" s="41">
        <v>0</v>
      </c>
      <c r="R395" s="41">
        <v>19476851.85185181</v>
      </c>
      <c r="S395" s="41">
        <v>87962.962962962964</v>
      </c>
      <c r="T395" s="41">
        <v>12509259.259259259</v>
      </c>
      <c r="U395" s="41">
        <v>64814.814814814818</v>
      </c>
      <c r="V395" s="41">
        <v>268583796.29629642</v>
      </c>
      <c r="W395" s="41">
        <v>669907.40740740742</v>
      </c>
      <c r="X395" s="38">
        <f t="shared" si="30"/>
        <v>0.53716759259259284</v>
      </c>
      <c r="Y395" s="39">
        <f t="shared" si="31"/>
        <v>1.3398148148148147E-3</v>
      </c>
      <c r="Z395" s="39">
        <f t="shared" si="35"/>
        <v>2.5004579276785301E-3</v>
      </c>
      <c r="AA395" s="41">
        <f t="shared" si="32"/>
        <v>231416203.70370358</v>
      </c>
      <c r="AB395" s="39">
        <f t="shared" si="33"/>
        <v>2.8948163382073759E-3</v>
      </c>
      <c r="AC395" s="38">
        <f t="shared" si="34"/>
        <v>0.38742912079896469</v>
      </c>
      <c r="AD395" s="3"/>
    </row>
    <row r="396" spans="1:30" x14ac:dyDescent="0.25">
      <c r="A396" s="37">
        <v>46032</v>
      </c>
      <c r="B396" s="41">
        <v>7825925.925925971</v>
      </c>
      <c r="C396" s="41">
        <v>35185.185185185182</v>
      </c>
      <c r="D396" s="41">
        <v>28097222.222222149</v>
      </c>
      <c r="E396" s="41">
        <v>131944.44444444441</v>
      </c>
      <c r="F396" s="41">
        <v>36013888.888888858</v>
      </c>
      <c r="G396" s="41">
        <v>131944.44444444441</v>
      </c>
      <c r="H396" s="41">
        <v>50000000</v>
      </c>
      <c r="I396" s="41">
        <v>0</v>
      </c>
      <c r="J396" s="41">
        <v>1555555.555555555</v>
      </c>
      <c r="K396" s="41">
        <v>111111.11111111109</v>
      </c>
      <c r="L396" s="41">
        <v>5388888.8888889113</v>
      </c>
      <c r="M396" s="41">
        <v>27777.777777777781</v>
      </c>
      <c r="N396" s="41">
        <v>33233333.33333353</v>
      </c>
      <c r="O396" s="41">
        <v>79166.666666666672</v>
      </c>
      <c r="P396" s="41">
        <v>75000000</v>
      </c>
      <c r="Q396" s="41">
        <v>0</v>
      </c>
      <c r="R396" s="41">
        <v>19564814.814814769</v>
      </c>
      <c r="S396" s="41">
        <v>87962.962962962964</v>
      </c>
      <c r="T396" s="41">
        <v>12574074.07407408</v>
      </c>
      <c r="U396" s="41">
        <v>64814.814814814818</v>
      </c>
      <c r="V396" s="41">
        <v>269253703.70370382</v>
      </c>
      <c r="W396" s="41">
        <v>669907.40740740742</v>
      </c>
      <c r="X396" s="38">
        <f t="shared" si="30"/>
        <v>0.53850740740740766</v>
      </c>
      <c r="Y396" s="39">
        <f t="shared" si="31"/>
        <v>1.3398148148148147E-3</v>
      </c>
      <c r="Z396" s="39">
        <f t="shared" si="35"/>
        <v>2.4942212324245302E-3</v>
      </c>
      <c r="AA396" s="41">
        <f t="shared" si="32"/>
        <v>230746296.29629618</v>
      </c>
      <c r="AB396" s="39">
        <f t="shared" si="33"/>
        <v>2.9032206287168062E-3</v>
      </c>
      <c r="AC396" s="38">
        <f t="shared" si="34"/>
        <v>0.38609302458602224</v>
      </c>
      <c r="AD396" s="3"/>
    </row>
    <row r="397" spans="1:30" x14ac:dyDescent="0.25">
      <c r="A397" s="37">
        <v>46033</v>
      </c>
      <c r="B397" s="41">
        <v>7861111.1111111566</v>
      </c>
      <c r="C397" s="41">
        <v>35185.185185185182</v>
      </c>
      <c r="D397" s="41">
        <v>28229166.66666659</v>
      </c>
      <c r="E397" s="41">
        <v>131944.44444444441</v>
      </c>
      <c r="F397" s="41">
        <v>36145833.333333313</v>
      </c>
      <c r="G397" s="41">
        <v>131944.44444444441</v>
      </c>
      <c r="H397" s="41">
        <v>50000000</v>
      </c>
      <c r="I397" s="41">
        <v>0</v>
      </c>
      <c r="J397" s="41">
        <v>1666666.666666666</v>
      </c>
      <c r="K397" s="41">
        <v>111111.11111111109</v>
      </c>
      <c r="L397" s="41">
        <v>5416666.6666666893</v>
      </c>
      <c r="M397" s="41">
        <v>27777.777777777781</v>
      </c>
      <c r="N397" s="41">
        <v>33312500.000000201</v>
      </c>
      <c r="O397" s="41">
        <v>79166.666666666672</v>
      </c>
      <c r="P397" s="41">
        <v>75000000</v>
      </c>
      <c r="Q397" s="41">
        <v>0</v>
      </c>
      <c r="R397" s="41">
        <v>19652777.777777739</v>
      </c>
      <c r="S397" s="41">
        <v>87962.962962962964</v>
      </c>
      <c r="T397" s="41">
        <v>12638888.88888889</v>
      </c>
      <c r="U397" s="41">
        <v>64814.814814814818</v>
      </c>
      <c r="V397" s="41">
        <v>269923611.11111122</v>
      </c>
      <c r="W397" s="41">
        <v>669907.40740740742</v>
      </c>
      <c r="X397" s="38">
        <f t="shared" si="30"/>
        <v>0.53984722222222248</v>
      </c>
      <c r="Y397" s="39">
        <f t="shared" si="31"/>
        <v>1.3398148148148147E-3</v>
      </c>
      <c r="Z397" s="39">
        <f t="shared" si="35"/>
        <v>2.4880155711603392E-3</v>
      </c>
      <c r="AA397" s="41">
        <f t="shared" si="32"/>
        <v>230076388.88888878</v>
      </c>
      <c r="AB397" s="39">
        <f t="shared" si="33"/>
        <v>2.9116738603322178E-3</v>
      </c>
      <c r="AC397" s="38">
        <f t="shared" si="34"/>
        <v>0.38476611208094319</v>
      </c>
      <c r="AD397" s="3"/>
    </row>
    <row r="398" spans="1:30" x14ac:dyDescent="0.25">
      <c r="A398" s="37">
        <v>46034</v>
      </c>
      <c r="B398" s="41">
        <v>7896296.2962963423</v>
      </c>
      <c r="C398" s="41">
        <v>35185.185185185182</v>
      </c>
      <c r="D398" s="41">
        <v>28361111.111111041</v>
      </c>
      <c r="E398" s="41">
        <v>131944.44444444441</v>
      </c>
      <c r="F398" s="41">
        <v>36277777.777777746</v>
      </c>
      <c r="G398" s="41">
        <v>131944.44444444441</v>
      </c>
      <c r="H398" s="41">
        <v>50000000</v>
      </c>
      <c r="I398" s="41">
        <v>0</v>
      </c>
      <c r="J398" s="41">
        <v>1777777.7777777771</v>
      </c>
      <c r="K398" s="41">
        <v>111111.11111111109</v>
      </c>
      <c r="L398" s="41">
        <v>5444444.4444444673</v>
      </c>
      <c r="M398" s="41">
        <v>27777.777777777781</v>
      </c>
      <c r="N398" s="41">
        <v>33391666.666666869</v>
      </c>
      <c r="O398" s="41">
        <v>79166.666666666672</v>
      </c>
      <c r="P398" s="41">
        <v>75000000</v>
      </c>
      <c r="Q398" s="41">
        <v>0</v>
      </c>
      <c r="R398" s="41">
        <v>19740740.740740702</v>
      </c>
      <c r="S398" s="41">
        <v>87962.962962962964</v>
      </c>
      <c r="T398" s="41">
        <v>12703703.703703711</v>
      </c>
      <c r="U398" s="41">
        <v>64814.814814814818</v>
      </c>
      <c r="V398" s="41">
        <v>270593518.51851863</v>
      </c>
      <c r="W398" s="41">
        <v>669907.40740740742</v>
      </c>
      <c r="X398" s="38">
        <f t="shared" si="30"/>
        <v>0.5411870370370373</v>
      </c>
      <c r="Y398" s="39">
        <f t="shared" si="31"/>
        <v>1.3398148148148147E-3</v>
      </c>
      <c r="Z398" s="39">
        <f t="shared" si="35"/>
        <v>2.4818407128216992E-3</v>
      </c>
      <c r="AA398" s="41">
        <f t="shared" si="32"/>
        <v>229406481.48148137</v>
      </c>
      <c r="AB398" s="39">
        <f t="shared" si="33"/>
        <v>2.9201764618036088E-3</v>
      </c>
      <c r="AC398" s="38">
        <f t="shared" si="34"/>
        <v>0.3834482889211846</v>
      </c>
      <c r="AD398" s="3"/>
    </row>
    <row r="399" spans="1:30" x14ac:dyDescent="0.25">
      <c r="A399" s="37">
        <v>46035</v>
      </c>
      <c r="B399" s="41">
        <v>7931481.4814815279</v>
      </c>
      <c r="C399" s="41">
        <v>35185.185185185182</v>
      </c>
      <c r="D399" s="41">
        <v>28493055.555555481</v>
      </c>
      <c r="E399" s="41">
        <v>131944.44444444441</v>
      </c>
      <c r="F399" s="41">
        <v>36409722.222222202</v>
      </c>
      <c r="G399" s="41">
        <v>131944.44444444441</v>
      </c>
      <c r="H399" s="41">
        <v>50000000</v>
      </c>
      <c r="I399" s="41">
        <v>0</v>
      </c>
      <c r="J399" s="41">
        <v>1888888.8888888881</v>
      </c>
      <c r="K399" s="41">
        <v>111111.11111111109</v>
      </c>
      <c r="L399" s="41">
        <v>5472222.2222222453</v>
      </c>
      <c r="M399" s="41">
        <v>27777.777777777781</v>
      </c>
      <c r="N399" s="41">
        <v>33470833.333333541</v>
      </c>
      <c r="O399" s="41">
        <v>79166.666666666672</v>
      </c>
      <c r="P399" s="41">
        <v>75000000</v>
      </c>
      <c r="Q399" s="41">
        <v>0</v>
      </c>
      <c r="R399" s="41">
        <v>19828703.703703661</v>
      </c>
      <c r="S399" s="41">
        <v>87962.962962962964</v>
      </c>
      <c r="T399" s="41">
        <v>12768518.518518521</v>
      </c>
      <c r="U399" s="41">
        <v>64814.814814814818</v>
      </c>
      <c r="V399" s="41">
        <v>271263425.92592609</v>
      </c>
      <c r="W399" s="41">
        <v>669907.40740740742</v>
      </c>
      <c r="X399" s="38">
        <f t="shared" si="30"/>
        <v>0.54252685185185223</v>
      </c>
      <c r="Y399" s="39">
        <f t="shared" si="31"/>
        <v>1.3398148148148147E-3</v>
      </c>
      <c r="Z399" s="39">
        <f t="shared" si="35"/>
        <v>2.4756964286325317E-3</v>
      </c>
      <c r="AA399" s="41">
        <f t="shared" si="32"/>
        <v>228736574.07407391</v>
      </c>
      <c r="AB399" s="39">
        <f t="shared" si="33"/>
        <v>2.9287288669037469E-3</v>
      </c>
      <c r="AC399" s="38">
        <f t="shared" si="34"/>
        <v>0.382139462032557</v>
      </c>
      <c r="AD399" s="3"/>
    </row>
    <row r="400" spans="1:30" x14ac:dyDescent="0.25">
      <c r="A400" s="37">
        <v>46036</v>
      </c>
      <c r="B400" s="41">
        <v>7966666.6666667135</v>
      </c>
      <c r="C400" s="41">
        <v>35185.185185185182</v>
      </c>
      <c r="D400" s="41">
        <v>28624999.999999929</v>
      </c>
      <c r="E400" s="41">
        <v>131944.44444444441</v>
      </c>
      <c r="F400" s="41">
        <v>36541666.666666649</v>
      </c>
      <c r="G400" s="41">
        <v>131944.44444444441</v>
      </c>
      <c r="H400" s="41">
        <v>50000000</v>
      </c>
      <c r="I400" s="41">
        <v>0</v>
      </c>
      <c r="J400" s="41">
        <v>1999999.9999999991</v>
      </c>
      <c r="K400" s="41">
        <v>111111.11111111109</v>
      </c>
      <c r="L400" s="41">
        <v>5500000.0000000233</v>
      </c>
      <c r="M400" s="41">
        <v>27777.777777777781</v>
      </c>
      <c r="N400" s="41">
        <v>33550000.000000201</v>
      </c>
      <c r="O400" s="41">
        <v>79166.666666666672</v>
      </c>
      <c r="P400" s="41">
        <v>75000000</v>
      </c>
      <c r="Q400" s="41">
        <v>0</v>
      </c>
      <c r="R400" s="41">
        <v>19916666.666666619</v>
      </c>
      <c r="S400" s="41">
        <v>87962.962962962964</v>
      </c>
      <c r="T400" s="41">
        <v>12833333.33333334</v>
      </c>
      <c r="U400" s="41">
        <v>64814.814814814818</v>
      </c>
      <c r="V400" s="41">
        <v>271933333.33333349</v>
      </c>
      <c r="W400" s="41">
        <v>669907.40740740742</v>
      </c>
      <c r="X400" s="38">
        <f t="shared" si="30"/>
        <v>0.54386666666666694</v>
      </c>
      <c r="Y400" s="39">
        <f t="shared" si="31"/>
        <v>1.3398148148148147E-3</v>
      </c>
      <c r="Z400" s="39">
        <f t="shared" si="35"/>
        <v>2.4695824920766838E-3</v>
      </c>
      <c r="AA400" s="41">
        <f t="shared" si="32"/>
        <v>228066666.66666651</v>
      </c>
      <c r="AB400" s="39">
        <f t="shared" si="33"/>
        <v>2.9373315145019346E-3</v>
      </c>
      <c r="AC400" s="38">
        <f t="shared" si="34"/>
        <v>0.38083953960731182</v>
      </c>
      <c r="AD400" s="3"/>
    </row>
    <row r="401" spans="1:30" x14ac:dyDescent="0.25">
      <c r="A401" s="37">
        <v>46037</v>
      </c>
      <c r="B401" s="41">
        <v>8001851.8518518992</v>
      </c>
      <c r="C401" s="41">
        <v>35185.185185185182</v>
      </c>
      <c r="D401" s="41">
        <v>28756944.44444437</v>
      </c>
      <c r="E401" s="41">
        <v>131944.44444444441</v>
      </c>
      <c r="F401" s="41">
        <v>36673611.111111097</v>
      </c>
      <c r="G401" s="41">
        <v>131944.44444444441</v>
      </c>
      <c r="H401" s="41">
        <v>50000000</v>
      </c>
      <c r="I401" s="41">
        <v>0</v>
      </c>
      <c r="J401" s="41">
        <v>2111111.1111111101</v>
      </c>
      <c r="K401" s="41">
        <v>111111.11111111109</v>
      </c>
      <c r="L401" s="41">
        <v>5527777.7777778013</v>
      </c>
      <c r="M401" s="41">
        <v>27777.777777777781</v>
      </c>
      <c r="N401" s="41">
        <v>33629166.666666873</v>
      </c>
      <c r="O401" s="41">
        <v>79166.666666666672</v>
      </c>
      <c r="P401" s="41">
        <v>75000000</v>
      </c>
      <c r="Q401" s="41">
        <v>0</v>
      </c>
      <c r="R401" s="41">
        <v>20004629.62962959</v>
      </c>
      <c r="S401" s="41">
        <v>87962.962962962964</v>
      </c>
      <c r="T401" s="41">
        <v>12898148.148148149</v>
      </c>
      <c r="U401" s="41">
        <v>64814.814814814818</v>
      </c>
      <c r="V401" s="41">
        <v>272603240.7407409</v>
      </c>
      <c r="W401" s="41">
        <v>669907.40740740742</v>
      </c>
      <c r="X401" s="38">
        <f t="shared" si="30"/>
        <v>0.54520648148148176</v>
      </c>
      <c r="Y401" s="39">
        <f t="shared" si="31"/>
        <v>1.3398148148148147E-3</v>
      </c>
      <c r="Z401" s="39">
        <f t="shared" si="35"/>
        <v>2.4634986788700918E-3</v>
      </c>
      <c r="AA401" s="41">
        <f t="shared" si="32"/>
        <v>227396759.2592591</v>
      </c>
      <c r="AB401" s="39">
        <f t="shared" si="33"/>
        <v>2.9459848486390874E-3</v>
      </c>
      <c r="AC401" s="38">
        <f t="shared" si="34"/>
        <v>0.37954843108267333</v>
      </c>
      <c r="AD401" s="3"/>
    </row>
    <row r="402" spans="1:30" x14ac:dyDescent="0.25">
      <c r="A402" s="37">
        <v>46038</v>
      </c>
      <c r="B402" s="41">
        <v>8037037.0370370848</v>
      </c>
      <c r="C402" s="41">
        <v>35185.185185185182</v>
      </c>
      <c r="D402" s="41">
        <v>28888888.88888881</v>
      </c>
      <c r="E402" s="41">
        <v>131944.44444444441</v>
      </c>
      <c r="F402" s="41">
        <v>36805555.555555537</v>
      </c>
      <c r="G402" s="41">
        <v>131944.44444444441</v>
      </c>
      <c r="H402" s="41">
        <v>50000000</v>
      </c>
      <c r="I402" s="41">
        <v>0</v>
      </c>
      <c r="J402" s="41">
        <v>2222222.2222222211</v>
      </c>
      <c r="K402" s="41">
        <v>111111.11111111109</v>
      </c>
      <c r="L402" s="41">
        <v>5555555.5555555793</v>
      </c>
      <c r="M402" s="41">
        <v>27777.777777777781</v>
      </c>
      <c r="N402" s="41">
        <v>33708333.333333537</v>
      </c>
      <c r="O402" s="41">
        <v>79166.666666666672</v>
      </c>
      <c r="P402" s="41">
        <v>75000000</v>
      </c>
      <c r="Q402" s="41">
        <v>0</v>
      </c>
      <c r="R402" s="41">
        <v>20092592.592592549</v>
      </c>
      <c r="S402" s="41">
        <v>87962.962962962964</v>
      </c>
      <c r="T402" s="41">
        <v>12962962.96296297</v>
      </c>
      <c r="U402" s="41">
        <v>64814.814814814818</v>
      </c>
      <c r="V402" s="41">
        <v>273273148.1481483</v>
      </c>
      <c r="W402" s="41">
        <v>669907.40740740742</v>
      </c>
      <c r="X402" s="38">
        <f t="shared" si="30"/>
        <v>0.54654629629629659</v>
      </c>
      <c r="Y402" s="39">
        <f t="shared" si="31"/>
        <v>1.3398148148148147E-3</v>
      </c>
      <c r="Z402" s="39">
        <f t="shared" si="35"/>
        <v>2.4574447669333554E-3</v>
      </c>
      <c r="AA402" s="41">
        <f t="shared" si="32"/>
        <v>226726851.8518517</v>
      </c>
      <c r="AB402" s="39">
        <f t="shared" si="33"/>
        <v>2.9546893186041309E-3</v>
      </c>
      <c r="AC402" s="38">
        <f t="shared" si="34"/>
        <v>0.37826604711980732</v>
      </c>
      <c r="AD402" s="3"/>
    </row>
    <row r="403" spans="1:30" x14ac:dyDescent="0.25">
      <c r="A403" s="37">
        <v>46039</v>
      </c>
      <c r="B403" s="41">
        <v>8072222.2222222704</v>
      </c>
      <c r="C403" s="41">
        <v>35185.185185185182</v>
      </c>
      <c r="D403" s="41">
        <v>29020833.333333261</v>
      </c>
      <c r="E403" s="41">
        <v>131944.44444444441</v>
      </c>
      <c r="F403" s="41">
        <v>36937499.999999993</v>
      </c>
      <c r="G403" s="41">
        <v>131944.44444444441</v>
      </c>
      <c r="H403" s="41">
        <v>50000000</v>
      </c>
      <c r="I403" s="41">
        <v>0</v>
      </c>
      <c r="J403" s="41">
        <v>2333333.3333333321</v>
      </c>
      <c r="K403" s="41">
        <v>111111.11111111109</v>
      </c>
      <c r="L403" s="41">
        <v>5583333.3333333572</v>
      </c>
      <c r="M403" s="41">
        <v>27777.777777777781</v>
      </c>
      <c r="N403" s="41">
        <v>33787500.000000201</v>
      </c>
      <c r="O403" s="41">
        <v>79166.666666666672</v>
      </c>
      <c r="P403" s="41">
        <v>75000000</v>
      </c>
      <c r="Q403" s="41">
        <v>0</v>
      </c>
      <c r="R403" s="41">
        <v>20180555.555555511</v>
      </c>
      <c r="S403" s="41">
        <v>87962.962962962964</v>
      </c>
      <c r="T403" s="41">
        <v>13027777.77777778</v>
      </c>
      <c r="U403" s="41">
        <v>64814.814814814818</v>
      </c>
      <c r="V403" s="41">
        <v>273943055.5555557</v>
      </c>
      <c r="W403" s="41">
        <v>669907.40740740742</v>
      </c>
      <c r="X403" s="38">
        <f t="shared" si="30"/>
        <v>0.54788611111111141</v>
      </c>
      <c r="Y403" s="39">
        <f t="shared" si="31"/>
        <v>1.3398148148148147E-3</v>
      </c>
      <c r="Z403" s="39">
        <f t="shared" si="35"/>
        <v>2.4514205363647132E-3</v>
      </c>
      <c r="AA403" s="41">
        <f t="shared" si="32"/>
        <v>226056944.4444443</v>
      </c>
      <c r="AB403" s="39">
        <f t="shared" si="33"/>
        <v>2.9634453790117637E-3</v>
      </c>
      <c r="AC403" s="38">
        <f t="shared" si="34"/>
        <v>0.37699229958321379</v>
      </c>
      <c r="AD403" s="3"/>
    </row>
    <row r="404" spans="1:30" x14ac:dyDescent="0.25">
      <c r="A404" s="37">
        <v>46040</v>
      </c>
      <c r="B404" s="41">
        <v>8107407.4074074561</v>
      </c>
      <c r="C404" s="41">
        <v>35185.185185185182</v>
      </c>
      <c r="D404" s="41">
        <v>29152777.777777702</v>
      </c>
      <c r="E404" s="41">
        <v>131944.44444444441</v>
      </c>
      <c r="F404" s="41">
        <v>37069444.44444444</v>
      </c>
      <c r="G404" s="41">
        <v>131944.44444444441</v>
      </c>
      <c r="H404" s="41">
        <v>50000000</v>
      </c>
      <c r="I404" s="41">
        <v>0</v>
      </c>
      <c r="J404" s="41">
        <v>2444444.4444444431</v>
      </c>
      <c r="K404" s="41">
        <v>111111.11111111109</v>
      </c>
      <c r="L404" s="41">
        <v>5611111.1111111352</v>
      </c>
      <c r="M404" s="41">
        <v>27777.777777777781</v>
      </c>
      <c r="N404" s="41">
        <v>33866666.666666873</v>
      </c>
      <c r="O404" s="41">
        <v>79166.666666666672</v>
      </c>
      <c r="P404" s="41">
        <v>75000000</v>
      </c>
      <c r="Q404" s="41">
        <v>0</v>
      </c>
      <c r="R404" s="41">
        <v>20268518.51851847</v>
      </c>
      <c r="S404" s="41">
        <v>87962.962962962964</v>
      </c>
      <c r="T404" s="41">
        <v>13092592.592592601</v>
      </c>
      <c r="U404" s="41">
        <v>64814.814814814818</v>
      </c>
      <c r="V404" s="41">
        <v>274612962.96296322</v>
      </c>
      <c r="W404" s="41">
        <v>669907.40740740742</v>
      </c>
      <c r="X404" s="38">
        <f t="shared" si="30"/>
        <v>0.54922592592592645</v>
      </c>
      <c r="Y404" s="39">
        <f t="shared" si="31"/>
        <v>1.3398148148148147E-3</v>
      </c>
      <c r="Z404" s="39">
        <f t="shared" si="35"/>
        <v>2.4454257694134177E-3</v>
      </c>
      <c r="AA404" s="41">
        <f t="shared" si="32"/>
        <v>225387037.03703678</v>
      </c>
      <c r="AB404" s="39">
        <f t="shared" si="33"/>
        <v>2.9722534898816064E-3</v>
      </c>
      <c r="AC404" s="38">
        <f t="shared" si="34"/>
        <v>0.37572710152053462</v>
      </c>
      <c r="AD404" s="3"/>
    </row>
    <row r="405" spans="1:30" x14ac:dyDescent="0.25">
      <c r="A405" s="37">
        <v>46041</v>
      </c>
      <c r="B405" s="41">
        <v>8142592.5925926417</v>
      </c>
      <c r="C405" s="41">
        <v>35185.185185185182</v>
      </c>
      <c r="D405" s="41">
        <v>29284722.222222149</v>
      </c>
      <c r="E405" s="41">
        <v>131944.44444444441</v>
      </c>
      <c r="F405" s="41">
        <v>37201388.888888888</v>
      </c>
      <c r="G405" s="41">
        <v>131944.44444444441</v>
      </c>
      <c r="H405" s="41">
        <v>50000000</v>
      </c>
      <c r="I405" s="41">
        <v>0</v>
      </c>
      <c r="J405" s="41">
        <v>2555555.5555555541</v>
      </c>
      <c r="K405" s="41">
        <v>111111.11111111109</v>
      </c>
      <c r="L405" s="41">
        <v>5638888.8888889132</v>
      </c>
      <c r="M405" s="41">
        <v>27777.777777777781</v>
      </c>
      <c r="N405" s="41">
        <v>33945833.33333353</v>
      </c>
      <c r="O405" s="41">
        <v>79166.666666666672</v>
      </c>
      <c r="P405" s="41">
        <v>75000000</v>
      </c>
      <c r="Q405" s="41">
        <v>0</v>
      </c>
      <c r="R405" s="41">
        <v>20356481.48148144</v>
      </c>
      <c r="S405" s="41">
        <v>87962.962962962964</v>
      </c>
      <c r="T405" s="41">
        <v>13157407.40740741</v>
      </c>
      <c r="U405" s="41">
        <v>64814.814814814818</v>
      </c>
      <c r="V405" s="41">
        <v>275282870.37037051</v>
      </c>
      <c r="W405" s="41">
        <v>669907.40740740742</v>
      </c>
      <c r="X405" s="38">
        <f t="shared" si="30"/>
        <v>0.55056574074074105</v>
      </c>
      <c r="Y405" s="39">
        <f t="shared" si="31"/>
        <v>1.3398148148148147E-3</v>
      </c>
      <c r="Z405" s="39">
        <f t="shared" si="35"/>
        <v>2.4394602504534979E-3</v>
      </c>
      <c r="AA405" s="41">
        <f t="shared" si="32"/>
        <v>224717129.62962949</v>
      </c>
      <c r="AB405" s="39">
        <f t="shared" si="33"/>
        <v>2.9811141167187575E-3</v>
      </c>
      <c r="AC405" s="38">
        <f t="shared" si="34"/>
        <v>0.37447036714276771</v>
      </c>
      <c r="AD405" s="3"/>
    </row>
    <row r="406" spans="1:30" x14ac:dyDescent="0.25">
      <c r="A406" s="37">
        <v>46042</v>
      </c>
      <c r="B406" s="41">
        <v>8177777.7777778273</v>
      </c>
      <c r="C406" s="41">
        <v>35185.185185185182</v>
      </c>
      <c r="D406" s="41">
        <v>29416666.66666659</v>
      </c>
      <c r="E406" s="41">
        <v>131944.44444444441</v>
      </c>
      <c r="F406" s="41">
        <v>37333333.333333343</v>
      </c>
      <c r="G406" s="41">
        <v>131944.44444444441</v>
      </c>
      <c r="H406" s="41">
        <v>50000000</v>
      </c>
      <c r="I406" s="41">
        <v>0</v>
      </c>
      <c r="J406" s="41">
        <v>2666666.6666666651</v>
      </c>
      <c r="K406" s="41">
        <v>111111.11111111109</v>
      </c>
      <c r="L406" s="41">
        <v>5666666.6666666912</v>
      </c>
      <c r="M406" s="41">
        <v>27777.777777777781</v>
      </c>
      <c r="N406" s="41">
        <v>34025000.000000194</v>
      </c>
      <c r="O406" s="41">
        <v>79166.666666666672</v>
      </c>
      <c r="P406" s="41">
        <v>75000000</v>
      </c>
      <c r="Q406" s="41">
        <v>0</v>
      </c>
      <c r="R406" s="41">
        <v>20444444.444444399</v>
      </c>
      <c r="S406" s="41">
        <v>87962.962962962964</v>
      </c>
      <c r="T406" s="41">
        <v>13222222.222222229</v>
      </c>
      <c r="U406" s="41">
        <v>64814.814814814818</v>
      </c>
      <c r="V406" s="41">
        <v>275952777.77777791</v>
      </c>
      <c r="W406" s="41">
        <v>669907.40740740742</v>
      </c>
      <c r="X406" s="38">
        <f t="shared" si="30"/>
        <v>0.55190555555555587</v>
      </c>
      <c r="Y406" s="39">
        <f t="shared" si="31"/>
        <v>1.3398148148148147E-3</v>
      </c>
      <c r="Z406" s="39">
        <f t="shared" si="35"/>
        <v>2.4335237659579107E-3</v>
      </c>
      <c r="AA406" s="41">
        <f t="shared" si="32"/>
        <v>224047222.22222209</v>
      </c>
      <c r="AB406" s="39">
        <f t="shared" si="33"/>
        <v>2.9900277305958171E-3</v>
      </c>
      <c r="AC406" s="38">
        <f t="shared" si="34"/>
        <v>0.37322201180487374</v>
      </c>
      <c r="AD406" s="3"/>
    </row>
    <row r="407" spans="1:30" x14ac:dyDescent="0.25">
      <c r="A407" s="37">
        <v>46043</v>
      </c>
      <c r="B407" s="41">
        <v>8212962.962963013</v>
      </c>
      <c r="C407" s="41">
        <v>35185.185185185182</v>
      </c>
      <c r="D407" s="41">
        <v>29548611.11111103</v>
      </c>
      <c r="E407" s="41">
        <v>131944.44444444441</v>
      </c>
      <c r="F407" s="41">
        <v>37465277.777777784</v>
      </c>
      <c r="G407" s="41">
        <v>131944.44444444441</v>
      </c>
      <c r="H407" s="41">
        <v>50000000</v>
      </c>
      <c r="I407" s="41">
        <v>0</v>
      </c>
      <c r="J407" s="41">
        <v>2777777.7777777761</v>
      </c>
      <c r="K407" s="41">
        <v>111111.11111111109</v>
      </c>
      <c r="L407" s="41">
        <v>5694444.4444444692</v>
      </c>
      <c r="M407" s="41">
        <v>27777.777777777781</v>
      </c>
      <c r="N407" s="41">
        <v>34104166.666666858</v>
      </c>
      <c r="O407" s="41">
        <v>79166.666666666672</v>
      </c>
      <c r="P407" s="41">
        <v>75000000</v>
      </c>
      <c r="Q407" s="41">
        <v>0</v>
      </c>
      <c r="R407" s="41">
        <v>20532407.407407358</v>
      </c>
      <c r="S407" s="41">
        <v>87962.962962962964</v>
      </c>
      <c r="T407" s="41">
        <v>13287037.037037039</v>
      </c>
      <c r="U407" s="41">
        <v>64814.814814814818</v>
      </c>
      <c r="V407" s="41">
        <v>276622685.18518531</v>
      </c>
      <c r="W407" s="41">
        <v>669907.40740740742</v>
      </c>
      <c r="X407" s="38">
        <f t="shared" ref="X407:X470" si="36">V407/$B$6</f>
        <v>0.55324537037037058</v>
      </c>
      <c r="Y407" s="39">
        <f t="shared" ref="Y407:Y470" si="37">W407/$B$6</f>
        <v>1.3398148148148147E-3</v>
      </c>
      <c r="Z407" s="39">
        <f t="shared" si="35"/>
        <v>2.4276161044730535E-3</v>
      </c>
      <c r="AA407" s="41">
        <f t="shared" ref="AA407:AA470" si="38">$B$6-V407</f>
        <v>223377314.81481469</v>
      </c>
      <c r="AB407" s="39">
        <f t="shared" ref="AB407:AB470" si="39">W407/AA407</f>
        <v>2.9989948082363564E-3</v>
      </c>
      <c r="AC407" s="38">
        <f t="shared" ref="AC407:AC470" si="40" xml:space="preserve"> P407/(V407-P407)</f>
        <v>0.37198195198677375</v>
      </c>
      <c r="AD407" s="3"/>
    </row>
    <row r="408" spans="1:30" x14ac:dyDescent="0.25">
      <c r="A408" s="37">
        <v>46044</v>
      </c>
      <c r="B408" s="41">
        <v>8248148.1481481986</v>
      </c>
      <c r="C408" s="41">
        <v>35185.185185185182</v>
      </c>
      <c r="D408" s="41">
        <v>29680555.555555481</v>
      </c>
      <c r="E408" s="41">
        <v>131944.44444444441</v>
      </c>
      <c r="F408" s="41">
        <v>37597222.222222231</v>
      </c>
      <c r="G408" s="41">
        <v>131944.44444444441</v>
      </c>
      <c r="H408" s="41">
        <v>50000000</v>
      </c>
      <c r="I408" s="41">
        <v>0</v>
      </c>
      <c r="J408" s="41">
        <v>2888888.8888888871</v>
      </c>
      <c r="K408" s="41">
        <v>111111.11111111109</v>
      </c>
      <c r="L408" s="41">
        <v>5722222.2222222472</v>
      </c>
      <c r="M408" s="41">
        <v>27777.777777777781</v>
      </c>
      <c r="N408" s="41">
        <v>34183333.333333522</v>
      </c>
      <c r="O408" s="41">
        <v>79166.666666666672</v>
      </c>
      <c r="P408" s="41">
        <v>75000000</v>
      </c>
      <c r="Q408" s="41">
        <v>0</v>
      </c>
      <c r="R408" s="41">
        <v>20620370.370370321</v>
      </c>
      <c r="S408" s="41">
        <v>87962.962962962964</v>
      </c>
      <c r="T408" s="41">
        <v>13351851.85185186</v>
      </c>
      <c r="U408" s="41">
        <v>64814.814814814818</v>
      </c>
      <c r="V408" s="41">
        <v>277292592.59259278</v>
      </c>
      <c r="W408" s="41">
        <v>669907.40740740742</v>
      </c>
      <c r="X408" s="38">
        <f t="shared" si="36"/>
        <v>0.55458518518518551</v>
      </c>
      <c r="Y408" s="39">
        <f t="shared" si="37"/>
        <v>1.3398148148148147E-3</v>
      </c>
      <c r="Z408" s="39">
        <f t="shared" ref="Z408:Z471" si="41">W408/V407</f>
        <v>2.4217370565936674E-3</v>
      </c>
      <c r="AA408" s="41">
        <f t="shared" si="38"/>
        <v>222707407.40740722</v>
      </c>
      <c r="AB408" s="39">
        <f t="shared" si="39"/>
        <v>3.0080158320999178E-3</v>
      </c>
      <c r="AC408" s="38">
        <f t="shared" si="40"/>
        <v>0.37075010527472091</v>
      </c>
      <c r="AD408" s="3"/>
    </row>
    <row r="409" spans="1:30" x14ac:dyDescent="0.25">
      <c r="A409" s="37">
        <v>46045</v>
      </c>
      <c r="B409" s="41">
        <v>8283333.3333333842</v>
      </c>
      <c r="C409" s="41">
        <v>35185.185185185182</v>
      </c>
      <c r="D409" s="41">
        <v>29812499.999999922</v>
      </c>
      <c r="E409" s="41">
        <v>131944.44444444441</v>
      </c>
      <c r="F409" s="41">
        <v>37729166.666666679</v>
      </c>
      <c r="G409" s="41">
        <v>131944.44444444441</v>
      </c>
      <c r="H409" s="41">
        <v>50000000</v>
      </c>
      <c r="I409" s="41">
        <v>0</v>
      </c>
      <c r="J409" s="41">
        <v>2999999.9999999981</v>
      </c>
      <c r="K409" s="41">
        <v>111111.11111111109</v>
      </c>
      <c r="L409" s="41">
        <v>5750000.0000000251</v>
      </c>
      <c r="M409" s="41">
        <v>27777.777777777781</v>
      </c>
      <c r="N409" s="41">
        <v>34262500.000000194</v>
      </c>
      <c r="O409" s="41">
        <v>79166.666666666672</v>
      </c>
      <c r="P409" s="41">
        <v>75000000</v>
      </c>
      <c r="Q409" s="41">
        <v>0</v>
      </c>
      <c r="R409" s="41">
        <v>20708333.333333291</v>
      </c>
      <c r="S409" s="41">
        <v>87962.962962962964</v>
      </c>
      <c r="T409" s="41">
        <v>13416666.666666679</v>
      </c>
      <c r="U409" s="41">
        <v>64814.814814814818</v>
      </c>
      <c r="V409" s="41">
        <v>277962500.00000012</v>
      </c>
      <c r="W409" s="41">
        <v>669907.40740740742</v>
      </c>
      <c r="X409" s="38">
        <f t="shared" si="36"/>
        <v>0.55592500000000022</v>
      </c>
      <c r="Y409" s="39">
        <f t="shared" si="37"/>
        <v>1.3398148148148147E-3</v>
      </c>
      <c r="Z409" s="39">
        <f t="shared" si="41"/>
        <v>2.4158864149380903E-3</v>
      </c>
      <c r="AA409" s="41">
        <f t="shared" si="38"/>
        <v>222037499.99999988</v>
      </c>
      <c r="AB409" s="39">
        <f t="shared" si="39"/>
        <v>3.0170912904685368E-3</v>
      </c>
      <c r="AC409" s="38">
        <f t="shared" si="40"/>
        <v>0.36952639034304346</v>
      </c>
      <c r="AD409" s="3"/>
    </row>
    <row r="410" spans="1:30" x14ac:dyDescent="0.25">
      <c r="A410" s="37">
        <v>46046</v>
      </c>
      <c r="B410" s="41">
        <v>8318518.5185185699</v>
      </c>
      <c r="C410" s="41">
        <v>35185.185185185182</v>
      </c>
      <c r="D410" s="41">
        <v>29944444.44444437</v>
      </c>
      <c r="E410" s="41">
        <v>131944.44444444441</v>
      </c>
      <c r="F410" s="41">
        <v>37861111.111111127</v>
      </c>
      <c r="G410" s="41">
        <v>131944.44444444441</v>
      </c>
      <c r="H410" s="41">
        <v>50000000</v>
      </c>
      <c r="I410" s="41">
        <v>0</v>
      </c>
      <c r="J410" s="41">
        <v>3111111.1111111091</v>
      </c>
      <c r="K410" s="41">
        <v>111111.11111111109</v>
      </c>
      <c r="L410" s="41">
        <v>5777777.7777778031</v>
      </c>
      <c r="M410" s="41">
        <v>27777.777777777781</v>
      </c>
      <c r="N410" s="41">
        <v>34341666.66666685</v>
      </c>
      <c r="O410" s="41">
        <v>79166.666666666672</v>
      </c>
      <c r="P410" s="41">
        <v>75000000</v>
      </c>
      <c r="Q410" s="41">
        <v>0</v>
      </c>
      <c r="R410" s="41">
        <v>20796296.29629625</v>
      </c>
      <c r="S410" s="41">
        <v>87962.962962962964</v>
      </c>
      <c r="T410" s="41">
        <v>13481481.481481491</v>
      </c>
      <c r="U410" s="41">
        <v>64814.814814814818</v>
      </c>
      <c r="V410" s="41">
        <v>278632407.40740752</v>
      </c>
      <c r="W410" s="41">
        <v>669907.40740740742</v>
      </c>
      <c r="X410" s="38">
        <f t="shared" si="36"/>
        <v>0.55726481481481505</v>
      </c>
      <c r="Y410" s="39">
        <f t="shared" si="37"/>
        <v>1.3398148148148147E-3</v>
      </c>
      <c r="Z410" s="39">
        <f t="shared" si="41"/>
        <v>2.4100639741238732E-3</v>
      </c>
      <c r="AA410" s="41">
        <f t="shared" si="38"/>
        <v>221367592.59259248</v>
      </c>
      <c r="AB410" s="39">
        <f t="shared" si="39"/>
        <v>3.0262216775348546E-3</v>
      </c>
      <c r="AC410" s="38">
        <f t="shared" si="40"/>
        <v>0.36831072693624567</v>
      </c>
      <c r="AD410" s="3"/>
    </row>
    <row r="411" spans="1:30" x14ac:dyDescent="0.25">
      <c r="A411" s="37">
        <v>46047</v>
      </c>
      <c r="B411" s="41">
        <v>8353703.7037037564</v>
      </c>
      <c r="C411" s="41">
        <v>35185.185185185182</v>
      </c>
      <c r="D411" s="41">
        <v>30076388.88888881</v>
      </c>
      <c r="E411" s="41">
        <v>131944.44444444441</v>
      </c>
      <c r="F411" s="41">
        <v>37993055.555555567</v>
      </c>
      <c r="G411" s="41">
        <v>131944.44444444441</v>
      </c>
      <c r="H411" s="41">
        <v>50000000</v>
      </c>
      <c r="I411" s="41">
        <v>0</v>
      </c>
      <c r="J411" s="41">
        <v>3222222.2222222202</v>
      </c>
      <c r="K411" s="41">
        <v>111111.11111111109</v>
      </c>
      <c r="L411" s="41">
        <v>5805555.5555555811</v>
      </c>
      <c r="M411" s="41">
        <v>27777.777777777781</v>
      </c>
      <c r="N411" s="41">
        <v>34420833.333333507</v>
      </c>
      <c r="O411" s="41">
        <v>79166.666666666672</v>
      </c>
      <c r="P411" s="41">
        <v>75000000</v>
      </c>
      <c r="Q411" s="41">
        <v>0</v>
      </c>
      <c r="R411" s="41">
        <v>20884259.259259209</v>
      </c>
      <c r="S411" s="41">
        <v>87962.962962962964</v>
      </c>
      <c r="T411" s="41">
        <v>13546296.29629631</v>
      </c>
      <c r="U411" s="41">
        <v>64814.814814814818</v>
      </c>
      <c r="V411" s="41">
        <v>279302314.81481498</v>
      </c>
      <c r="W411" s="41">
        <v>669907.40740740742</v>
      </c>
      <c r="X411" s="38">
        <f t="shared" si="36"/>
        <v>0.55860462962962998</v>
      </c>
      <c r="Y411" s="39">
        <f t="shared" si="37"/>
        <v>1.3398148148148147E-3</v>
      </c>
      <c r="Z411" s="39">
        <f t="shared" si="41"/>
        <v>2.4042695307437442E-3</v>
      </c>
      <c r="AA411" s="41">
        <f t="shared" si="38"/>
        <v>220697685.18518502</v>
      </c>
      <c r="AB411" s="39">
        <f t="shared" si="39"/>
        <v>3.0354074934918116E-3</v>
      </c>
      <c r="AC411" s="38">
        <f t="shared" si="40"/>
        <v>0.36710303585146348</v>
      </c>
      <c r="AD411" s="3"/>
    </row>
    <row r="412" spans="1:30" x14ac:dyDescent="0.25">
      <c r="A412" s="37">
        <v>46048</v>
      </c>
      <c r="B412" s="41">
        <v>8388888.8888889402</v>
      </c>
      <c r="C412" s="41">
        <v>35185.185185185182</v>
      </c>
      <c r="D412" s="41">
        <v>30208333.33333325</v>
      </c>
      <c r="E412" s="41">
        <v>131944.44444444441</v>
      </c>
      <c r="F412" s="41">
        <v>38125000.000000022</v>
      </c>
      <c r="G412" s="41">
        <v>131944.44444444441</v>
      </c>
      <c r="H412" s="41">
        <v>50000000</v>
      </c>
      <c r="I412" s="41">
        <v>0</v>
      </c>
      <c r="J412" s="41">
        <v>3333333.3333333312</v>
      </c>
      <c r="K412" s="41">
        <v>111111.11111111109</v>
      </c>
      <c r="L412" s="41">
        <v>5833333.3333333591</v>
      </c>
      <c r="M412" s="41">
        <v>27777.777777777781</v>
      </c>
      <c r="N412" s="41">
        <v>34500000.000000179</v>
      </c>
      <c r="O412" s="41">
        <v>79166.666666666672</v>
      </c>
      <c r="P412" s="41">
        <v>75000000</v>
      </c>
      <c r="Q412" s="41">
        <v>0</v>
      </c>
      <c r="R412" s="41">
        <v>20972222.222222179</v>
      </c>
      <c r="S412" s="41">
        <v>87962.962962962964</v>
      </c>
      <c r="T412" s="41">
        <v>13611111.111111119</v>
      </c>
      <c r="U412" s="41">
        <v>64814.814814814818</v>
      </c>
      <c r="V412" s="41">
        <v>279972222.22222239</v>
      </c>
      <c r="W412" s="41">
        <v>669907.40740740742</v>
      </c>
      <c r="X412" s="38">
        <f t="shared" si="36"/>
        <v>0.5599444444444448</v>
      </c>
      <c r="Y412" s="39">
        <f t="shared" si="37"/>
        <v>1.3398148148148147E-3</v>
      </c>
      <c r="Z412" s="39">
        <f t="shared" si="41"/>
        <v>2.3985028833419238E-3</v>
      </c>
      <c r="AA412" s="41">
        <f t="shared" si="38"/>
        <v>220027777.77777761</v>
      </c>
      <c r="AB412" s="39">
        <f t="shared" si="39"/>
        <v>3.0446492446239977E-3</v>
      </c>
      <c r="AC412" s="38">
        <f t="shared" si="40"/>
        <v>0.36590323892126275</v>
      </c>
      <c r="AD412" s="3"/>
    </row>
    <row r="413" spans="1:30" x14ac:dyDescent="0.25">
      <c r="A413" s="37">
        <v>46049</v>
      </c>
      <c r="B413" s="41">
        <v>8424074.0740741249</v>
      </c>
      <c r="C413" s="41">
        <v>35185.185185185182</v>
      </c>
      <c r="D413" s="41">
        <v>30340277.777777702</v>
      </c>
      <c r="E413" s="41">
        <v>131944.44444444441</v>
      </c>
      <c r="F413" s="41">
        <v>38256944.44444447</v>
      </c>
      <c r="G413" s="41">
        <v>131944.44444444441</v>
      </c>
      <c r="H413" s="41">
        <v>50000000</v>
      </c>
      <c r="I413" s="41">
        <v>0</v>
      </c>
      <c r="J413" s="41">
        <v>3444444.4444444422</v>
      </c>
      <c r="K413" s="41">
        <v>111111.11111111109</v>
      </c>
      <c r="L413" s="41">
        <v>5861111.1111111371</v>
      </c>
      <c r="M413" s="41">
        <v>27777.777777777781</v>
      </c>
      <c r="N413" s="41">
        <v>34579166.666666843</v>
      </c>
      <c r="O413" s="41">
        <v>79166.666666666672</v>
      </c>
      <c r="P413" s="41">
        <v>75000000</v>
      </c>
      <c r="Q413" s="41">
        <v>0</v>
      </c>
      <c r="R413" s="41">
        <v>21060185.185185142</v>
      </c>
      <c r="S413" s="41">
        <v>87962.962962962964</v>
      </c>
      <c r="T413" s="41">
        <v>13675925.92592594</v>
      </c>
      <c r="U413" s="41">
        <v>64814.814814814818</v>
      </c>
      <c r="V413" s="41">
        <v>280642129.62962979</v>
      </c>
      <c r="W413" s="41">
        <v>669907.40740740742</v>
      </c>
      <c r="X413" s="38">
        <f t="shared" si="36"/>
        <v>0.56128425925925962</v>
      </c>
      <c r="Y413" s="39">
        <f t="shared" si="37"/>
        <v>1.3398148148148147E-3</v>
      </c>
      <c r="Z413" s="39">
        <f t="shared" si="41"/>
        <v>2.3927638323907783E-3</v>
      </c>
      <c r="AA413" s="41">
        <f t="shared" si="38"/>
        <v>219357870.37037021</v>
      </c>
      <c r="AB413" s="39">
        <f t="shared" si="39"/>
        <v>3.0539474434006686E-3</v>
      </c>
      <c r="AC413" s="38">
        <f t="shared" si="40"/>
        <v>0.36471125899677359</v>
      </c>
      <c r="AD413" s="3"/>
    </row>
    <row r="414" spans="1:30" x14ac:dyDescent="0.25">
      <c r="A414" s="37">
        <v>46050</v>
      </c>
      <c r="B414" s="41">
        <v>8459259.2592593096</v>
      </c>
      <c r="C414" s="41">
        <v>35185.185185185182</v>
      </c>
      <c r="D414" s="41">
        <v>30472222.222222138</v>
      </c>
      <c r="E414" s="41">
        <v>131944.44444444441</v>
      </c>
      <c r="F414" s="41">
        <v>38388888.888888918</v>
      </c>
      <c r="G414" s="41">
        <v>131944.44444444441</v>
      </c>
      <c r="H414" s="41">
        <v>50000000</v>
      </c>
      <c r="I414" s="41">
        <v>0</v>
      </c>
      <c r="J414" s="41">
        <v>3555555.5555555532</v>
      </c>
      <c r="K414" s="41">
        <v>111111.11111111109</v>
      </c>
      <c r="L414" s="41">
        <v>5888888.8888889151</v>
      </c>
      <c r="M414" s="41">
        <v>27777.777777777781</v>
      </c>
      <c r="N414" s="41">
        <v>34658333.333333507</v>
      </c>
      <c r="O414" s="41">
        <v>79166.666666666672</v>
      </c>
      <c r="P414" s="41">
        <v>75000000</v>
      </c>
      <c r="Q414" s="41">
        <v>0</v>
      </c>
      <c r="R414" s="41">
        <v>21148148.148148101</v>
      </c>
      <c r="S414" s="41">
        <v>87962.962962962964</v>
      </c>
      <c r="T414" s="41">
        <v>13740740.74074075</v>
      </c>
      <c r="U414" s="41">
        <v>64814.814814814818</v>
      </c>
      <c r="V414" s="41">
        <v>281312037.03703719</v>
      </c>
      <c r="W414" s="41">
        <v>669907.40740740742</v>
      </c>
      <c r="X414" s="38">
        <f t="shared" si="36"/>
        <v>0.56262407407407444</v>
      </c>
      <c r="Y414" s="39">
        <f t="shared" si="37"/>
        <v>1.3398148148148147E-3</v>
      </c>
      <c r="Z414" s="39">
        <f t="shared" si="41"/>
        <v>2.3870521802678039E-3</v>
      </c>
      <c r="AA414" s="41">
        <f t="shared" si="38"/>
        <v>218687962.96296281</v>
      </c>
      <c r="AB414" s="39">
        <f t="shared" si="39"/>
        <v>3.0633026085704752E-3</v>
      </c>
      <c r="AC414" s="38">
        <f t="shared" si="40"/>
        <v>0.36352701993115399</v>
      </c>
      <c r="AD414" s="3"/>
    </row>
    <row r="415" spans="1:30" x14ac:dyDescent="0.25">
      <c r="A415" s="37">
        <v>46051</v>
      </c>
      <c r="B415" s="41">
        <v>8494444.4444444943</v>
      </c>
      <c r="C415" s="41">
        <v>35185.185185185182</v>
      </c>
      <c r="D415" s="41">
        <v>30604166.66666659</v>
      </c>
      <c r="E415" s="41">
        <v>131944.44444444441</v>
      </c>
      <c r="F415" s="41">
        <v>38520833.333333373</v>
      </c>
      <c r="G415" s="41">
        <v>131944.44444444441</v>
      </c>
      <c r="H415" s="41">
        <v>50000000</v>
      </c>
      <c r="I415" s="41">
        <v>0</v>
      </c>
      <c r="J415" s="41">
        <v>3666666.6666666642</v>
      </c>
      <c r="K415" s="41">
        <v>111111.11111111109</v>
      </c>
      <c r="L415" s="41">
        <v>5916666.6666666931</v>
      </c>
      <c r="M415" s="41">
        <v>27777.777777777781</v>
      </c>
      <c r="N415" s="41">
        <v>34737500.000000171</v>
      </c>
      <c r="O415" s="41">
        <v>79166.666666666672</v>
      </c>
      <c r="P415" s="41">
        <v>75000000</v>
      </c>
      <c r="Q415" s="41">
        <v>0</v>
      </c>
      <c r="R415" s="41">
        <v>21236111.11111106</v>
      </c>
      <c r="S415" s="41">
        <v>87962.962962962964</v>
      </c>
      <c r="T415" s="41">
        <v>13805555.555555571</v>
      </c>
      <c r="U415" s="41">
        <v>64814.814814814818</v>
      </c>
      <c r="V415" s="41">
        <v>281981944.4444446</v>
      </c>
      <c r="W415" s="41">
        <v>669907.40740740742</v>
      </c>
      <c r="X415" s="38">
        <f t="shared" si="36"/>
        <v>0.56396388888888915</v>
      </c>
      <c r="Y415" s="39">
        <f t="shared" si="37"/>
        <v>1.3398148148148147E-3</v>
      </c>
      <c r="Z415" s="39">
        <f t="shared" si="41"/>
        <v>2.381367731232945E-3</v>
      </c>
      <c r="AA415" s="41">
        <f t="shared" si="38"/>
        <v>218018055.5555554</v>
      </c>
      <c r="AB415" s="39">
        <f t="shared" si="39"/>
        <v>3.0727152652579338E-3</v>
      </c>
      <c r="AC415" s="38">
        <f t="shared" si="40"/>
        <v>0.36235044656337417</v>
      </c>
      <c r="AD415" s="3"/>
    </row>
    <row r="416" spans="1:30" x14ac:dyDescent="0.25">
      <c r="A416" s="37">
        <v>46052</v>
      </c>
      <c r="B416" s="41">
        <v>8529629.629629679</v>
      </c>
      <c r="C416" s="41">
        <v>35185.185185185182</v>
      </c>
      <c r="D416" s="41">
        <v>30736111.11111103</v>
      </c>
      <c r="E416" s="41">
        <v>131944.44444444441</v>
      </c>
      <c r="F416" s="41">
        <v>38652777.777777813</v>
      </c>
      <c r="G416" s="41">
        <v>131944.44444444441</v>
      </c>
      <c r="H416" s="41">
        <v>50000000</v>
      </c>
      <c r="I416" s="41">
        <v>0</v>
      </c>
      <c r="J416" s="41">
        <v>3777777.7777777752</v>
      </c>
      <c r="K416" s="41">
        <v>111111.11111111109</v>
      </c>
      <c r="L416" s="41">
        <v>5944444.444444471</v>
      </c>
      <c r="M416" s="41">
        <v>27777.777777777781</v>
      </c>
      <c r="N416" s="41">
        <v>34816666.666666843</v>
      </c>
      <c r="O416" s="41">
        <v>79166.666666666672</v>
      </c>
      <c r="P416" s="41">
        <v>75000000</v>
      </c>
      <c r="Q416" s="41">
        <v>0</v>
      </c>
      <c r="R416" s="41">
        <v>21324074.07407403</v>
      </c>
      <c r="S416" s="41">
        <v>87962.962962962964</v>
      </c>
      <c r="T416" s="41">
        <v>13870370.370370381</v>
      </c>
      <c r="U416" s="41">
        <v>64814.814814814818</v>
      </c>
      <c r="V416" s="41">
        <v>282651851.851852</v>
      </c>
      <c r="W416" s="41">
        <v>669907.40740740742</v>
      </c>
      <c r="X416" s="38">
        <f t="shared" si="36"/>
        <v>0.56530370370370397</v>
      </c>
      <c r="Y416" s="39">
        <f t="shared" si="37"/>
        <v>1.3398148148148147E-3</v>
      </c>
      <c r="Z416" s="39">
        <f t="shared" si="41"/>
        <v>2.3757102914062321E-3</v>
      </c>
      <c r="AA416" s="41">
        <f t="shared" si="38"/>
        <v>217348148.148148</v>
      </c>
      <c r="AB416" s="39">
        <f t="shared" si="39"/>
        <v>3.0821859450616885E-3</v>
      </c>
      <c r="AC416" s="38">
        <f t="shared" si="40"/>
        <v>0.36118146470231488</v>
      </c>
      <c r="AD416" s="3"/>
    </row>
    <row r="417" spans="1:30" x14ac:dyDescent="0.25">
      <c r="A417" s="37">
        <v>46053</v>
      </c>
      <c r="B417" s="41">
        <v>8564814.8148148637</v>
      </c>
      <c r="C417" s="41">
        <v>35185.185185185182</v>
      </c>
      <c r="D417" s="41">
        <v>30868055.55555547</v>
      </c>
      <c r="E417" s="41">
        <v>131944.44444444441</v>
      </c>
      <c r="F417" s="41">
        <v>38784722.222222261</v>
      </c>
      <c r="G417" s="41">
        <v>131944.44444444441</v>
      </c>
      <c r="H417" s="41">
        <v>50000000</v>
      </c>
      <c r="I417" s="41">
        <v>0</v>
      </c>
      <c r="J417" s="41">
        <v>3888888.8888888862</v>
      </c>
      <c r="K417" s="41">
        <v>111111.11111111109</v>
      </c>
      <c r="L417" s="41">
        <v>5972222.222222249</v>
      </c>
      <c r="M417" s="41">
        <v>27777.777777777781</v>
      </c>
      <c r="N417" s="41">
        <v>34895833.3333335</v>
      </c>
      <c r="O417" s="41">
        <v>79166.666666666672</v>
      </c>
      <c r="P417" s="41">
        <v>75000000</v>
      </c>
      <c r="Q417" s="41">
        <v>0</v>
      </c>
      <c r="R417" s="41">
        <v>21412037.037036989</v>
      </c>
      <c r="S417" s="41">
        <v>87962.962962962964</v>
      </c>
      <c r="T417" s="41">
        <v>13935185.1851852</v>
      </c>
      <c r="U417" s="41">
        <v>64814.814814814818</v>
      </c>
      <c r="V417" s="41">
        <v>283321759.2592594</v>
      </c>
      <c r="W417" s="41">
        <v>669907.40740740742</v>
      </c>
      <c r="X417" s="38">
        <f t="shared" si="36"/>
        <v>0.5666435185185188</v>
      </c>
      <c r="Y417" s="39">
        <f t="shared" si="37"/>
        <v>1.3398148148148147E-3</v>
      </c>
      <c r="Z417" s="39">
        <f t="shared" si="41"/>
        <v>2.37007966874574E-3</v>
      </c>
      <c r="AA417" s="41">
        <f t="shared" si="38"/>
        <v>216678240.7407406</v>
      </c>
      <c r="AB417" s="39">
        <f t="shared" si="39"/>
        <v>3.0917151861545879E-3</v>
      </c>
      <c r="AC417" s="38">
        <f t="shared" si="40"/>
        <v>0.36002000111117261</v>
      </c>
      <c r="AD417" s="3"/>
    </row>
    <row r="418" spans="1:30" x14ac:dyDescent="0.25">
      <c r="A418" s="37">
        <v>46054</v>
      </c>
      <c r="B418" s="41">
        <v>8600000.0000000484</v>
      </c>
      <c r="C418" s="41">
        <v>35185.185185185182</v>
      </c>
      <c r="D418" s="41">
        <v>30999999.999999922</v>
      </c>
      <c r="E418" s="41">
        <v>131944.44444444441</v>
      </c>
      <c r="F418" s="41">
        <v>38916666.666666709</v>
      </c>
      <c r="G418" s="41">
        <v>131944.44444444441</v>
      </c>
      <c r="H418" s="41">
        <v>50000000</v>
      </c>
      <c r="I418" s="41">
        <v>0</v>
      </c>
      <c r="J418" s="41">
        <v>3999999.9999999972</v>
      </c>
      <c r="K418" s="41">
        <v>111111.11111111109</v>
      </c>
      <c r="L418" s="41">
        <v>6000000.000000027</v>
      </c>
      <c r="M418" s="41">
        <v>27777.777777777781</v>
      </c>
      <c r="N418" s="41">
        <v>34975000.000000156</v>
      </c>
      <c r="O418" s="41">
        <v>79166.666666666672</v>
      </c>
      <c r="P418" s="41">
        <v>75000000</v>
      </c>
      <c r="Q418" s="41">
        <v>0</v>
      </c>
      <c r="R418" s="41">
        <v>21499999.999999952</v>
      </c>
      <c r="S418" s="41">
        <v>87962.962962962964</v>
      </c>
      <c r="T418" s="41">
        <v>14000000.000000009</v>
      </c>
      <c r="U418" s="41">
        <v>64814.814814814818</v>
      </c>
      <c r="V418" s="41">
        <v>283991666.66666681</v>
      </c>
      <c r="W418" s="41">
        <v>669907.40740740742</v>
      </c>
      <c r="X418" s="38">
        <f t="shared" si="36"/>
        <v>0.56798333333333362</v>
      </c>
      <c r="Y418" s="39">
        <f t="shared" si="37"/>
        <v>1.3398148148148147E-3</v>
      </c>
      <c r="Z418" s="39">
        <f t="shared" si="41"/>
        <v>2.3644756730258577E-3</v>
      </c>
      <c r="AA418" s="41">
        <f t="shared" si="38"/>
        <v>216008333.33333319</v>
      </c>
      <c r="AB418" s="39">
        <f t="shared" si="39"/>
        <v>3.1013035333856309E-3</v>
      </c>
      <c r="AC418" s="38">
        <f t="shared" si="40"/>
        <v>0.35886598349216453</v>
      </c>
      <c r="AD418" s="3"/>
    </row>
    <row r="419" spans="1:30" x14ac:dyDescent="0.25">
      <c r="A419" s="37">
        <v>46055</v>
      </c>
      <c r="B419" s="41">
        <v>8635185.1851852331</v>
      </c>
      <c r="C419" s="41">
        <v>35185.185185185182</v>
      </c>
      <c r="D419" s="41">
        <v>31131944.444444358</v>
      </c>
      <c r="E419" s="41">
        <v>131944.44444444441</v>
      </c>
      <c r="F419" s="41">
        <v>39048611.111111157</v>
      </c>
      <c r="G419" s="41">
        <v>131944.44444444441</v>
      </c>
      <c r="H419" s="41">
        <v>50000000</v>
      </c>
      <c r="I419" s="41">
        <v>0</v>
      </c>
      <c r="J419" s="41">
        <v>4111111.1111111082</v>
      </c>
      <c r="K419" s="41">
        <v>111111.11111111109</v>
      </c>
      <c r="L419" s="41">
        <v>6027777.777777805</v>
      </c>
      <c r="M419" s="41">
        <v>27777.777777777781</v>
      </c>
      <c r="N419" s="41">
        <v>35054166.666666828</v>
      </c>
      <c r="O419" s="41">
        <v>79166.666666666672</v>
      </c>
      <c r="P419" s="41">
        <v>75000000</v>
      </c>
      <c r="Q419" s="41">
        <v>0</v>
      </c>
      <c r="R419" s="41">
        <v>21587962.962962911</v>
      </c>
      <c r="S419" s="41">
        <v>87962.962962962964</v>
      </c>
      <c r="T419" s="41">
        <v>14064814.81481483</v>
      </c>
      <c r="U419" s="41">
        <v>64814.814814814818</v>
      </c>
      <c r="V419" s="41">
        <v>284661574.07407421</v>
      </c>
      <c r="W419" s="41">
        <v>669907.40740740742</v>
      </c>
      <c r="X419" s="38">
        <f t="shared" si="36"/>
        <v>0.56932314814814844</v>
      </c>
      <c r="Y419" s="39">
        <f t="shared" si="37"/>
        <v>1.3398148148148147E-3</v>
      </c>
      <c r="Z419" s="39">
        <f t="shared" si="41"/>
        <v>2.3588981158158646E-3</v>
      </c>
      <c r="AA419" s="41">
        <f t="shared" si="38"/>
        <v>215338425.92592579</v>
      </c>
      <c r="AB419" s="39">
        <f t="shared" si="39"/>
        <v>3.1109515383838122E-3</v>
      </c>
      <c r="AC419" s="38">
        <f t="shared" si="40"/>
        <v>0.35771934047152687</v>
      </c>
      <c r="AD419" s="3"/>
    </row>
    <row r="420" spans="1:30" x14ac:dyDescent="0.25">
      <c r="A420" s="37">
        <v>46056</v>
      </c>
      <c r="B420" s="41">
        <v>8670370.3703704178</v>
      </c>
      <c r="C420" s="41">
        <v>35185.185185185182</v>
      </c>
      <c r="D420" s="41">
        <v>31263888.88888881</v>
      </c>
      <c r="E420" s="41">
        <v>131944.44444444441</v>
      </c>
      <c r="F420" s="41">
        <v>39180555.555555597</v>
      </c>
      <c r="G420" s="41">
        <v>131944.44444444441</v>
      </c>
      <c r="H420" s="41">
        <v>50000000</v>
      </c>
      <c r="I420" s="41">
        <v>0</v>
      </c>
      <c r="J420" s="41">
        <v>4222222.2222222192</v>
      </c>
      <c r="K420" s="41">
        <v>111111.11111111109</v>
      </c>
      <c r="L420" s="41">
        <v>6055555.555555583</v>
      </c>
      <c r="M420" s="41">
        <v>27777.777777777781</v>
      </c>
      <c r="N420" s="41">
        <v>35133333.333333492</v>
      </c>
      <c r="O420" s="41">
        <v>79166.666666666672</v>
      </c>
      <c r="P420" s="41">
        <v>75000000</v>
      </c>
      <c r="Q420" s="41">
        <v>0</v>
      </c>
      <c r="R420" s="41">
        <v>21675925.925925881</v>
      </c>
      <c r="S420" s="41">
        <v>87962.962962962964</v>
      </c>
      <c r="T420" s="41">
        <v>14129629.62962964</v>
      </c>
      <c r="U420" s="41">
        <v>64814.814814814818</v>
      </c>
      <c r="V420" s="41">
        <v>285331481.48148167</v>
      </c>
      <c r="W420" s="41">
        <v>669907.40740740742</v>
      </c>
      <c r="X420" s="38">
        <f t="shared" si="36"/>
        <v>0.57066296296296337</v>
      </c>
      <c r="Y420" s="39">
        <f t="shared" si="37"/>
        <v>1.3398148148148147E-3</v>
      </c>
      <c r="Z420" s="39">
        <f t="shared" si="41"/>
        <v>2.3533468104588121E-3</v>
      </c>
      <c r="AA420" s="41">
        <f t="shared" si="38"/>
        <v>214668518.51851833</v>
      </c>
      <c r="AB420" s="39">
        <f t="shared" si="39"/>
        <v>3.1206597596639117E-3</v>
      </c>
      <c r="AC420" s="38">
        <f t="shared" si="40"/>
        <v>0.35658000158479969</v>
      </c>
      <c r="AD420" s="3"/>
    </row>
    <row r="421" spans="1:30" x14ac:dyDescent="0.25">
      <c r="A421" s="37">
        <v>46057</v>
      </c>
      <c r="B421" s="41">
        <v>8705555.5555556025</v>
      </c>
      <c r="C421" s="41">
        <v>35185.185185185182</v>
      </c>
      <c r="D421" s="41">
        <v>31395833.33333325</v>
      </c>
      <c r="E421" s="41">
        <v>131944.44444444441</v>
      </c>
      <c r="F421" s="41">
        <v>39312500.000000052</v>
      </c>
      <c r="G421" s="41">
        <v>131944.44444444441</v>
      </c>
      <c r="H421" s="41">
        <v>50000000</v>
      </c>
      <c r="I421" s="41">
        <v>0</v>
      </c>
      <c r="J421" s="41">
        <v>4333333.3333333302</v>
      </c>
      <c r="K421" s="41">
        <v>111111.11111111109</v>
      </c>
      <c r="L421" s="41">
        <v>6083333.333333361</v>
      </c>
      <c r="M421" s="41">
        <v>27777.777777777781</v>
      </c>
      <c r="N421" s="41">
        <v>35212500.000000156</v>
      </c>
      <c r="O421" s="41">
        <v>79166.666666666672</v>
      </c>
      <c r="P421" s="41">
        <v>75000000</v>
      </c>
      <c r="Q421" s="41">
        <v>0</v>
      </c>
      <c r="R421" s="41">
        <v>21763888.88888884</v>
      </c>
      <c r="S421" s="41">
        <v>87962.962962962964</v>
      </c>
      <c r="T421" s="41">
        <v>14194444.444444461</v>
      </c>
      <c r="U421" s="41">
        <v>64814.814814814818</v>
      </c>
      <c r="V421" s="41">
        <v>286001388.88888907</v>
      </c>
      <c r="W421" s="41">
        <v>669907.40740740742</v>
      </c>
      <c r="X421" s="38">
        <f t="shared" si="36"/>
        <v>0.57200277777777819</v>
      </c>
      <c r="Y421" s="39">
        <f t="shared" si="37"/>
        <v>1.3398148148148147E-3</v>
      </c>
      <c r="Z421" s="39">
        <f t="shared" si="41"/>
        <v>2.3478215720506997E-3</v>
      </c>
      <c r="AA421" s="41">
        <f t="shared" si="38"/>
        <v>213998611.11111093</v>
      </c>
      <c r="AB421" s="39">
        <f t="shared" si="39"/>
        <v>3.1304287627342709E-3</v>
      </c>
      <c r="AC421" s="38">
        <f t="shared" si="40"/>
        <v>0.35544789726239262</v>
      </c>
      <c r="AD421" s="3"/>
    </row>
    <row r="422" spans="1:30" x14ac:dyDescent="0.25">
      <c r="A422" s="37">
        <v>46058</v>
      </c>
      <c r="B422" s="41">
        <v>8740740.7407407872</v>
      </c>
      <c r="C422" s="41">
        <v>35185.185185185182</v>
      </c>
      <c r="D422" s="41">
        <v>31527777.77777769</v>
      </c>
      <c r="E422" s="41">
        <v>131944.44444444441</v>
      </c>
      <c r="F422" s="41">
        <v>39444444.4444445</v>
      </c>
      <c r="G422" s="41">
        <v>131944.44444444441</v>
      </c>
      <c r="H422" s="41">
        <v>50000000</v>
      </c>
      <c r="I422" s="41">
        <v>0</v>
      </c>
      <c r="J422" s="41">
        <v>4444444.4444444412</v>
      </c>
      <c r="K422" s="41">
        <v>111111.11111111109</v>
      </c>
      <c r="L422" s="41">
        <v>6111111.1111111389</v>
      </c>
      <c r="M422" s="41">
        <v>27777.777777777781</v>
      </c>
      <c r="N422" s="41">
        <v>35291666.666666821</v>
      </c>
      <c r="O422" s="41">
        <v>79166.666666666672</v>
      </c>
      <c r="P422" s="41">
        <v>75000000</v>
      </c>
      <c r="Q422" s="41">
        <v>0</v>
      </c>
      <c r="R422" s="41">
        <v>21851851.851851799</v>
      </c>
      <c r="S422" s="41">
        <v>87962.962962962964</v>
      </c>
      <c r="T422" s="41">
        <v>14259259.259259271</v>
      </c>
      <c r="U422" s="41">
        <v>64814.814814814818</v>
      </c>
      <c r="V422" s="41">
        <v>286671296.29629648</v>
      </c>
      <c r="W422" s="41">
        <v>669907.40740740742</v>
      </c>
      <c r="X422" s="38">
        <f t="shared" si="36"/>
        <v>0.5733425925925929</v>
      </c>
      <c r="Y422" s="39">
        <f t="shared" si="37"/>
        <v>1.3398148148148147E-3</v>
      </c>
      <c r="Z422" s="39">
        <f t="shared" si="41"/>
        <v>2.3423222174199475E-3</v>
      </c>
      <c r="AA422" s="41">
        <f t="shared" si="38"/>
        <v>213328703.70370352</v>
      </c>
      <c r="AB422" s="39">
        <f t="shared" si="39"/>
        <v>3.1402591202066045E-3</v>
      </c>
      <c r="AC422" s="38">
        <f t="shared" si="40"/>
        <v>0.35432295881542369</v>
      </c>
      <c r="AD422" s="3"/>
    </row>
    <row r="423" spans="1:30" x14ac:dyDescent="0.25">
      <c r="A423" s="37">
        <v>46059</v>
      </c>
      <c r="B423" s="41">
        <v>8775925.9259259719</v>
      </c>
      <c r="C423" s="41">
        <v>35185.185185185182</v>
      </c>
      <c r="D423" s="41">
        <v>31659722.222222138</v>
      </c>
      <c r="E423" s="41">
        <v>131944.44444444441</v>
      </c>
      <c r="F423" s="41">
        <v>39576388.888888948</v>
      </c>
      <c r="G423" s="41">
        <v>131944.44444444441</v>
      </c>
      <c r="H423" s="41">
        <v>50000000</v>
      </c>
      <c r="I423" s="41">
        <v>0</v>
      </c>
      <c r="J423" s="41">
        <v>4555555.5555555522</v>
      </c>
      <c r="K423" s="41">
        <v>111111.11111111109</v>
      </c>
      <c r="L423" s="41">
        <v>6138888.8888889169</v>
      </c>
      <c r="M423" s="41">
        <v>27777.777777777781</v>
      </c>
      <c r="N423" s="41">
        <v>35370833.333333477</v>
      </c>
      <c r="O423" s="41">
        <v>79166.666666666672</v>
      </c>
      <c r="P423" s="41">
        <v>75000000</v>
      </c>
      <c r="Q423" s="41">
        <v>0</v>
      </c>
      <c r="R423" s="41">
        <v>21939814.814814769</v>
      </c>
      <c r="S423" s="41">
        <v>87962.962962962964</v>
      </c>
      <c r="T423" s="41">
        <v>14324074.07407409</v>
      </c>
      <c r="U423" s="41">
        <v>64814.814814814818</v>
      </c>
      <c r="V423" s="41">
        <v>287341203.70370388</v>
      </c>
      <c r="W423" s="41">
        <v>669907.40740740742</v>
      </c>
      <c r="X423" s="38">
        <f t="shared" si="36"/>
        <v>0.57468240740740772</v>
      </c>
      <c r="Y423" s="39">
        <f t="shared" si="37"/>
        <v>1.3398148148148147E-3</v>
      </c>
      <c r="Z423" s="39">
        <f t="shared" si="41"/>
        <v>2.3368485651071511E-3</v>
      </c>
      <c r="AA423" s="41">
        <f t="shared" si="38"/>
        <v>212658796.29629612</v>
      </c>
      <c r="AB423" s="39">
        <f t="shared" si="39"/>
        <v>3.1501514119078797E-3</v>
      </c>
      <c r="AC423" s="38">
        <f t="shared" si="40"/>
        <v>0.35320511842182689</v>
      </c>
      <c r="AD423" s="3"/>
    </row>
    <row r="424" spans="1:30" x14ac:dyDescent="0.25">
      <c r="A424" s="37">
        <v>46060</v>
      </c>
      <c r="B424" s="41">
        <v>8811111.1111111566</v>
      </c>
      <c r="C424" s="41">
        <v>35185.185185185182</v>
      </c>
      <c r="D424" s="41">
        <v>31791666.666666579</v>
      </c>
      <c r="E424" s="41">
        <v>131944.44444444441</v>
      </c>
      <c r="F424" s="41">
        <v>39708333.333333403</v>
      </c>
      <c r="G424" s="41">
        <v>131944.44444444441</v>
      </c>
      <c r="H424" s="41">
        <v>50000000</v>
      </c>
      <c r="I424" s="41">
        <v>0</v>
      </c>
      <c r="J424" s="41">
        <v>4666666.6666666633</v>
      </c>
      <c r="K424" s="41">
        <v>111111.11111111109</v>
      </c>
      <c r="L424" s="41">
        <v>6166666.6666666949</v>
      </c>
      <c r="M424" s="41">
        <v>27777.777777777781</v>
      </c>
      <c r="N424" s="41">
        <v>35450000.000000149</v>
      </c>
      <c r="O424" s="41">
        <v>79166.666666666672</v>
      </c>
      <c r="P424" s="41">
        <v>75000000</v>
      </c>
      <c r="Q424" s="41">
        <v>0</v>
      </c>
      <c r="R424" s="41">
        <v>22027777.777777731</v>
      </c>
      <c r="S424" s="41">
        <v>87962.962962962964</v>
      </c>
      <c r="T424" s="41">
        <v>14388888.888888899</v>
      </c>
      <c r="U424" s="41">
        <v>64814.814814814818</v>
      </c>
      <c r="V424" s="41">
        <v>288011111.11111122</v>
      </c>
      <c r="W424" s="41">
        <v>669907.40740740742</v>
      </c>
      <c r="X424" s="38">
        <f t="shared" si="36"/>
        <v>0.57602222222222244</v>
      </c>
      <c r="Y424" s="39">
        <f t="shared" si="37"/>
        <v>1.3398148148148147E-3</v>
      </c>
      <c r="Z424" s="39">
        <f t="shared" si="41"/>
        <v>2.3314004353451249E-3</v>
      </c>
      <c r="AA424" s="41">
        <f t="shared" si="38"/>
        <v>211988888.88888878</v>
      </c>
      <c r="AB424" s="39">
        <f t="shared" si="39"/>
        <v>3.1601062249943237E-3</v>
      </c>
      <c r="AC424" s="38">
        <f t="shared" si="40"/>
        <v>0.35209430911272216</v>
      </c>
      <c r="AD424" s="3"/>
    </row>
    <row r="425" spans="1:30" x14ac:dyDescent="0.25">
      <c r="A425" s="37">
        <v>46061</v>
      </c>
      <c r="B425" s="41">
        <v>8846296.2962963413</v>
      </c>
      <c r="C425" s="41">
        <v>35185.185185185182</v>
      </c>
      <c r="D425" s="41">
        <v>31923611.11111103</v>
      </c>
      <c r="E425" s="41">
        <v>131944.44444444441</v>
      </c>
      <c r="F425" s="41">
        <v>39840277.777777843</v>
      </c>
      <c r="G425" s="41">
        <v>131944.44444444441</v>
      </c>
      <c r="H425" s="41">
        <v>50000000</v>
      </c>
      <c r="I425" s="41">
        <v>0</v>
      </c>
      <c r="J425" s="41">
        <v>4777777.7777777743</v>
      </c>
      <c r="K425" s="41">
        <v>111111.11111111109</v>
      </c>
      <c r="L425" s="41">
        <v>6194444.4444444729</v>
      </c>
      <c r="M425" s="41">
        <v>27777.777777777781</v>
      </c>
      <c r="N425" s="41">
        <v>35529166.666666813</v>
      </c>
      <c r="O425" s="41">
        <v>79166.666666666672</v>
      </c>
      <c r="P425" s="41">
        <v>75000000</v>
      </c>
      <c r="Q425" s="41">
        <v>0</v>
      </c>
      <c r="R425" s="41">
        <v>22115740.74074069</v>
      </c>
      <c r="S425" s="41">
        <v>87962.962962962964</v>
      </c>
      <c r="T425" s="41">
        <v>14453703.70370372</v>
      </c>
      <c r="U425" s="41">
        <v>64814.814814814818</v>
      </c>
      <c r="V425" s="41">
        <v>288681018.51851869</v>
      </c>
      <c r="W425" s="41">
        <v>669907.40740740742</v>
      </c>
      <c r="X425" s="38">
        <f t="shared" si="36"/>
        <v>0.57736203703703737</v>
      </c>
      <c r="Y425" s="39">
        <f t="shared" si="37"/>
        <v>1.3398148148148147E-3</v>
      </c>
      <c r="Z425" s="39">
        <f t="shared" si="41"/>
        <v>2.3259776500392207E-3</v>
      </c>
      <c r="AA425" s="41">
        <f t="shared" si="38"/>
        <v>211318981.48148131</v>
      </c>
      <c r="AB425" s="39">
        <f t="shared" si="39"/>
        <v>3.1701241540675984E-3</v>
      </c>
      <c r="AC425" s="38">
        <f t="shared" si="40"/>
        <v>0.35099046475904044</v>
      </c>
      <c r="AD425" s="3"/>
    </row>
    <row r="426" spans="1:30" x14ac:dyDescent="0.25">
      <c r="A426" s="37">
        <v>46062</v>
      </c>
      <c r="B426" s="41">
        <v>8881481.481481526</v>
      </c>
      <c r="C426" s="41">
        <v>35185.185185185182</v>
      </c>
      <c r="D426" s="41">
        <v>32055555.55555547</v>
      </c>
      <c r="E426" s="41">
        <v>131944.44444444441</v>
      </c>
      <c r="F426" s="41">
        <v>39972222.222222291</v>
      </c>
      <c r="G426" s="41">
        <v>131944.44444444441</v>
      </c>
      <c r="H426" s="41">
        <v>50000000</v>
      </c>
      <c r="I426" s="41">
        <v>0</v>
      </c>
      <c r="J426" s="41">
        <v>4888888.8888888853</v>
      </c>
      <c r="K426" s="41">
        <v>111111.11111111109</v>
      </c>
      <c r="L426" s="41">
        <v>6222222.2222222509</v>
      </c>
      <c r="M426" s="41">
        <v>27777.777777777781</v>
      </c>
      <c r="N426" s="41">
        <v>35608333.333333477</v>
      </c>
      <c r="O426" s="41">
        <v>79166.666666666672</v>
      </c>
      <c r="P426" s="41">
        <v>75000000</v>
      </c>
      <c r="Q426" s="41">
        <v>0</v>
      </c>
      <c r="R426" s="41">
        <v>22203703.703703649</v>
      </c>
      <c r="S426" s="41">
        <v>87962.962962962964</v>
      </c>
      <c r="T426" s="41">
        <v>14518518.518518539</v>
      </c>
      <c r="U426" s="41">
        <v>64814.814814814818</v>
      </c>
      <c r="V426" s="41">
        <v>289350925.92592603</v>
      </c>
      <c r="W426" s="41">
        <v>669907.40740740742</v>
      </c>
      <c r="X426" s="38">
        <f t="shared" si="36"/>
        <v>0.57870185185185208</v>
      </c>
      <c r="Y426" s="39">
        <f t="shared" si="37"/>
        <v>1.3398148148148147E-3</v>
      </c>
      <c r="Z426" s="39">
        <f t="shared" si="41"/>
        <v>2.3205800327479216E-3</v>
      </c>
      <c r="AA426" s="41">
        <f t="shared" si="38"/>
        <v>210649074.07407397</v>
      </c>
      <c r="AB426" s="39">
        <f t="shared" si="39"/>
        <v>3.1802058012931826E-3</v>
      </c>
      <c r="AC426" s="38">
        <f t="shared" si="40"/>
        <v>0.3498935200584018</v>
      </c>
      <c r="AD426" s="3"/>
    </row>
    <row r="427" spans="1:30" x14ac:dyDescent="0.25">
      <c r="A427" s="37">
        <v>46063</v>
      </c>
      <c r="B427" s="41">
        <v>8916666.6666667107</v>
      </c>
      <c r="C427" s="41">
        <v>35185.185185185182</v>
      </c>
      <c r="D427" s="41">
        <v>32187499.999999911</v>
      </c>
      <c r="E427" s="41">
        <v>131944.44444444441</v>
      </c>
      <c r="F427" s="41">
        <v>40104166.666666739</v>
      </c>
      <c r="G427" s="41">
        <v>131944.44444444441</v>
      </c>
      <c r="H427" s="41">
        <v>50000000</v>
      </c>
      <c r="I427" s="41">
        <v>0</v>
      </c>
      <c r="J427" s="41">
        <v>4999999.9999999963</v>
      </c>
      <c r="K427" s="41">
        <v>111111.11111111109</v>
      </c>
      <c r="L427" s="41">
        <v>6250000.0000000289</v>
      </c>
      <c r="M427" s="41">
        <v>27777.777777777781</v>
      </c>
      <c r="N427" s="41">
        <v>35687500.000000142</v>
      </c>
      <c r="O427" s="41">
        <v>79166.666666666672</v>
      </c>
      <c r="P427" s="41">
        <v>75000000</v>
      </c>
      <c r="Q427" s="41">
        <v>0</v>
      </c>
      <c r="R427" s="41">
        <v>22291666.666666619</v>
      </c>
      <c r="S427" s="41">
        <v>87962.962962962964</v>
      </c>
      <c r="T427" s="41">
        <v>14583333.333333351</v>
      </c>
      <c r="U427" s="41">
        <v>64814.814814814818</v>
      </c>
      <c r="V427" s="41">
        <v>290020833.33333361</v>
      </c>
      <c r="W427" s="41">
        <v>669907.40740740742</v>
      </c>
      <c r="X427" s="38">
        <f t="shared" si="36"/>
        <v>0.58004166666666723</v>
      </c>
      <c r="Y427" s="39">
        <f t="shared" si="37"/>
        <v>1.3398148148148147E-3</v>
      </c>
      <c r="Z427" s="39">
        <f t="shared" si="41"/>
        <v>2.3152074086637067E-3</v>
      </c>
      <c r="AA427" s="41">
        <f t="shared" si="38"/>
        <v>209979166.66666639</v>
      </c>
      <c r="AB427" s="39">
        <f t="shared" si="39"/>
        <v>3.1903517765210438E-3</v>
      </c>
      <c r="AC427" s="38">
        <f t="shared" si="40"/>
        <v>0.34880341052223579</v>
      </c>
      <c r="AD427" s="3"/>
    </row>
    <row r="428" spans="1:30" x14ac:dyDescent="0.25">
      <c r="A428" s="37">
        <v>46064</v>
      </c>
      <c r="B428" s="41">
        <v>8951851.8518518955</v>
      </c>
      <c r="C428" s="41">
        <v>35185.185185185182</v>
      </c>
      <c r="D428" s="41">
        <v>32319444.444444358</v>
      </c>
      <c r="E428" s="41">
        <v>131944.44444444441</v>
      </c>
      <c r="F428" s="41">
        <v>40236111.111111186</v>
      </c>
      <c r="G428" s="41">
        <v>131944.44444444441</v>
      </c>
      <c r="H428" s="41">
        <v>50000000</v>
      </c>
      <c r="I428" s="41">
        <v>0</v>
      </c>
      <c r="J428" s="41">
        <v>5111111.1111111073</v>
      </c>
      <c r="K428" s="41">
        <v>111111.11111111109</v>
      </c>
      <c r="L428" s="41">
        <v>6277777.7777778069</v>
      </c>
      <c r="M428" s="41">
        <v>27777.777777777781</v>
      </c>
      <c r="N428" s="41">
        <v>35766666.666666813</v>
      </c>
      <c r="O428" s="41">
        <v>79166.666666666672</v>
      </c>
      <c r="P428" s="41">
        <v>75000000</v>
      </c>
      <c r="Q428" s="41">
        <v>0</v>
      </c>
      <c r="R428" s="41">
        <v>22379629.629629578</v>
      </c>
      <c r="S428" s="41">
        <v>87962.962962962964</v>
      </c>
      <c r="T428" s="41">
        <v>14648148.14814817</v>
      </c>
      <c r="U428" s="41">
        <v>64814.814814814818</v>
      </c>
      <c r="V428" s="41">
        <v>290690740.7407409</v>
      </c>
      <c r="W428" s="41">
        <v>669907.40740740742</v>
      </c>
      <c r="X428" s="38">
        <f t="shared" si="36"/>
        <v>0.58138148148148183</v>
      </c>
      <c r="Y428" s="39">
        <f t="shared" si="37"/>
        <v>1.3398148148148147E-3</v>
      </c>
      <c r="Z428" s="39">
        <f t="shared" si="41"/>
        <v>2.309859604594176E-3</v>
      </c>
      <c r="AA428" s="41">
        <f t="shared" si="38"/>
        <v>209309259.2592591</v>
      </c>
      <c r="AB428" s="39">
        <f t="shared" si="39"/>
        <v>3.2005626974085863E-3</v>
      </c>
      <c r="AC428" s="38">
        <f t="shared" si="40"/>
        <v>0.34772007246314574</v>
      </c>
      <c r="AD428" s="3"/>
    </row>
    <row r="429" spans="1:30" x14ac:dyDescent="0.25">
      <c r="A429" s="37">
        <v>46065</v>
      </c>
      <c r="B429" s="41">
        <v>8987037.0370370802</v>
      </c>
      <c r="C429" s="41">
        <v>35185.185185185182</v>
      </c>
      <c r="D429" s="41">
        <v>32451388.888888799</v>
      </c>
      <c r="E429" s="41">
        <v>131944.44444444441</v>
      </c>
      <c r="F429" s="41">
        <v>40368055.555555627</v>
      </c>
      <c r="G429" s="41">
        <v>131944.44444444441</v>
      </c>
      <c r="H429" s="41">
        <v>50000000</v>
      </c>
      <c r="I429" s="41">
        <v>0</v>
      </c>
      <c r="J429" s="41">
        <v>5222222.2222222183</v>
      </c>
      <c r="K429" s="41">
        <v>111111.11111111109</v>
      </c>
      <c r="L429" s="41">
        <v>6305555.5555555848</v>
      </c>
      <c r="M429" s="41">
        <v>27777.777777777781</v>
      </c>
      <c r="N429" s="41">
        <v>35845833.33333347</v>
      </c>
      <c r="O429" s="41">
        <v>79166.666666666672</v>
      </c>
      <c r="P429" s="41">
        <v>75000000</v>
      </c>
      <c r="Q429" s="41">
        <v>0</v>
      </c>
      <c r="R429" s="41">
        <v>22467592.592592541</v>
      </c>
      <c r="S429" s="41">
        <v>87962.962962962964</v>
      </c>
      <c r="T429" s="41">
        <v>14712962.962962979</v>
      </c>
      <c r="U429" s="41">
        <v>64814.814814814818</v>
      </c>
      <c r="V429" s="41">
        <v>291360648.1481483</v>
      </c>
      <c r="W429" s="41">
        <v>669907.40740740742</v>
      </c>
      <c r="X429" s="38">
        <f t="shared" si="36"/>
        <v>0.58272129629629654</v>
      </c>
      <c r="Y429" s="39">
        <f t="shared" si="37"/>
        <v>1.3398148148148147E-3</v>
      </c>
      <c r="Z429" s="39">
        <f t="shared" si="41"/>
        <v>2.3045364489434478E-3</v>
      </c>
      <c r="AA429" s="41">
        <f t="shared" si="38"/>
        <v>208639351.8518517</v>
      </c>
      <c r="AB429" s="39">
        <f t="shared" si="39"/>
        <v>3.2108391895460248E-3</v>
      </c>
      <c r="AC429" s="38">
        <f t="shared" si="40"/>
        <v>0.34664344298250283</v>
      </c>
      <c r="AD429" s="3"/>
    </row>
    <row r="430" spans="1:30" x14ac:dyDescent="0.25">
      <c r="A430" s="37">
        <v>46066</v>
      </c>
      <c r="B430" s="41">
        <v>9022222.2222222649</v>
      </c>
      <c r="C430" s="41">
        <v>35185.185185185182</v>
      </c>
      <c r="D430" s="41">
        <v>32583333.33333325</v>
      </c>
      <c r="E430" s="41">
        <v>131944.44444444441</v>
      </c>
      <c r="F430" s="41">
        <v>40500000.000000082</v>
      </c>
      <c r="G430" s="41">
        <v>131944.44444444441</v>
      </c>
      <c r="H430" s="41">
        <v>50000000</v>
      </c>
      <c r="I430" s="41">
        <v>0</v>
      </c>
      <c r="J430" s="41">
        <v>5333333.3333333293</v>
      </c>
      <c r="K430" s="41">
        <v>111111.11111111109</v>
      </c>
      <c r="L430" s="41">
        <v>6333333.3333333628</v>
      </c>
      <c r="M430" s="41">
        <v>27777.777777777781</v>
      </c>
      <c r="N430" s="41">
        <v>35925000.000000127</v>
      </c>
      <c r="O430" s="41">
        <v>79166.666666666672</v>
      </c>
      <c r="P430" s="41">
        <v>75000000</v>
      </c>
      <c r="Q430" s="41">
        <v>0</v>
      </c>
      <c r="R430" s="41">
        <v>22555555.5555555</v>
      </c>
      <c r="S430" s="41">
        <v>87962.962962962964</v>
      </c>
      <c r="T430" s="41">
        <v>14777777.7777778</v>
      </c>
      <c r="U430" s="41">
        <v>64814.814814814818</v>
      </c>
      <c r="V430" s="41">
        <v>292030555.55555582</v>
      </c>
      <c r="W430" s="41">
        <v>669907.40740740742</v>
      </c>
      <c r="X430" s="38">
        <f t="shared" si="36"/>
        <v>0.58406111111111159</v>
      </c>
      <c r="Y430" s="39">
        <f t="shared" si="37"/>
        <v>1.3398148148148147E-3</v>
      </c>
      <c r="Z430" s="39">
        <f t="shared" si="41"/>
        <v>2.2992377716937917E-3</v>
      </c>
      <c r="AA430" s="41">
        <f t="shared" si="38"/>
        <v>207969444.44444418</v>
      </c>
      <c r="AB430" s="39">
        <f t="shared" si="39"/>
        <v>3.2211818865841265E-3</v>
      </c>
      <c r="AC430" s="38">
        <f t="shared" si="40"/>
        <v>0.34557345995827476</v>
      </c>
      <c r="AD430" s="3"/>
    </row>
    <row r="431" spans="1:30" x14ac:dyDescent="0.25">
      <c r="A431" s="37">
        <v>46067</v>
      </c>
      <c r="B431" s="41">
        <v>9057407.4074074496</v>
      </c>
      <c r="C431" s="41">
        <v>35185.185185185182</v>
      </c>
      <c r="D431" s="41">
        <v>32715277.77777769</v>
      </c>
      <c r="E431" s="41">
        <v>131944.44444444441</v>
      </c>
      <c r="F431" s="41">
        <v>40631944.44444453</v>
      </c>
      <c r="G431" s="41">
        <v>131944.44444444441</v>
      </c>
      <c r="H431" s="41">
        <v>50000000</v>
      </c>
      <c r="I431" s="41">
        <v>0</v>
      </c>
      <c r="J431" s="41">
        <v>5444444.4444444403</v>
      </c>
      <c r="K431" s="41">
        <v>111111.11111111109</v>
      </c>
      <c r="L431" s="41">
        <v>6361111.1111111408</v>
      </c>
      <c r="M431" s="41">
        <v>27777.777777777781</v>
      </c>
      <c r="N431" s="41">
        <v>36004166.666666798</v>
      </c>
      <c r="O431" s="41">
        <v>79166.666666666672</v>
      </c>
      <c r="P431" s="41">
        <v>75000000</v>
      </c>
      <c r="Q431" s="41">
        <v>0</v>
      </c>
      <c r="R431" s="41">
        <v>22643518.51851847</v>
      </c>
      <c r="S431" s="41">
        <v>87962.962962962964</v>
      </c>
      <c r="T431" s="41">
        <v>14842592.59259261</v>
      </c>
      <c r="U431" s="41">
        <v>64814.814814814818</v>
      </c>
      <c r="V431" s="41">
        <v>292700462.9629631</v>
      </c>
      <c r="W431" s="41">
        <v>669907.40740740742</v>
      </c>
      <c r="X431" s="38">
        <f t="shared" si="36"/>
        <v>0.58540092592592619</v>
      </c>
      <c r="Y431" s="39">
        <f t="shared" si="37"/>
        <v>1.3398148148148147E-3</v>
      </c>
      <c r="Z431" s="39">
        <f t="shared" si="41"/>
        <v>2.2939634043875399E-3</v>
      </c>
      <c r="AA431" s="41">
        <f t="shared" si="38"/>
        <v>207299537.0370369</v>
      </c>
      <c r="AB431" s="39">
        <f t="shared" si="39"/>
        <v>3.2315914303644552E-3</v>
      </c>
      <c r="AC431" s="38">
        <f t="shared" si="40"/>
        <v>0.34451006203307699</v>
      </c>
      <c r="AD431" s="3"/>
    </row>
    <row r="432" spans="1:30" x14ac:dyDescent="0.25">
      <c r="A432" s="37">
        <v>46068</v>
      </c>
      <c r="B432" s="41">
        <v>9092592.5925926343</v>
      </c>
      <c r="C432" s="41">
        <v>35185.185185185182</v>
      </c>
      <c r="D432" s="41">
        <v>32847222.222222131</v>
      </c>
      <c r="E432" s="41">
        <v>131944.44444444441</v>
      </c>
      <c r="F432" s="41">
        <v>40763888.888888977</v>
      </c>
      <c r="G432" s="41">
        <v>131944.44444444441</v>
      </c>
      <c r="H432" s="41">
        <v>50000000</v>
      </c>
      <c r="I432" s="41">
        <v>0</v>
      </c>
      <c r="J432" s="41">
        <v>5555555.5555555513</v>
      </c>
      <c r="K432" s="41">
        <v>111111.11111111109</v>
      </c>
      <c r="L432" s="41">
        <v>6388888.8888889188</v>
      </c>
      <c r="M432" s="41">
        <v>27777.777777777781</v>
      </c>
      <c r="N432" s="41">
        <v>36083333.333333462</v>
      </c>
      <c r="O432" s="41">
        <v>79166.666666666672</v>
      </c>
      <c r="P432" s="41">
        <v>75000000</v>
      </c>
      <c r="Q432" s="41">
        <v>0</v>
      </c>
      <c r="R432" s="41">
        <v>22731481.481481429</v>
      </c>
      <c r="S432" s="41">
        <v>87962.962962962964</v>
      </c>
      <c r="T432" s="41">
        <v>14907407.407407429</v>
      </c>
      <c r="U432" s="41">
        <v>64814.814814814818</v>
      </c>
      <c r="V432" s="41">
        <v>293370370.37037051</v>
      </c>
      <c r="W432" s="41">
        <v>669907.40740740742</v>
      </c>
      <c r="X432" s="38">
        <f t="shared" si="36"/>
        <v>0.58674074074074101</v>
      </c>
      <c r="Y432" s="39">
        <f t="shared" si="37"/>
        <v>1.3398148148148147E-3</v>
      </c>
      <c r="Z432" s="39">
        <f t="shared" si="41"/>
        <v>2.2887131801092309E-3</v>
      </c>
      <c r="AA432" s="41">
        <f t="shared" si="38"/>
        <v>206629629.62962949</v>
      </c>
      <c r="AB432" s="39">
        <f t="shared" si="39"/>
        <v>3.242068471052162E-3</v>
      </c>
      <c r="AC432" s="38">
        <f t="shared" si="40"/>
        <v>0.34345318860244212</v>
      </c>
      <c r="AD432" s="3"/>
    </row>
    <row r="433" spans="1:30" x14ac:dyDescent="0.25">
      <c r="A433" s="37">
        <v>46069</v>
      </c>
      <c r="B433" s="41">
        <v>9127777.777777819</v>
      </c>
      <c r="C433" s="41">
        <v>35185.185185185182</v>
      </c>
      <c r="D433" s="41">
        <v>32979166.666666579</v>
      </c>
      <c r="E433" s="41">
        <v>131944.44444444441</v>
      </c>
      <c r="F433" s="41">
        <v>40895833.333333433</v>
      </c>
      <c r="G433" s="41">
        <v>131944.44444444441</v>
      </c>
      <c r="H433" s="41">
        <v>50000000</v>
      </c>
      <c r="I433" s="41">
        <v>0</v>
      </c>
      <c r="J433" s="41">
        <v>5666666.6666666623</v>
      </c>
      <c r="K433" s="41">
        <v>111111.11111111109</v>
      </c>
      <c r="L433" s="41">
        <v>6416666.6666666968</v>
      </c>
      <c r="M433" s="41">
        <v>27777.777777777781</v>
      </c>
      <c r="N433" s="41">
        <v>36162500.000000127</v>
      </c>
      <c r="O433" s="41">
        <v>79166.666666666672</v>
      </c>
      <c r="P433" s="41">
        <v>75000000</v>
      </c>
      <c r="Q433" s="41">
        <v>0</v>
      </c>
      <c r="R433" s="41">
        <v>22819444.444444388</v>
      </c>
      <c r="S433" s="41">
        <v>87962.962962962964</v>
      </c>
      <c r="T433" s="41">
        <v>14972222.222222241</v>
      </c>
      <c r="U433" s="41">
        <v>64814.814814814818</v>
      </c>
      <c r="V433" s="41">
        <v>294040277.77777803</v>
      </c>
      <c r="W433" s="41">
        <v>669907.40740740742</v>
      </c>
      <c r="X433" s="38">
        <f t="shared" si="36"/>
        <v>0.58808055555555605</v>
      </c>
      <c r="Y433" s="39">
        <f t="shared" si="37"/>
        <v>1.3398148148148147E-3</v>
      </c>
      <c r="Z433" s="39">
        <f t="shared" si="41"/>
        <v>2.2834869334679955E-3</v>
      </c>
      <c r="AA433" s="41">
        <f t="shared" si="38"/>
        <v>205959722.22222197</v>
      </c>
      <c r="AB433" s="39">
        <f t="shared" si="39"/>
        <v>3.2526136672713377E-3</v>
      </c>
      <c r="AC433" s="38">
        <f t="shared" si="40"/>
        <v>0.34240277980330824</v>
      </c>
      <c r="AD433" s="3"/>
    </row>
    <row r="434" spans="1:30" x14ac:dyDescent="0.25">
      <c r="A434" s="37">
        <v>46070</v>
      </c>
      <c r="B434" s="41">
        <v>9162962.9629630037</v>
      </c>
      <c r="C434" s="41">
        <v>35185.185185185182</v>
      </c>
      <c r="D434" s="41">
        <v>33111111.111111019</v>
      </c>
      <c r="E434" s="41">
        <v>131944.44444444441</v>
      </c>
      <c r="F434" s="41">
        <v>41027777.777777873</v>
      </c>
      <c r="G434" s="41">
        <v>131944.44444444441</v>
      </c>
      <c r="H434" s="41">
        <v>50000000</v>
      </c>
      <c r="I434" s="41">
        <v>0</v>
      </c>
      <c r="J434" s="41">
        <v>5777777.7777777733</v>
      </c>
      <c r="K434" s="41">
        <v>111111.11111111109</v>
      </c>
      <c r="L434" s="41">
        <v>6444444.4444444748</v>
      </c>
      <c r="M434" s="41">
        <v>27777.777777777781</v>
      </c>
      <c r="N434" s="41">
        <v>36241666.666666791</v>
      </c>
      <c r="O434" s="41">
        <v>79166.666666666672</v>
      </c>
      <c r="P434" s="41">
        <v>75000000</v>
      </c>
      <c r="Q434" s="41">
        <v>0</v>
      </c>
      <c r="R434" s="41">
        <v>22907407.407407351</v>
      </c>
      <c r="S434" s="41">
        <v>87962.962962962964</v>
      </c>
      <c r="T434" s="41">
        <v>15037037.03703706</v>
      </c>
      <c r="U434" s="41">
        <v>64814.814814814818</v>
      </c>
      <c r="V434" s="41">
        <v>294710185.18518537</v>
      </c>
      <c r="W434" s="41">
        <v>669907.40740740742</v>
      </c>
      <c r="X434" s="38">
        <f t="shared" si="36"/>
        <v>0.58942037037037076</v>
      </c>
      <c r="Y434" s="39">
        <f t="shared" si="37"/>
        <v>1.3398148148148147E-3</v>
      </c>
      <c r="Z434" s="39">
        <f t="shared" si="41"/>
        <v>2.2782845005801969E-3</v>
      </c>
      <c r="AA434" s="41">
        <f t="shared" si="38"/>
        <v>205289814.81481463</v>
      </c>
      <c r="AB434" s="39">
        <f t="shared" si="39"/>
        <v>3.263227686243029E-3</v>
      </c>
      <c r="AC434" s="38">
        <f t="shared" si="40"/>
        <v>0.34135877650271584</v>
      </c>
      <c r="AD434" s="3"/>
    </row>
    <row r="435" spans="1:30" x14ac:dyDescent="0.25">
      <c r="A435" s="37">
        <v>46071</v>
      </c>
      <c r="B435" s="41">
        <v>9198148.1481481884</v>
      </c>
      <c r="C435" s="41">
        <v>35185.185185185182</v>
      </c>
      <c r="D435" s="41">
        <v>33243055.55555547</v>
      </c>
      <c r="E435" s="41">
        <v>131944.44444444441</v>
      </c>
      <c r="F435" s="41">
        <v>41159722.222222321</v>
      </c>
      <c r="G435" s="41">
        <v>131944.44444444441</v>
      </c>
      <c r="H435" s="41">
        <v>50000000</v>
      </c>
      <c r="I435" s="41">
        <v>0</v>
      </c>
      <c r="J435" s="41">
        <v>5888888.8888888843</v>
      </c>
      <c r="K435" s="41">
        <v>111111.11111111109</v>
      </c>
      <c r="L435" s="41">
        <v>6472222.2222222527</v>
      </c>
      <c r="M435" s="41">
        <v>27777.777777777781</v>
      </c>
      <c r="N435" s="41">
        <v>36320833.333333462</v>
      </c>
      <c r="O435" s="41">
        <v>79166.666666666672</v>
      </c>
      <c r="P435" s="41">
        <v>75000000</v>
      </c>
      <c r="Q435" s="41">
        <v>0</v>
      </c>
      <c r="R435" s="41">
        <v>22995370.370370321</v>
      </c>
      <c r="S435" s="41">
        <v>87962.962962962964</v>
      </c>
      <c r="T435" s="41">
        <v>15101851.851851869</v>
      </c>
      <c r="U435" s="41">
        <v>64814.814814814818</v>
      </c>
      <c r="V435" s="41">
        <v>295380092.59259278</v>
      </c>
      <c r="W435" s="41">
        <v>669907.40740740742</v>
      </c>
      <c r="X435" s="38">
        <f t="shared" si="36"/>
        <v>0.59076018518518558</v>
      </c>
      <c r="Y435" s="39">
        <f t="shared" si="37"/>
        <v>1.3398148148148147E-3</v>
      </c>
      <c r="Z435" s="39">
        <f t="shared" si="41"/>
        <v>2.2731057190523004E-3</v>
      </c>
      <c r="AA435" s="41">
        <f t="shared" si="38"/>
        <v>204619907.40740722</v>
      </c>
      <c r="AB435" s="39">
        <f t="shared" si="39"/>
        <v>3.2739112039259811E-3</v>
      </c>
      <c r="AC435" s="38">
        <f t="shared" si="40"/>
        <v>0.34032112028670974</v>
      </c>
      <c r="AD435" s="3"/>
    </row>
    <row r="436" spans="1:30" x14ac:dyDescent="0.25">
      <c r="A436" s="37">
        <v>46072</v>
      </c>
      <c r="B436" s="41">
        <v>9233333.3333333731</v>
      </c>
      <c r="C436" s="41">
        <v>35185.185185185182</v>
      </c>
      <c r="D436" s="41">
        <v>33374999.999999911</v>
      </c>
      <c r="E436" s="41">
        <v>131944.44444444441</v>
      </c>
      <c r="F436" s="41">
        <v>41291666.666666768</v>
      </c>
      <c r="G436" s="41">
        <v>131944.44444444441</v>
      </c>
      <c r="H436" s="41">
        <v>50000000</v>
      </c>
      <c r="I436" s="41">
        <v>0</v>
      </c>
      <c r="J436" s="41">
        <v>5999999.9999999953</v>
      </c>
      <c r="K436" s="41">
        <v>111111.11111111109</v>
      </c>
      <c r="L436" s="41">
        <v>6500000.0000000307</v>
      </c>
      <c r="M436" s="41">
        <v>27777.777777777781</v>
      </c>
      <c r="N436" s="41">
        <v>36400000.000000119</v>
      </c>
      <c r="O436" s="41">
        <v>79166.666666666672</v>
      </c>
      <c r="P436" s="41">
        <v>75000000</v>
      </c>
      <c r="Q436" s="41">
        <v>0</v>
      </c>
      <c r="R436" s="41">
        <v>23083333.33333328</v>
      </c>
      <c r="S436" s="41">
        <v>87962.962962962964</v>
      </c>
      <c r="T436" s="41">
        <v>15166666.66666669</v>
      </c>
      <c r="U436" s="41">
        <v>64814.814814814818</v>
      </c>
      <c r="V436" s="41">
        <v>296050000.00000018</v>
      </c>
      <c r="W436" s="41">
        <v>669907.40740740742</v>
      </c>
      <c r="X436" s="38">
        <f t="shared" si="36"/>
        <v>0.5921000000000004</v>
      </c>
      <c r="Y436" s="39">
        <f t="shared" si="37"/>
        <v>1.3398148148148147E-3</v>
      </c>
      <c r="Z436" s="39">
        <f t="shared" si="41"/>
        <v>2.2679504279639684E-3</v>
      </c>
      <c r="AA436" s="41">
        <f t="shared" si="38"/>
        <v>203949999.99999982</v>
      </c>
      <c r="AB436" s="39">
        <f t="shared" si="39"/>
        <v>3.2846649051601275E-3</v>
      </c>
      <c r="AC436" s="38">
        <f t="shared" si="40"/>
        <v>0.33928975344944556</v>
      </c>
      <c r="AD436" s="3"/>
    </row>
    <row r="437" spans="1:30" x14ac:dyDescent="0.25">
      <c r="A437" s="37">
        <v>46073</v>
      </c>
      <c r="B437" s="41">
        <v>9268518.5185185578</v>
      </c>
      <c r="C437" s="41">
        <v>35185.185185185182</v>
      </c>
      <c r="D437" s="41">
        <v>33506944.444444351</v>
      </c>
      <c r="E437" s="41">
        <v>131944.44444444441</v>
      </c>
      <c r="F437" s="41">
        <v>41423611.111111224</v>
      </c>
      <c r="G437" s="41">
        <v>131944.44444444441</v>
      </c>
      <c r="H437" s="41">
        <v>50000000</v>
      </c>
      <c r="I437" s="41">
        <v>0</v>
      </c>
      <c r="J437" s="41">
        <v>6111111.1111111064</v>
      </c>
      <c r="K437" s="41">
        <v>111111.11111111109</v>
      </c>
      <c r="L437" s="41">
        <v>6527777.7777778087</v>
      </c>
      <c r="M437" s="41">
        <v>27777.777777777781</v>
      </c>
      <c r="N437" s="41">
        <v>36479166.666666783</v>
      </c>
      <c r="O437" s="41">
        <v>79166.666666666672</v>
      </c>
      <c r="P437" s="41">
        <v>75000000</v>
      </c>
      <c r="Q437" s="41">
        <v>0</v>
      </c>
      <c r="R437" s="41">
        <v>23171296.296296239</v>
      </c>
      <c r="S437" s="41">
        <v>87962.962962962964</v>
      </c>
      <c r="T437" s="41">
        <v>15231481.4814815</v>
      </c>
      <c r="U437" s="41">
        <v>64814.814814814818</v>
      </c>
      <c r="V437" s="41">
        <v>296719907.40740758</v>
      </c>
      <c r="W437" s="41">
        <v>669907.40740740742</v>
      </c>
      <c r="X437" s="38">
        <f t="shared" si="36"/>
        <v>0.59343981481481511</v>
      </c>
      <c r="Y437" s="39">
        <f t="shared" si="37"/>
        <v>1.3398148148148147E-3</v>
      </c>
      <c r="Z437" s="39">
        <f t="shared" si="41"/>
        <v>2.2628184678514002E-3</v>
      </c>
      <c r="AA437" s="41">
        <f t="shared" si="38"/>
        <v>203280092.59259242</v>
      </c>
      <c r="AB437" s="39">
        <f t="shared" si="39"/>
        <v>3.295489483812932E-3</v>
      </c>
      <c r="AC437" s="38">
        <f t="shared" si="40"/>
        <v>0.33826461898249138</v>
      </c>
      <c r="AD437" s="3"/>
    </row>
    <row r="438" spans="1:30" x14ac:dyDescent="0.25">
      <c r="A438" s="37">
        <v>46074</v>
      </c>
      <c r="B438" s="41">
        <v>9303703.7037037425</v>
      </c>
      <c r="C438" s="41">
        <v>35185.185185185182</v>
      </c>
      <c r="D438" s="41">
        <v>33638888.888888799</v>
      </c>
      <c r="E438" s="41">
        <v>131944.44444444441</v>
      </c>
      <c r="F438" s="41">
        <v>41555555.555555657</v>
      </c>
      <c r="G438" s="41">
        <v>131944.44444444441</v>
      </c>
      <c r="H438" s="41">
        <v>50000000</v>
      </c>
      <c r="I438" s="41">
        <v>0</v>
      </c>
      <c r="J438" s="41">
        <v>6222222.2222222174</v>
      </c>
      <c r="K438" s="41">
        <v>111111.11111111109</v>
      </c>
      <c r="L438" s="41">
        <v>6555555.5555555867</v>
      </c>
      <c r="M438" s="41">
        <v>27777.777777777781</v>
      </c>
      <c r="N438" s="41">
        <v>36558333.333333448</v>
      </c>
      <c r="O438" s="41">
        <v>79166.666666666672</v>
      </c>
      <c r="P438" s="41">
        <v>75000000</v>
      </c>
      <c r="Q438" s="41">
        <v>0</v>
      </c>
      <c r="R438" s="41">
        <v>23259259.259259209</v>
      </c>
      <c r="S438" s="41">
        <v>87962.962962962964</v>
      </c>
      <c r="T438" s="41">
        <v>15296296.296296321</v>
      </c>
      <c r="U438" s="41">
        <v>64814.814814814818</v>
      </c>
      <c r="V438" s="41">
        <v>297389814.81481498</v>
      </c>
      <c r="W438" s="41">
        <v>669907.40740740742</v>
      </c>
      <c r="X438" s="38">
        <f t="shared" si="36"/>
        <v>0.59477962962962994</v>
      </c>
      <c r="Y438" s="39">
        <f t="shared" si="37"/>
        <v>1.3398148148148147E-3</v>
      </c>
      <c r="Z438" s="39">
        <f t="shared" si="41"/>
        <v>2.2577096806908861E-3</v>
      </c>
      <c r="AA438" s="41">
        <f t="shared" si="38"/>
        <v>202610185.18518502</v>
      </c>
      <c r="AB438" s="39">
        <f t="shared" si="39"/>
        <v>3.3063856429286333E-3</v>
      </c>
      <c r="AC438" s="38">
        <f t="shared" si="40"/>
        <v>0.33724566056432415</v>
      </c>
      <c r="AD438" s="3"/>
    </row>
    <row r="439" spans="1:30" x14ac:dyDescent="0.25">
      <c r="A439" s="37">
        <v>46075</v>
      </c>
      <c r="B439" s="41">
        <v>9338888.8888889272</v>
      </c>
      <c r="C439" s="41">
        <v>35185.185185185182</v>
      </c>
      <c r="D439" s="41">
        <v>33770833.333333246</v>
      </c>
      <c r="E439" s="41">
        <v>131944.44444444441</v>
      </c>
      <c r="F439" s="41">
        <v>41687500.000000112</v>
      </c>
      <c r="G439" s="41">
        <v>131944.44444444441</v>
      </c>
      <c r="H439" s="41">
        <v>50000000</v>
      </c>
      <c r="I439" s="41">
        <v>0</v>
      </c>
      <c r="J439" s="41">
        <v>6333333.3333333284</v>
      </c>
      <c r="K439" s="41">
        <v>111111.11111111109</v>
      </c>
      <c r="L439" s="41">
        <v>6583333.3333333647</v>
      </c>
      <c r="M439" s="41">
        <v>27777.777777777781</v>
      </c>
      <c r="N439" s="41">
        <v>36637500.000000112</v>
      </c>
      <c r="O439" s="41">
        <v>79166.666666666672</v>
      </c>
      <c r="P439" s="41">
        <v>75000000</v>
      </c>
      <c r="Q439" s="41">
        <v>0</v>
      </c>
      <c r="R439" s="41">
        <v>23347222.222222172</v>
      </c>
      <c r="S439" s="41">
        <v>87962.962962962964</v>
      </c>
      <c r="T439" s="41">
        <v>15361111.111111131</v>
      </c>
      <c r="U439" s="41">
        <v>64814.814814814818</v>
      </c>
      <c r="V439" s="41">
        <v>298059722.22222233</v>
      </c>
      <c r="W439" s="41">
        <v>669907.40740740742</v>
      </c>
      <c r="X439" s="38">
        <f t="shared" si="36"/>
        <v>0.59611944444444465</v>
      </c>
      <c r="Y439" s="39">
        <f t="shared" si="37"/>
        <v>1.3398148148148147E-3</v>
      </c>
      <c r="Z439" s="39">
        <f t="shared" si="41"/>
        <v>2.2526239098825881E-3</v>
      </c>
      <c r="AA439" s="41">
        <f t="shared" si="38"/>
        <v>201940277.77777767</v>
      </c>
      <c r="AB439" s="39">
        <f t="shared" si="39"/>
        <v>3.3173540948804557E-3</v>
      </c>
      <c r="AC439" s="38">
        <f t="shared" si="40"/>
        <v>0.33623282255001447</v>
      </c>
      <c r="AD439" s="3"/>
    </row>
    <row r="440" spans="1:30" x14ac:dyDescent="0.25">
      <c r="A440" s="37">
        <v>46076</v>
      </c>
      <c r="B440" s="41">
        <v>9374074.0740741119</v>
      </c>
      <c r="C440" s="41">
        <v>35185.185185185182</v>
      </c>
      <c r="D440" s="41">
        <v>33902777.777777687</v>
      </c>
      <c r="E440" s="41">
        <v>131944.44444444441</v>
      </c>
      <c r="F440" s="41">
        <v>41819444.44444456</v>
      </c>
      <c r="G440" s="41">
        <v>131944.44444444441</v>
      </c>
      <c r="H440" s="41">
        <v>50000000</v>
      </c>
      <c r="I440" s="41">
        <v>0</v>
      </c>
      <c r="J440" s="41">
        <v>6444444.4444444394</v>
      </c>
      <c r="K440" s="41">
        <v>111111.11111111109</v>
      </c>
      <c r="L440" s="41">
        <v>6611111.1111111427</v>
      </c>
      <c r="M440" s="41">
        <v>27777.777777777781</v>
      </c>
      <c r="N440" s="41">
        <v>36716666.666666783</v>
      </c>
      <c r="O440" s="41">
        <v>79166.666666666672</v>
      </c>
      <c r="P440" s="41">
        <v>75000000</v>
      </c>
      <c r="Q440" s="41">
        <v>0</v>
      </c>
      <c r="R440" s="41">
        <v>23435185.185185131</v>
      </c>
      <c r="S440" s="41">
        <v>87962.962962962964</v>
      </c>
      <c r="T440" s="41">
        <v>15425925.92592595</v>
      </c>
      <c r="U440" s="41">
        <v>64814.814814814818</v>
      </c>
      <c r="V440" s="41">
        <v>298729629.62962979</v>
      </c>
      <c r="W440" s="41">
        <v>669907.40740740742</v>
      </c>
      <c r="X440" s="38">
        <f t="shared" si="36"/>
        <v>0.59745925925925958</v>
      </c>
      <c r="Y440" s="39">
        <f t="shared" si="37"/>
        <v>1.3398148148148147E-3</v>
      </c>
      <c r="Z440" s="39">
        <f t="shared" si="41"/>
        <v>2.247561000234541E-3</v>
      </c>
      <c r="AA440" s="41">
        <f t="shared" si="38"/>
        <v>201270370.37037021</v>
      </c>
      <c r="AB440" s="39">
        <f t="shared" si="39"/>
        <v>3.3283955615258662E-3</v>
      </c>
      <c r="AC440" s="38">
        <f t="shared" si="40"/>
        <v>0.33522604996109701</v>
      </c>
      <c r="AD440" s="3"/>
    </row>
    <row r="441" spans="1:30" x14ac:dyDescent="0.25">
      <c r="A441" s="37">
        <v>46077</v>
      </c>
      <c r="B441" s="41">
        <v>9409259.2592592966</v>
      </c>
      <c r="C441" s="41">
        <v>35185.185185185182</v>
      </c>
      <c r="D441" s="41">
        <v>34034722.222222142</v>
      </c>
      <c r="E441" s="41">
        <v>131944.44444444441</v>
      </c>
      <c r="F441" s="41">
        <v>41951388.888889007</v>
      </c>
      <c r="G441" s="41">
        <v>131944.44444444441</v>
      </c>
      <c r="H441" s="41">
        <v>50000000</v>
      </c>
      <c r="I441" s="41">
        <v>0</v>
      </c>
      <c r="J441" s="41">
        <v>6555555.5555555504</v>
      </c>
      <c r="K441" s="41">
        <v>111111.11111111109</v>
      </c>
      <c r="L441" s="41">
        <v>6638888.8888889207</v>
      </c>
      <c r="M441" s="41">
        <v>27777.777777777781</v>
      </c>
      <c r="N441" s="41">
        <v>36795833.33333344</v>
      </c>
      <c r="O441" s="41">
        <v>79166.666666666672</v>
      </c>
      <c r="P441" s="41">
        <v>75000000</v>
      </c>
      <c r="Q441" s="41">
        <v>0</v>
      </c>
      <c r="R441" s="41">
        <v>23523148.14814809</v>
      </c>
      <c r="S441" s="41">
        <v>87962.962962962964</v>
      </c>
      <c r="T441" s="41">
        <v>15490740.740740759</v>
      </c>
      <c r="U441" s="41">
        <v>64814.814814814818</v>
      </c>
      <c r="V441" s="41">
        <v>299399537.03703731</v>
      </c>
      <c r="W441" s="41">
        <v>669907.40740740742</v>
      </c>
      <c r="X441" s="38">
        <f t="shared" si="36"/>
        <v>0.59879907407407462</v>
      </c>
      <c r="Y441" s="39">
        <f t="shared" si="37"/>
        <v>1.3398148148148147E-3</v>
      </c>
      <c r="Z441" s="39">
        <f t="shared" si="41"/>
        <v>2.2425207979468601E-3</v>
      </c>
      <c r="AA441" s="41">
        <f t="shared" si="38"/>
        <v>200600462.96296269</v>
      </c>
      <c r="AB441" s="39">
        <f t="shared" si="39"/>
        <v>3.3395107743649319E-3</v>
      </c>
      <c r="AC441" s="38">
        <f t="shared" si="40"/>
        <v>0.33422528847562283</v>
      </c>
      <c r="AD441" s="3"/>
    </row>
    <row r="442" spans="1:30" x14ac:dyDescent="0.25">
      <c r="A442" s="37">
        <v>46078</v>
      </c>
      <c r="B442" s="41">
        <v>9444444.4444444813</v>
      </c>
      <c r="C442" s="41">
        <v>35185.185185185182</v>
      </c>
      <c r="D442" s="41">
        <v>34166666.66666659</v>
      </c>
      <c r="E442" s="41">
        <v>131944.44444444441</v>
      </c>
      <c r="F442" s="41">
        <v>42083333.333333462</v>
      </c>
      <c r="G442" s="41">
        <v>131944.44444444441</v>
      </c>
      <c r="H442" s="41">
        <v>50000000</v>
      </c>
      <c r="I442" s="41">
        <v>0</v>
      </c>
      <c r="J442" s="41">
        <v>6666666.6666666614</v>
      </c>
      <c r="K442" s="41">
        <v>111111.11111111109</v>
      </c>
      <c r="L442" s="41">
        <v>6666666.6666666986</v>
      </c>
      <c r="M442" s="41">
        <v>27777.777777777781</v>
      </c>
      <c r="N442" s="41">
        <v>36875000.000000097</v>
      </c>
      <c r="O442" s="41">
        <v>79166.666666666672</v>
      </c>
      <c r="P442" s="41">
        <v>75000000</v>
      </c>
      <c r="Q442" s="41">
        <v>0</v>
      </c>
      <c r="R442" s="41">
        <v>23611111.11111106</v>
      </c>
      <c r="S442" s="41">
        <v>87962.962962962964</v>
      </c>
      <c r="T442" s="41">
        <v>15555555.55555558</v>
      </c>
      <c r="U442" s="41">
        <v>64814.814814814818</v>
      </c>
      <c r="V442" s="41">
        <v>300069444.4444446</v>
      </c>
      <c r="W442" s="41">
        <v>669907.40740740742</v>
      </c>
      <c r="X442" s="38">
        <f t="shared" si="36"/>
        <v>0.60013888888888922</v>
      </c>
      <c r="Y442" s="39">
        <f t="shared" si="37"/>
        <v>1.3398148148148147E-3</v>
      </c>
      <c r="Z442" s="39">
        <f t="shared" si="41"/>
        <v>2.2375031505961758E-3</v>
      </c>
      <c r="AA442" s="41">
        <f t="shared" si="38"/>
        <v>199930555.5555554</v>
      </c>
      <c r="AB442" s="39">
        <f t="shared" si="39"/>
        <v>3.3507004747018666E-3</v>
      </c>
      <c r="AC442" s="38">
        <f t="shared" si="40"/>
        <v>0.33323048441838915</v>
      </c>
      <c r="AD442" s="3"/>
    </row>
    <row r="443" spans="1:30" x14ac:dyDescent="0.25">
      <c r="A443" s="37">
        <v>46079</v>
      </c>
      <c r="B443" s="41">
        <v>9479629.629629666</v>
      </c>
      <c r="C443" s="41">
        <v>35185.185185185182</v>
      </c>
      <c r="D443" s="41">
        <v>34298611.111111037</v>
      </c>
      <c r="E443" s="41">
        <v>131944.44444444441</v>
      </c>
      <c r="F443" s="41">
        <v>42215277.777777903</v>
      </c>
      <c r="G443" s="41">
        <v>131944.44444444441</v>
      </c>
      <c r="H443" s="41">
        <v>50000000</v>
      </c>
      <c r="I443" s="41">
        <v>0</v>
      </c>
      <c r="J443" s="41">
        <v>6777777.7777777724</v>
      </c>
      <c r="K443" s="41">
        <v>111111.11111111109</v>
      </c>
      <c r="L443" s="41">
        <v>6694444.4444444766</v>
      </c>
      <c r="M443" s="41">
        <v>27777.777777777781</v>
      </c>
      <c r="N443" s="41">
        <v>36954166.666666768</v>
      </c>
      <c r="O443" s="41">
        <v>79166.666666666672</v>
      </c>
      <c r="P443" s="41">
        <v>75000000</v>
      </c>
      <c r="Q443" s="41">
        <v>0</v>
      </c>
      <c r="R443" s="41">
        <v>23699074.074074019</v>
      </c>
      <c r="S443" s="41">
        <v>87962.962962962964</v>
      </c>
      <c r="T443" s="41">
        <v>15620370.370370399</v>
      </c>
      <c r="U443" s="41">
        <v>64814.814814814818</v>
      </c>
      <c r="V443" s="41">
        <v>300739351.851852</v>
      </c>
      <c r="W443" s="41">
        <v>669907.40740740742</v>
      </c>
      <c r="X443" s="38">
        <f t="shared" si="36"/>
        <v>0.60147870370370404</v>
      </c>
      <c r="Y443" s="39">
        <f t="shared" si="37"/>
        <v>1.3398148148148147E-3</v>
      </c>
      <c r="Z443" s="39">
        <f t="shared" si="41"/>
        <v>2.2325079071202642E-3</v>
      </c>
      <c r="AA443" s="41">
        <f t="shared" si="38"/>
        <v>199260648.148148</v>
      </c>
      <c r="AB443" s="39">
        <f t="shared" si="39"/>
        <v>3.3619654138098507E-3</v>
      </c>
      <c r="AC443" s="38">
        <f t="shared" si="40"/>
        <v>0.33224158475134158</v>
      </c>
      <c r="AD443" s="3"/>
    </row>
    <row r="444" spans="1:30" x14ac:dyDescent="0.25">
      <c r="A444" s="37">
        <v>46080</v>
      </c>
      <c r="B444" s="41">
        <v>9514814.8148148507</v>
      </c>
      <c r="C444" s="41">
        <v>35185.185185185182</v>
      </c>
      <c r="D444" s="41">
        <v>34430555.555555493</v>
      </c>
      <c r="E444" s="41">
        <v>131944.44444444441</v>
      </c>
      <c r="F444" s="41">
        <v>42347222.222222351</v>
      </c>
      <c r="G444" s="41">
        <v>131944.44444444441</v>
      </c>
      <c r="H444" s="41">
        <v>50000000</v>
      </c>
      <c r="I444" s="41">
        <v>0</v>
      </c>
      <c r="J444" s="41">
        <v>6888888.8888888834</v>
      </c>
      <c r="K444" s="41">
        <v>111111.11111111109</v>
      </c>
      <c r="L444" s="41">
        <v>6722222.2222222546</v>
      </c>
      <c r="M444" s="41">
        <v>27777.777777777781</v>
      </c>
      <c r="N444" s="41">
        <v>37033333.333333433</v>
      </c>
      <c r="O444" s="41">
        <v>79166.666666666672</v>
      </c>
      <c r="P444" s="41">
        <v>75000000</v>
      </c>
      <c r="Q444" s="41">
        <v>0</v>
      </c>
      <c r="R444" s="41">
        <v>23787037.037036981</v>
      </c>
      <c r="S444" s="41">
        <v>87962.962962962964</v>
      </c>
      <c r="T444" s="41">
        <v>15685185.185185211</v>
      </c>
      <c r="U444" s="41">
        <v>64814.814814814818</v>
      </c>
      <c r="V444" s="41">
        <v>301409259.25925952</v>
      </c>
      <c r="W444" s="41">
        <v>669907.40740740742</v>
      </c>
      <c r="X444" s="38">
        <f t="shared" si="36"/>
        <v>0.60281851851851909</v>
      </c>
      <c r="Y444" s="39">
        <f t="shared" si="37"/>
        <v>1.3398148148148147E-3</v>
      </c>
      <c r="Z444" s="39">
        <f t="shared" si="41"/>
        <v>2.2275349178028829E-3</v>
      </c>
      <c r="AA444" s="41">
        <f t="shared" si="38"/>
        <v>198590740.74074048</v>
      </c>
      <c r="AB444" s="39">
        <f t="shared" si="39"/>
        <v>3.3733063530991571E-3</v>
      </c>
      <c r="AC444" s="38">
        <f t="shared" si="40"/>
        <v>0.33125853706414926</v>
      </c>
      <c r="AD444" s="3"/>
    </row>
    <row r="445" spans="1:30" x14ac:dyDescent="0.25">
      <c r="A445" s="37">
        <v>46081</v>
      </c>
      <c r="B445" s="41">
        <v>9550000.0000000354</v>
      </c>
      <c r="C445" s="41">
        <v>35185.185185185182</v>
      </c>
      <c r="D445" s="41">
        <v>34562499.999999933</v>
      </c>
      <c r="E445" s="41">
        <v>131944.44444444441</v>
      </c>
      <c r="F445" s="41">
        <v>42479166.666666798</v>
      </c>
      <c r="G445" s="41">
        <v>131944.44444444441</v>
      </c>
      <c r="H445" s="41">
        <v>50000000</v>
      </c>
      <c r="I445" s="41">
        <v>0</v>
      </c>
      <c r="J445" s="41">
        <v>6999999.9999999944</v>
      </c>
      <c r="K445" s="41">
        <v>111111.11111111109</v>
      </c>
      <c r="L445" s="41">
        <v>6750000.0000000326</v>
      </c>
      <c r="M445" s="41">
        <v>27777.777777777781</v>
      </c>
      <c r="N445" s="41">
        <v>37112500.000000097</v>
      </c>
      <c r="O445" s="41">
        <v>79166.666666666672</v>
      </c>
      <c r="P445" s="41">
        <v>75000000</v>
      </c>
      <c r="Q445" s="41">
        <v>0</v>
      </c>
      <c r="R445" s="41">
        <v>23874999.99999994</v>
      </c>
      <c r="S445" s="41">
        <v>87962.962962962964</v>
      </c>
      <c r="T445" s="41">
        <v>15750000.00000003</v>
      </c>
      <c r="U445" s="41">
        <v>64814.814814814818</v>
      </c>
      <c r="V445" s="41">
        <v>302079166.66666692</v>
      </c>
      <c r="W445" s="41">
        <v>669907.40740740742</v>
      </c>
      <c r="X445" s="38">
        <f t="shared" si="36"/>
        <v>0.6041583333333338</v>
      </c>
      <c r="Y445" s="39">
        <f t="shared" si="37"/>
        <v>1.3398148148148147E-3</v>
      </c>
      <c r="Z445" s="39">
        <f t="shared" si="41"/>
        <v>2.2225840342588194E-3</v>
      </c>
      <c r="AA445" s="41">
        <f t="shared" si="38"/>
        <v>197920833.33333308</v>
      </c>
      <c r="AB445" s="39">
        <f t="shared" si="39"/>
        <v>3.3847240642887093E-3</v>
      </c>
      <c r="AC445" s="38">
        <f t="shared" si="40"/>
        <v>0.33028128956494579</v>
      </c>
      <c r="AD445" s="3"/>
    </row>
    <row r="446" spans="1:30" x14ac:dyDescent="0.25">
      <c r="A446" s="37">
        <v>46082</v>
      </c>
      <c r="B446" s="41">
        <v>9585185.1851852201</v>
      </c>
      <c r="C446" s="41">
        <v>35185.185185185182</v>
      </c>
      <c r="D446" s="41">
        <v>34694444.444444381</v>
      </c>
      <c r="E446" s="41">
        <v>131944.44444444441</v>
      </c>
      <c r="F446" s="41">
        <v>42611111.111111253</v>
      </c>
      <c r="G446" s="41">
        <v>131944.44444444441</v>
      </c>
      <c r="H446" s="41">
        <v>50000000</v>
      </c>
      <c r="I446" s="41">
        <v>0</v>
      </c>
      <c r="J446" s="41">
        <v>7111111.1111111054</v>
      </c>
      <c r="K446" s="41">
        <v>111111.11111111109</v>
      </c>
      <c r="L446" s="41">
        <v>6777777.7777778106</v>
      </c>
      <c r="M446" s="41">
        <v>27777.777777777781</v>
      </c>
      <c r="N446" s="41">
        <v>37191666.666666761</v>
      </c>
      <c r="O446" s="41">
        <v>79166.666666666672</v>
      </c>
      <c r="P446" s="41">
        <v>75000000</v>
      </c>
      <c r="Q446" s="41">
        <v>0</v>
      </c>
      <c r="R446" s="41">
        <v>23962962.962962911</v>
      </c>
      <c r="S446" s="41">
        <v>87962.962962962964</v>
      </c>
      <c r="T446" s="41">
        <v>15814814.81481484</v>
      </c>
      <c r="U446" s="41">
        <v>64814.814814814818</v>
      </c>
      <c r="V446" s="41">
        <v>302749074.07407433</v>
      </c>
      <c r="W446" s="41">
        <v>669907.40740740742</v>
      </c>
      <c r="X446" s="38">
        <f t="shared" si="36"/>
        <v>0.60549814814814862</v>
      </c>
      <c r="Y446" s="39">
        <f t="shared" si="37"/>
        <v>1.3398148148148147E-3</v>
      </c>
      <c r="Z446" s="39">
        <f t="shared" si="41"/>
        <v>2.217655109419132E-3</v>
      </c>
      <c r="AA446" s="41">
        <f t="shared" si="38"/>
        <v>197250925.92592567</v>
      </c>
      <c r="AB446" s="39">
        <f t="shared" si="39"/>
        <v>3.3962193295811452E-3</v>
      </c>
      <c r="AC446" s="38">
        <f t="shared" si="40"/>
        <v>0.32930979107123221</v>
      </c>
      <c r="AD446" s="3"/>
    </row>
    <row r="447" spans="1:30" x14ac:dyDescent="0.25">
      <c r="A447" s="37">
        <v>46083</v>
      </c>
      <c r="B447" s="41">
        <v>9620370.3703704048</v>
      </c>
      <c r="C447" s="41">
        <v>35185.185185185182</v>
      </c>
      <c r="D447" s="41">
        <v>34826388.888888828</v>
      </c>
      <c r="E447" s="41">
        <v>131944.44444444441</v>
      </c>
      <c r="F447" s="41">
        <v>42743055.555555686</v>
      </c>
      <c r="G447" s="41">
        <v>131944.44444444441</v>
      </c>
      <c r="H447" s="41">
        <v>50000000</v>
      </c>
      <c r="I447" s="41">
        <v>0</v>
      </c>
      <c r="J447" s="41">
        <v>7222222.2222222164</v>
      </c>
      <c r="K447" s="41">
        <v>111111.11111111109</v>
      </c>
      <c r="L447" s="41">
        <v>6805555.5555555886</v>
      </c>
      <c r="M447" s="41">
        <v>27777.777777777781</v>
      </c>
      <c r="N447" s="41">
        <v>37270833.333333433</v>
      </c>
      <c r="O447" s="41">
        <v>79166.666666666672</v>
      </c>
      <c r="P447" s="41">
        <v>75000000</v>
      </c>
      <c r="Q447" s="41">
        <v>0</v>
      </c>
      <c r="R447" s="41">
        <v>24050925.925925869</v>
      </c>
      <c r="S447" s="41">
        <v>87962.962962962964</v>
      </c>
      <c r="T447" s="41">
        <v>15879629.62962966</v>
      </c>
      <c r="U447" s="41">
        <v>64814.814814814818</v>
      </c>
      <c r="V447" s="41">
        <v>303418981.48148167</v>
      </c>
      <c r="W447" s="41">
        <v>669907.40740740742</v>
      </c>
      <c r="X447" s="38">
        <f t="shared" si="36"/>
        <v>0.60683796296296333</v>
      </c>
      <c r="Y447" s="39">
        <f t="shared" si="37"/>
        <v>1.3398148148148147E-3</v>
      </c>
      <c r="Z447" s="39">
        <f t="shared" si="41"/>
        <v>2.2127479975165825E-3</v>
      </c>
      <c r="AA447" s="41">
        <f t="shared" si="38"/>
        <v>196581018.51851833</v>
      </c>
      <c r="AB447" s="39">
        <f t="shared" si="39"/>
        <v>3.4077929418414362E-3</v>
      </c>
      <c r="AC447" s="38">
        <f t="shared" si="40"/>
        <v>0.32834399100094219</v>
      </c>
      <c r="AD447" s="3"/>
    </row>
    <row r="448" spans="1:30" x14ac:dyDescent="0.25">
      <c r="A448" s="37">
        <v>46084</v>
      </c>
      <c r="B448" s="41">
        <v>9655555.5555555895</v>
      </c>
      <c r="C448" s="41">
        <v>35185.185185185182</v>
      </c>
      <c r="D448" s="41">
        <v>34958333.333333284</v>
      </c>
      <c r="E448" s="41">
        <v>131944.44444444441</v>
      </c>
      <c r="F448" s="41">
        <v>42875000.000000142</v>
      </c>
      <c r="G448" s="41">
        <v>131944.44444444441</v>
      </c>
      <c r="H448" s="41">
        <v>50000000</v>
      </c>
      <c r="I448" s="41">
        <v>0</v>
      </c>
      <c r="J448" s="41">
        <v>7333333.3333333274</v>
      </c>
      <c r="K448" s="41">
        <v>111111.11111111109</v>
      </c>
      <c r="L448" s="41">
        <v>6833333.3333333666</v>
      </c>
      <c r="M448" s="41">
        <v>27777.777777777781</v>
      </c>
      <c r="N448" s="41">
        <v>37350000.000000089</v>
      </c>
      <c r="O448" s="41">
        <v>79166.666666666672</v>
      </c>
      <c r="P448" s="41">
        <v>75000000</v>
      </c>
      <c r="Q448" s="41">
        <v>0</v>
      </c>
      <c r="R448" s="41">
        <v>24138888.888888828</v>
      </c>
      <c r="S448" s="41">
        <v>87962.962962962964</v>
      </c>
      <c r="T448" s="41">
        <v>15944444.44444447</v>
      </c>
      <c r="U448" s="41">
        <v>64814.814814814818</v>
      </c>
      <c r="V448" s="41">
        <v>304088888.88888907</v>
      </c>
      <c r="W448" s="41">
        <v>669907.40740740742</v>
      </c>
      <c r="X448" s="38">
        <f t="shared" si="36"/>
        <v>0.60817777777777815</v>
      </c>
      <c r="Y448" s="39">
        <f t="shared" si="37"/>
        <v>1.3398148148148147E-3</v>
      </c>
      <c r="Z448" s="39">
        <f t="shared" si="41"/>
        <v>2.2078625540712699E-3</v>
      </c>
      <c r="AA448" s="41">
        <f t="shared" si="38"/>
        <v>195911111.11111093</v>
      </c>
      <c r="AB448" s="39">
        <f t="shared" si="39"/>
        <v>3.4194457047791926E-3</v>
      </c>
      <c r="AC448" s="38">
        <f t="shared" si="40"/>
        <v>0.32738383936366255</v>
      </c>
      <c r="AD448" s="3"/>
    </row>
    <row r="449" spans="1:30" x14ac:dyDescent="0.25">
      <c r="A449" s="37">
        <v>46085</v>
      </c>
      <c r="B449" s="41">
        <v>9690740.7407407742</v>
      </c>
      <c r="C449" s="41">
        <v>35185.185185185182</v>
      </c>
      <c r="D449" s="41">
        <v>35090277.777777717</v>
      </c>
      <c r="E449" s="41">
        <v>131944.44444444441</v>
      </c>
      <c r="F449" s="41">
        <v>43006944.444444589</v>
      </c>
      <c r="G449" s="41">
        <v>131944.44444444441</v>
      </c>
      <c r="H449" s="41">
        <v>50000000</v>
      </c>
      <c r="I449" s="41">
        <v>0</v>
      </c>
      <c r="J449" s="41">
        <v>7444444.4444444384</v>
      </c>
      <c r="K449" s="41">
        <v>111111.11111111109</v>
      </c>
      <c r="L449" s="41">
        <v>6861111.1111111445</v>
      </c>
      <c r="M449" s="41">
        <v>27777.777777777781</v>
      </c>
      <c r="N449" s="41">
        <v>37429166.666666754</v>
      </c>
      <c r="O449" s="41">
        <v>79166.666666666672</v>
      </c>
      <c r="P449" s="41">
        <v>75000000</v>
      </c>
      <c r="Q449" s="41">
        <v>0</v>
      </c>
      <c r="R449" s="41">
        <v>24226851.851851791</v>
      </c>
      <c r="S449" s="41">
        <v>87962.962962962964</v>
      </c>
      <c r="T449" s="41">
        <v>16009259.259259289</v>
      </c>
      <c r="U449" s="41">
        <v>64814.814814814818</v>
      </c>
      <c r="V449" s="41">
        <v>304758796.29629648</v>
      </c>
      <c r="W449" s="41">
        <v>669907.40740740742</v>
      </c>
      <c r="X449" s="38">
        <f t="shared" si="36"/>
        <v>0.60951759259259297</v>
      </c>
      <c r="Y449" s="39">
        <f t="shared" si="37"/>
        <v>1.3398148148148147E-3</v>
      </c>
      <c r="Z449" s="39">
        <f t="shared" si="41"/>
        <v>2.2029986358764481E-3</v>
      </c>
      <c r="AA449" s="41">
        <f t="shared" si="38"/>
        <v>195241203.70370352</v>
      </c>
      <c r="AB449" s="39">
        <f t="shared" si="39"/>
        <v>3.4311784331347061E-3</v>
      </c>
      <c r="AC449" s="38">
        <f t="shared" si="40"/>
        <v>0.32642928675200816</v>
      </c>
      <c r="AD449" s="3"/>
    </row>
    <row r="450" spans="1:30" x14ac:dyDescent="0.25">
      <c r="A450" s="37">
        <v>46086</v>
      </c>
      <c r="B450" s="41">
        <v>9725925.9259259589</v>
      </c>
      <c r="C450" s="41">
        <v>35185.185185185182</v>
      </c>
      <c r="D450" s="41">
        <v>35222222.222222172</v>
      </c>
      <c r="E450" s="41">
        <v>131944.44444444441</v>
      </c>
      <c r="F450" s="41">
        <v>43138888.888889037</v>
      </c>
      <c r="G450" s="41">
        <v>131944.44444444441</v>
      </c>
      <c r="H450" s="41">
        <v>50000000</v>
      </c>
      <c r="I450" s="41">
        <v>0</v>
      </c>
      <c r="J450" s="41">
        <v>7555555.5555555495</v>
      </c>
      <c r="K450" s="41">
        <v>111111.11111111109</v>
      </c>
      <c r="L450" s="41">
        <v>6888888.8888889235</v>
      </c>
      <c r="M450" s="41">
        <v>27777.777777777781</v>
      </c>
      <c r="N450" s="41">
        <v>37508333.333333418</v>
      </c>
      <c r="O450" s="41">
        <v>79166.666666666672</v>
      </c>
      <c r="P450" s="41">
        <v>75000000</v>
      </c>
      <c r="Q450" s="41">
        <v>0</v>
      </c>
      <c r="R450" s="41">
        <v>24314814.814814761</v>
      </c>
      <c r="S450" s="41">
        <v>87962.962962962964</v>
      </c>
      <c r="T450" s="41">
        <v>16074074.074074101</v>
      </c>
      <c r="U450" s="41">
        <v>64814.814814814818</v>
      </c>
      <c r="V450" s="41">
        <v>305428703.70370388</v>
      </c>
      <c r="W450" s="41">
        <v>669907.40740740742</v>
      </c>
      <c r="X450" s="38">
        <f t="shared" si="36"/>
        <v>0.61085740740740779</v>
      </c>
      <c r="Y450" s="39">
        <f t="shared" si="37"/>
        <v>1.3398148148148147E-3</v>
      </c>
      <c r="Z450" s="39">
        <f t="shared" si="41"/>
        <v>2.1981561009845356E-3</v>
      </c>
      <c r="AA450" s="41">
        <f t="shared" si="38"/>
        <v>194571296.29629612</v>
      </c>
      <c r="AB450" s="39">
        <f t="shared" si="39"/>
        <v>3.4429919528688457E-3</v>
      </c>
      <c r="AC450" s="38">
        <f t="shared" si="40"/>
        <v>0.32548028433314691</v>
      </c>
      <c r="AD450" s="3"/>
    </row>
    <row r="451" spans="1:30" x14ac:dyDescent="0.25">
      <c r="A451" s="37">
        <v>46087</v>
      </c>
      <c r="B451" s="41">
        <v>9761111.1111111436</v>
      </c>
      <c r="C451" s="41">
        <v>35185.185185185182</v>
      </c>
      <c r="D451" s="41">
        <v>35354166.666666619</v>
      </c>
      <c r="E451" s="41">
        <v>131944.44444444441</v>
      </c>
      <c r="F451" s="41">
        <v>43270833.333333477</v>
      </c>
      <c r="G451" s="41">
        <v>131944.44444444441</v>
      </c>
      <c r="H451" s="41">
        <v>50000000</v>
      </c>
      <c r="I451" s="41">
        <v>0</v>
      </c>
      <c r="J451" s="41">
        <v>7666666.6666666605</v>
      </c>
      <c r="K451" s="41">
        <v>111111.11111111109</v>
      </c>
      <c r="L451" s="41">
        <v>6916666.6666667014</v>
      </c>
      <c r="M451" s="41">
        <v>27777.777777777781</v>
      </c>
      <c r="N451" s="41">
        <v>37587500.000000082</v>
      </c>
      <c r="O451" s="41">
        <v>79166.666666666672</v>
      </c>
      <c r="P451" s="41">
        <v>75000000</v>
      </c>
      <c r="Q451" s="41">
        <v>0</v>
      </c>
      <c r="R451" s="41">
        <v>24402777.77777772</v>
      </c>
      <c r="S451" s="41">
        <v>87962.962962962964</v>
      </c>
      <c r="T451" s="41">
        <v>16138888.88888892</v>
      </c>
      <c r="U451" s="41">
        <v>64814.814814814818</v>
      </c>
      <c r="V451" s="41">
        <v>306098611.11111128</v>
      </c>
      <c r="W451" s="41">
        <v>669907.40740740742</v>
      </c>
      <c r="X451" s="38">
        <f t="shared" si="36"/>
        <v>0.61219722222222261</v>
      </c>
      <c r="Y451" s="39">
        <f t="shared" si="37"/>
        <v>1.3398148148148147E-3</v>
      </c>
      <c r="Z451" s="39">
        <f t="shared" si="41"/>
        <v>2.1933348086933049E-3</v>
      </c>
      <c r="AA451" s="41">
        <f t="shared" si="38"/>
        <v>193901388.88888872</v>
      </c>
      <c r="AB451" s="39">
        <f t="shared" si="39"/>
        <v>3.454887101356888E-3</v>
      </c>
      <c r="AC451" s="38">
        <f t="shared" si="40"/>
        <v>0.32453678384047191</v>
      </c>
      <c r="AD451" s="3"/>
    </row>
    <row r="452" spans="1:30" x14ac:dyDescent="0.25">
      <c r="A452" s="37">
        <v>46088</v>
      </c>
      <c r="B452" s="41">
        <v>9796296.2962963283</v>
      </c>
      <c r="C452" s="41">
        <v>35185.185185185182</v>
      </c>
      <c r="D452" s="41">
        <v>35486111.111111067</v>
      </c>
      <c r="E452" s="41">
        <v>131944.44444444441</v>
      </c>
      <c r="F452" s="41">
        <v>43402777.777777933</v>
      </c>
      <c r="G452" s="41">
        <v>131944.44444444441</v>
      </c>
      <c r="H452" s="41">
        <v>50000000</v>
      </c>
      <c r="I452" s="41">
        <v>0</v>
      </c>
      <c r="J452" s="41">
        <v>7777777.7777777715</v>
      </c>
      <c r="K452" s="41">
        <v>111111.11111111109</v>
      </c>
      <c r="L452" s="41">
        <v>6944444.4444444776</v>
      </c>
      <c r="M452" s="41">
        <v>27777.777777777781</v>
      </c>
      <c r="N452" s="41">
        <v>37666666.666666754</v>
      </c>
      <c r="O452" s="41">
        <v>79166.666666666672</v>
      </c>
      <c r="P452" s="41">
        <v>75000000</v>
      </c>
      <c r="Q452" s="41">
        <v>0</v>
      </c>
      <c r="R452" s="41">
        <v>24490740.740740679</v>
      </c>
      <c r="S452" s="41">
        <v>87962.962962962964</v>
      </c>
      <c r="T452" s="41">
        <v>16203703.703703729</v>
      </c>
      <c r="U452" s="41">
        <v>64814.814814814818</v>
      </c>
      <c r="V452" s="41">
        <v>306768518.51851869</v>
      </c>
      <c r="W452" s="41">
        <v>669907.40740740742</v>
      </c>
      <c r="X452" s="38">
        <f t="shared" si="36"/>
        <v>0.61353703703703732</v>
      </c>
      <c r="Y452" s="39">
        <f t="shared" si="37"/>
        <v>1.3398148148148147E-3</v>
      </c>
      <c r="Z452" s="39">
        <f t="shared" si="41"/>
        <v>2.1885346195322543E-3</v>
      </c>
      <c r="AA452" s="41">
        <f t="shared" si="38"/>
        <v>193231481.48148131</v>
      </c>
      <c r="AB452" s="39">
        <f t="shared" si="39"/>
        <v>3.4668647275863753E-3</v>
      </c>
      <c r="AC452" s="38">
        <f t="shared" si="40"/>
        <v>0.32359873756541863</v>
      </c>
      <c r="AD452" s="3"/>
    </row>
    <row r="453" spans="1:30" x14ac:dyDescent="0.25">
      <c r="A453" s="37">
        <v>46089</v>
      </c>
      <c r="B453" s="41">
        <v>9831481.481481513</v>
      </c>
      <c r="C453" s="41">
        <v>35185.185185185182</v>
      </c>
      <c r="D453" s="41">
        <v>35618055.555555508</v>
      </c>
      <c r="E453" s="41">
        <v>131944.44444444441</v>
      </c>
      <c r="F453" s="41">
        <v>43534722.22222238</v>
      </c>
      <c r="G453" s="41">
        <v>131944.44444444441</v>
      </c>
      <c r="H453" s="41">
        <v>50000000</v>
      </c>
      <c r="I453" s="41">
        <v>0</v>
      </c>
      <c r="J453" s="41">
        <v>7888888.8888888815</v>
      </c>
      <c r="K453" s="41">
        <v>111111.11111111109</v>
      </c>
      <c r="L453" s="41">
        <v>6972222.2222222555</v>
      </c>
      <c r="M453" s="41">
        <v>27777.777777777781</v>
      </c>
      <c r="N453" s="41">
        <v>37745833.33333341</v>
      </c>
      <c r="O453" s="41">
        <v>79166.666666666672</v>
      </c>
      <c r="P453" s="41">
        <v>75000000</v>
      </c>
      <c r="Q453" s="41">
        <v>0</v>
      </c>
      <c r="R453" s="41">
        <v>24578703.703703649</v>
      </c>
      <c r="S453" s="41">
        <v>87962.962962962964</v>
      </c>
      <c r="T453" s="41">
        <v>16268518.51851855</v>
      </c>
      <c r="U453" s="41">
        <v>64814.814814814818</v>
      </c>
      <c r="V453" s="41">
        <v>307438425.92592621</v>
      </c>
      <c r="W453" s="41">
        <v>669907.40740740742</v>
      </c>
      <c r="X453" s="38">
        <f t="shared" si="36"/>
        <v>0.61487685185185237</v>
      </c>
      <c r="Y453" s="39">
        <f t="shared" si="37"/>
        <v>1.3398148148148147E-3</v>
      </c>
      <c r="Z453" s="39">
        <f t="shared" si="41"/>
        <v>2.1837553952491614E-3</v>
      </c>
      <c r="AA453" s="41">
        <f t="shared" si="38"/>
        <v>192561574.07407379</v>
      </c>
      <c r="AB453" s="39">
        <f t="shared" si="39"/>
        <v>3.4789256923591109E-3</v>
      </c>
      <c r="AC453" s="38">
        <f t="shared" si="40"/>
        <v>0.32266609834942311</v>
      </c>
      <c r="AD453" s="3"/>
    </row>
    <row r="454" spans="1:30" x14ac:dyDescent="0.25">
      <c r="A454" s="37">
        <v>46090</v>
      </c>
      <c r="B454" s="41">
        <v>9866666.6666666977</v>
      </c>
      <c r="C454" s="41">
        <v>35185.185185185182</v>
      </c>
      <c r="D454" s="41">
        <v>35749999.999999963</v>
      </c>
      <c r="E454" s="41">
        <v>131944.44444444441</v>
      </c>
      <c r="F454" s="41">
        <v>43666666.666666828</v>
      </c>
      <c r="G454" s="41">
        <v>131944.44444444441</v>
      </c>
      <c r="H454" s="41">
        <v>50000000</v>
      </c>
      <c r="I454" s="41">
        <v>0</v>
      </c>
      <c r="J454" s="41">
        <v>7999999.9999999925</v>
      </c>
      <c r="K454" s="41">
        <v>111111.11111111109</v>
      </c>
      <c r="L454" s="41">
        <v>7000000.0000000345</v>
      </c>
      <c r="M454" s="41">
        <v>27777.777777777781</v>
      </c>
      <c r="N454" s="41">
        <v>37825000.000000067</v>
      </c>
      <c r="O454" s="41">
        <v>79166.666666666672</v>
      </c>
      <c r="P454" s="41">
        <v>75000000</v>
      </c>
      <c r="Q454" s="41">
        <v>0</v>
      </c>
      <c r="R454" s="41">
        <v>24666666.666666608</v>
      </c>
      <c r="S454" s="41">
        <v>87962.962962962964</v>
      </c>
      <c r="T454" s="41">
        <v>16333333.33333336</v>
      </c>
      <c r="U454" s="41">
        <v>64814.814814814818</v>
      </c>
      <c r="V454" s="41">
        <v>308108333.33333361</v>
      </c>
      <c r="W454" s="41">
        <v>669907.40740740742</v>
      </c>
      <c r="X454" s="38">
        <f t="shared" si="36"/>
        <v>0.61621666666666719</v>
      </c>
      <c r="Y454" s="39">
        <f t="shared" si="37"/>
        <v>1.3398148148148147E-3</v>
      </c>
      <c r="Z454" s="39">
        <f t="shared" si="41"/>
        <v>2.178996998796806E-3</v>
      </c>
      <c r="AA454" s="41">
        <f t="shared" si="38"/>
        <v>191891666.66666639</v>
      </c>
      <c r="AB454" s="39">
        <f t="shared" si="39"/>
        <v>3.4910708684973727E-3</v>
      </c>
      <c r="AC454" s="38">
        <f t="shared" si="40"/>
        <v>0.32173881957601935</v>
      </c>
      <c r="AD454" s="3"/>
    </row>
    <row r="455" spans="1:30" x14ac:dyDescent="0.25">
      <c r="A455" s="37">
        <v>46091</v>
      </c>
      <c r="B455" s="41">
        <v>9901851.8518518824</v>
      </c>
      <c r="C455" s="41">
        <v>35185.185185185182</v>
      </c>
      <c r="D455" s="41">
        <v>35881944.444444411</v>
      </c>
      <c r="E455" s="41">
        <v>131944.44444444441</v>
      </c>
      <c r="F455" s="41">
        <v>43798611.111111283</v>
      </c>
      <c r="G455" s="41">
        <v>131944.44444444441</v>
      </c>
      <c r="H455" s="41">
        <v>50000000</v>
      </c>
      <c r="I455" s="41">
        <v>0</v>
      </c>
      <c r="J455" s="41">
        <v>8111111.1111111036</v>
      </c>
      <c r="K455" s="41">
        <v>111111.11111111109</v>
      </c>
      <c r="L455" s="41">
        <v>7027777.7777778124</v>
      </c>
      <c r="M455" s="41">
        <v>27777.777777777781</v>
      </c>
      <c r="N455" s="41">
        <v>37904166.666666739</v>
      </c>
      <c r="O455" s="41">
        <v>79166.666666666672</v>
      </c>
      <c r="P455" s="41">
        <v>75000000</v>
      </c>
      <c r="Q455" s="41">
        <v>0</v>
      </c>
      <c r="R455" s="41">
        <v>24754629.629629571</v>
      </c>
      <c r="S455" s="41">
        <v>87962.962962962964</v>
      </c>
      <c r="T455" s="41">
        <v>16398148.148148181</v>
      </c>
      <c r="U455" s="41">
        <v>64814.814814814818</v>
      </c>
      <c r="V455" s="41">
        <v>308778240.74074101</v>
      </c>
      <c r="W455" s="41">
        <v>669907.40740740742</v>
      </c>
      <c r="X455" s="38">
        <f t="shared" si="36"/>
        <v>0.61755648148148201</v>
      </c>
      <c r="Y455" s="39">
        <f t="shared" si="37"/>
        <v>1.3398148148148147E-3</v>
      </c>
      <c r="Z455" s="39">
        <f t="shared" si="41"/>
        <v>2.1742592943198771E-3</v>
      </c>
      <c r="AA455" s="41">
        <f t="shared" si="38"/>
        <v>191221759.25925899</v>
      </c>
      <c r="AB455" s="39">
        <f t="shared" si="39"/>
        <v>3.5033011410544818E-3</v>
      </c>
      <c r="AC455" s="38">
        <f t="shared" si="40"/>
        <v>0.32081685516307162</v>
      </c>
      <c r="AD455" s="3"/>
    </row>
    <row r="456" spans="1:30" x14ac:dyDescent="0.25">
      <c r="A456" s="37">
        <v>46092</v>
      </c>
      <c r="B456" s="41">
        <v>9937037.0370370671</v>
      </c>
      <c r="C456" s="41">
        <v>35185.185185185182</v>
      </c>
      <c r="D456" s="41">
        <v>36013888.888888858</v>
      </c>
      <c r="E456" s="41">
        <v>131944.44444444441</v>
      </c>
      <c r="F456" s="41">
        <v>43930555.555555724</v>
      </c>
      <c r="G456" s="41">
        <v>131944.44444444441</v>
      </c>
      <c r="H456" s="41">
        <v>50000000</v>
      </c>
      <c r="I456" s="41">
        <v>0</v>
      </c>
      <c r="J456" s="41">
        <v>8222222.2222222146</v>
      </c>
      <c r="K456" s="41">
        <v>111111.11111111109</v>
      </c>
      <c r="L456" s="41">
        <v>7055555.5555555904</v>
      </c>
      <c r="M456" s="41">
        <v>27777.777777777781</v>
      </c>
      <c r="N456" s="41">
        <v>37983333.333333403</v>
      </c>
      <c r="O456" s="41">
        <v>79166.666666666672</v>
      </c>
      <c r="P456" s="41">
        <v>75000000</v>
      </c>
      <c r="Q456" s="41">
        <v>0</v>
      </c>
      <c r="R456" s="41">
        <v>24842592.59259253</v>
      </c>
      <c r="S456" s="41">
        <v>87962.962962962964</v>
      </c>
      <c r="T456" s="41">
        <v>16462962.962962991</v>
      </c>
      <c r="U456" s="41">
        <v>64814.814814814818</v>
      </c>
      <c r="V456" s="41">
        <v>309448148.14814842</v>
      </c>
      <c r="W456" s="41">
        <v>669907.40740740742</v>
      </c>
      <c r="X456" s="38">
        <f t="shared" si="36"/>
        <v>0.61889629629629683</v>
      </c>
      <c r="Y456" s="39">
        <f t="shared" si="37"/>
        <v>1.3398148148148147E-3</v>
      </c>
      <c r="Z456" s="39">
        <f t="shared" si="41"/>
        <v>2.1695421471420351E-3</v>
      </c>
      <c r="AA456" s="41">
        <f t="shared" si="38"/>
        <v>190551851.85185158</v>
      </c>
      <c r="AB456" s="39">
        <f t="shared" si="39"/>
        <v>3.515617407529792E-3</v>
      </c>
      <c r="AC456" s="38">
        <f t="shared" si="40"/>
        <v>0.31990015955514095</v>
      </c>
      <c r="AD456" s="3"/>
    </row>
    <row r="457" spans="1:30" x14ac:dyDescent="0.25">
      <c r="A457" s="37">
        <v>46093</v>
      </c>
      <c r="B457" s="41">
        <v>9972222.2222222518</v>
      </c>
      <c r="C457" s="41">
        <v>35185.185185185182</v>
      </c>
      <c r="D457" s="41">
        <v>36145833.333333313</v>
      </c>
      <c r="E457" s="41">
        <v>131944.44444444441</v>
      </c>
      <c r="F457" s="41">
        <v>44062500.000000171</v>
      </c>
      <c r="G457" s="41">
        <v>131944.44444444441</v>
      </c>
      <c r="H457" s="41">
        <v>50000000</v>
      </c>
      <c r="I457" s="41">
        <v>0</v>
      </c>
      <c r="J457" s="41">
        <v>8333333.3333333274</v>
      </c>
      <c r="K457" s="41">
        <v>111111.11111111109</v>
      </c>
      <c r="L457" s="41">
        <v>7083333.3333333684</v>
      </c>
      <c r="M457" s="41">
        <v>27777.777777777781</v>
      </c>
      <c r="N457" s="41">
        <v>38062500.000000067</v>
      </c>
      <c r="O457" s="41">
        <v>79166.666666666672</v>
      </c>
      <c r="P457" s="41">
        <v>75000000</v>
      </c>
      <c r="Q457" s="41">
        <v>0</v>
      </c>
      <c r="R457" s="41">
        <v>24930555.5555555</v>
      </c>
      <c r="S457" s="41">
        <v>87962.962962962964</v>
      </c>
      <c r="T457" s="41">
        <v>16527777.77777781</v>
      </c>
      <c r="U457" s="41">
        <v>64814.814814814818</v>
      </c>
      <c r="V457" s="41">
        <v>310118055.55555582</v>
      </c>
      <c r="W457" s="41">
        <v>669907.40740740742</v>
      </c>
      <c r="X457" s="38">
        <f t="shared" si="36"/>
        <v>0.62023611111111165</v>
      </c>
      <c r="Y457" s="39">
        <f t="shared" si="37"/>
        <v>1.3398148148148147E-3</v>
      </c>
      <c r="Z457" s="39">
        <f t="shared" si="41"/>
        <v>2.1648454237531548E-3</v>
      </c>
      <c r="AA457" s="41">
        <f t="shared" si="38"/>
        <v>189881944.44444418</v>
      </c>
      <c r="AB457" s="39">
        <f t="shared" si="39"/>
        <v>3.528020578088242E-3</v>
      </c>
      <c r="AC457" s="38">
        <f t="shared" si="40"/>
        <v>0.31898868771598154</v>
      </c>
      <c r="AD457" s="3"/>
    </row>
    <row r="458" spans="1:30" x14ac:dyDescent="0.25">
      <c r="A458" s="37">
        <v>46094</v>
      </c>
      <c r="B458" s="41">
        <v>10007407.40740744</v>
      </c>
      <c r="C458" s="41">
        <v>35185.185185185182</v>
      </c>
      <c r="D458" s="41">
        <v>36277777.777777746</v>
      </c>
      <c r="E458" s="41">
        <v>131944.44444444441</v>
      </c>
      <c r="F458" s="41">
        <v>44194444.444444619</v>
      </c>
      <c r="G458" s="41">
        <v>131944.44444444441</v>
      </c>
      <c r="H458" s="41">
        <v>50000000</v>
      </c>
      <c r="I458" s="41">
        <v>0</v>
      </c>
      <c r="J458" s="41">
        <v>8444444.4444444384</v>
      </c>
      <c r="K458" s="41">
        <v>111111.11111111109</v>
      </c>
      <c r="L458" s="41">
        <v>7111111.1111111464</v>
      </c>
      <c r="M458" s="41">
        <v>27777.777777777781</v>
      </c>
      <c r="N458" s="41">
        <v>38141666.666666731</v>
      </c>
      <c r="O458" s="41">
        <v>79166.666666666672</v>
      </c>
      <c r="P458" s="41">
        <v>75000000</v>
      </c>
      <c r="Q458" s="41">
        <v>0</v>
      </c>
      <c r="R458" s="41">
        <v>25018518.518518459</v>
      </c>
      <c r="S458" s="41">
        <v>87962.962962962964</v>
      </c>
      <c r="T458" s="41">
        <v>16592592.592592619</v>
      </c>
      <c r="U458" s="41">
        <v>64814.814814814818</v>
      </c>
      <c r="V458" s="41">
        <v>310787962.96296322</v>
      </c>
      <c r="W458" s="41">
        <v>669907.40740740742</v>
      </c>
      <c r="X458" s="38">
        <f t="shared" si="36"/>
        <v>0.62157592592592648</v>
      </c>
      <c r="Y458" s="39">
        <f t="shared" si="37"/>
        <v>1.3398148148148147E-3</v>
      </c>
      <c r="Z458" s="39">
        <f t="shared" si="41"/>
        <v>2.1601689917967303E-3</v>
      </c>
      <c r="AA458" s="41">
        <f t="shared" si="38"/>
        <v>189212037.03703678</v>
      </c>
      <c r="AB458" s="39">
        <f t="shared" si="39"/>
        <v>3.5405115757845694E-3</v>
      </c>
      <c r="AC458" s="38">
        <f t="shared" si="40"/>
        <v>0.31808239512116548</v>
      </c>
      <c r="AD458" s="3"/>
    </row>
    <row r="459" spans="1:30" x14ac:dyDescent="0.25">
      <c r="A459" s="37">
        <v>46095</v>
      </c>
      <c r="B459" s="41">
        <v>10042592.592592619</v>
      </c>
      <c r="C459" s="41">
        <v>35185.185185185182</v>
      </c>
      <c r="D459" s="41">
        <v>36409722.222222202</v>
      </c>
      <c r="E459" s="41">
        <v>131944.44444444441</v>
      </c>
      <c r="F459" s="41">
        <v>44326388.888889067</v>
      </c>
      <c r="G459" s="41">
        <v>131944.44444444441</v>
      </c>
      <c r="H459" s="41">
        <v>50000000</v>
      </c>
      <c r="I459" s="41">
        <v>0</v>
      </c>
      <c r="J459" s="41">
        <v>8555555.5555555504</v>
      </c>
      <c r="K459" s="41">
        <v>111111.11111111109</v>
      </c>
      <c r="L459" s="41">
        <v>7138888.8888889244</v>
      </c>
      <c r="M459" s="41">
        <v>27777.777777777781</v>
      </c>
      <c r="N459" s="41">
        <v>38220833.333333403</v>
      </c>
      <c r="O459" s="41">
        <v>79166.666666666672</v>
      </c>
      <c r="P459" s="41">
        <v>75000000</v>
      </c>
      <c r="Q459" s="41">
        <v>0</v>
      </c>
      <c r="R459" s="41">
        <v>25106481.481481422</v>
      </c>
      <c r="S459" s="41">
        <v>87962.962962962964</v>
      </c>
      <c r="T459" s="41">
        <v>16657407.40740744</v>
      </c>
      <c r="U459" s="41">
        <v>64814.814814814818</v>
      </c>
      <c r="V459" s="41">
        <v>311457870.37037069</v>
      </c>
      <c r="W459" s="41">
        <v>669907.40740740742</v>
      </c>
      <c r="X459" s="38">
        <f t="shared" si="36"/>
        <v>0.62291574074074141</v>
      </c>
      <c r="Y459" s="39">
        <f t="shared" si="37"/>
        <v>1.3398148148148147E-3</v>
      </c>
      <c r="Z459" s="39">
        <f t="shared" si="41"/>
        <v>2.1555127200574386E-3</v>
      </c>
      <c r="AA459" s="41">
        <f t="shared" si="38"/>
        <v>188542129.62962931</v>
      </c>
      <c r="AB459" s="39">
        <f t="shared" si="39"/>
        <v>3.5530913367923037E-3</v>
      </c>
      <c r="AC459" s="38">
        <f t="shared" si="40"/>
        <v>0.31718123775083218</v>
      </c>
      <c r="AD459" s="3"/>
    </row>
    <row r="460" spans="1:30" x14ac:dyDescent="0.25">
      <c r="A460" s="37">
        <v>46096</v>
      </c>
      <c r="B460" s="41">
        <v>10077777.77777781</v>
      </c>
      <c r="C460" s="41">
        <v>35185.185185185182</v>
      </c>
      <c r="D460" s="41">
        <v>36541666.666666649</v>
      </c>
      <c r="E460" s="41">
        <v>131944.44444444441</v>
      </c>
      <c r="F460" s="41">
        <v>44458333.333333507</v>
      </c>
      <c r="G460" s="41">
        <v>131944.44444444441</v>
      </c>
      <c r="H460" s="41">
        <v>50000000</v>
      </c>
      <c r="I460" s="41">
        <v>0</v>
      </c>
      <c r="J460" s="41">
        <v>8666666.6666666623</v>
      </c>
      <c r="K460" s="41">
        <v>111111.11111111109</v>
      </c>
      <c r="L460" s="41">
        <v>7166666.6666667024</v>
      </c>
      <c r="M460" s="41">
        <v>27777.777777777781</v>
      </c>
      <c r="N460" s="41">
        <v>38300000.00000006</v>
      </c>
      <c r="O460" s="41">
        <v>79166.666666666672</v>
      </c>
      <c r="P460" s="41">
        <v>75000000</v>
      </c>
      <c r="Q460" s="41">
        <v>0</v>
      </c>
      <c r="R460" s="41">
        <v>25194444.444444381</v>
      </c>
      <c r="S460" s="41">
        <v>87962.962962962964</v>
      </c>
      <c r="T460" s="41">
        <v>16722222.222222259</v>
      </c>
      <c r="U460" s="41">
        <v>64814.814814814818</v>
      </c>
      <c r="V460" s="41">
        <v>312127777.77777803</v>
      </c>
      <c r="W460" s="41">
        <v>669907.40740740742</v>
      </c>
      <c r="X460" s="38">
        <f t="shared" si="36"/>
        <v>0.62425555555555601</v>
      </c>
      <c r="Y460" s="39">
        <f t="shared" si="37"/>
        <v>1.3398148148148147E-3</v>
      </c>
      <c r="Z460" s="39">
        <f t="shared" si="41"/>
        <v>2.1508764784488694E-3</v>
      </c>
      <c r="AA460" s="41">
        <f t="shared" si="38"/>
        <v>187872222.22222197</v>
      </c>
      <c r="AB460" s="39">
        <f t="shared" si="39"/>
        <v>3.5657608106376523E-3</v>
      </c>
      <c r="AC460" s="38">
        <f t="shared" si="40"/>
        <v>0.31628517208256179</v>
      </c>
      <c r="AD460" s="3"/>
    </row>
    <row r="461" spans="1:30" x14ac:dyDescent="0.25">
      <c r="A461" s="37">
        <v>46097</v>
      </c>
      <c r="B461" s="41">
        <v>10112962.962962991</v>
      </c>
      <c r="C461" s="41">
        <v>35185.185185185182</v>
      </c>
      <c r="D461" s="41">
        <v>36673611.111111097</v>
      </c>
      <c r="E461" s="41">
        <v>131944.44444444441</v>
      </c>
      <c r="F461" s="41">
        <v>44590277.777777962</v>
      </c>
      <c r="G461" s="41">
        <v>131944.44444444441</v>
      </c>
      <c r="H461" s="41">
        <v>50000000</v>
      </c>
      <c r="I461" s="41">
        <v>0</v>
      </c>
      <c r="J461" s="41">
        <v>8777777.7777777743</v>
      </c>
      <c r="K461" s="41">
        <v>111111.11111111109</v>
      </c>
      <c r="L461" s="41">
        <v>7194444.4444444804</v>
      </c>
      <c r="M461" s="41">
        <v>27777.777777777781</v>
      </c>
      <c r="N461" s="41">
        <v>38379166.666666716</v>
      </c>
      <c r="O461" s="41">
        <v>79166.666666666672</v>
      </c>
      <c r="P461" s="41">
        <v>75000000</v>
      </c>
      <c r="Q461" s="41">
        <v>0</v>
      </c>
      <c r="R461" s="41">
        <v>25282407.407407351</v>
      </c>
      <c r="S461" s="41">
        <v>87962.962962962964</v>
      </c>
      <c r="T461" s="41">
        <v>16787037.037037071</v>
      </c>
      <c r="U461" s="41">
        <v>64814.814814814818</v>
      </c>
      <c r="V461" s="41">
        <v>312797685.18518537</v>
      </c>
      <c r="W461" s="41">
        <v>669907.40740740742</v>
      </c>
      <c r="X461" s="38">
        <f t="shared" si="36"/>
        <v>0.62559537037037072</v>
      </c>
      <c r="Y461" s="39">
        <f t="shared" si="37"/>
        <v>1.3398148148148147E-3</v>
      </c>
      <c r="Z461" s="39">
        <f t="shared" si="41"/>
        <v>2.1462601380014103E-3</v>
      </c>
      <c r="AA461" s="41">
        <f t="shared" si="38"/>
        <v>187202314.81481463</v>
      </c>
      <c r="AB461" s="39">
        <f t="shared" si="39"/>
        <v>3.578520960438428E-3</v>
      </c>
      <c r="AC461" s="38">
        <f t="shared" si="40"/>
        <v>0.31539415508436769</v>
      </c>
      <c r="AD461" s="3"/>
    </row>
    <row r="462" spans="1:30" x14ac:dyDescent="0.25">
      <c r="A462" s="37">
        <v>46098</v>
      </c>
      <c r="B462" s="41">
        <v>10148148.148148181</v>
      </c>
      <c r="C462" s="41">
        <v>35185.185185185182</v>
      </c>
      <c r="D462" s="41">
        <v>36805555.555555537</v>
      </c>
      <c r="E462" s="41">
        <v>131944.44444444441</v>
      </c>
      <c r="F462" s="41">
        <v>44722222.22222241</v>
      </c>
      <c r="G462" s="41">
        <v>131944.44444444441</v>
      </c>
      <c r="H462" s="41">
        <v>50000000</v>
      </c>
      <c r="I462" s="41">
        <v>0</v>
      </c>
      <c r="J462" s="41">
        <v>8888888.8888888862</v>
      </c>
      <c r="K462" s="41">
        <v>111111.11111111109</v>
      </c>
      <c r="L462" s="41">
        <v>7222222.2222222583</v>
      </c>
      <c r="M462" s="41">
        <v>27777.777777777781</v>
      </c>
      <c r="N462" s="41">
        <v>38458333.333333388</v>
      </c>
      <c r="O462" s="41">
        <v>79166.666666666672</v>
      </c>
      <c r="P462" s="41">
        <v>75000000</v>
      </c>
      <c r="Q462" s="41">
        <v>0</v>
      </c>
      <c r="R462" s="41">
        <v>25370370.37037031</v>
      </c>
      <c r="S462" s="41">
        <v>87962.962962962964</v>
      </c>
      <c r="T462" s="41">
        <v>16851851.851851881</v>
      </c>
      <c r="U462" s="41">
        <v>64814.814814814818</v>
      </c>
      <c r="V462" s="41">
        <v>313467592.5925929</v>
      </c>
      <c r="W462" s="41">
        <v>669907.40740740742</v>
      </c>
      <c r="X462" s="38">
        <f t="shared" si="36"/>
        <v>0.62693518518518576</v>
      </c>
      <c r="Y462" s="39">
        <f t="shared" si="37"/>
        <v>1.3398148148148147E-3</v>
      </c>
      <c r="Z462" s="39">
        <f t="shared" si="41"/>
        <v>2.1416635708502853E-3</v>
      </c>
      <c r="AA462" s="41">
        <f t="shared" si="38"/>
        <v>186532407.4074071</v>
      </c>
      <c r="AB462" s="39">
        <f t="shared" si="39"/>
        <v>3.5913727631481035E-3</v>
      </c>
      <c r="AC462" s="38">
        <f t="shared" si="40"/>
        <v>0.31450814420780793</v>
      </c>
      <c r="AD462" s="3"/>
    </row>
    <row r="463" spans="1:30" x14ac:dyDescent="0.25">
      <c r="A463" s="37">
        <v>46099</v>
      </c>
      <c r="B463" s="41">
        <v>10183333.33333336</v>
      </c>
      <c r="C463" s="41">
        <v>35185.185185185182</v>
      </c>
      <c r="D463" s="41">
        <v>36937499.999999993</v>
      </c>
      <c r="E463" s="41">
        <v>131944.44444444441</v>
      </c>
      <c r="F463" s="41">
        <v>44854166.666666858</v>
      </c>
      <c r="G463" s="41">
        <v>131944.44444444441</v>
      </c>
      <c r="H463" s="41">
        <v>50000000</v>
      </c>
      <c r="I463" s="41">
        <v>0</v>
      </c>
      <c r="J463" s="41">
        <v>8999999.9999999981</v>
      </c>
      <c r="K463" s="41">
        <v>111111.11111111109</v>
      </c>
      <c r="L463" s="41">
        <v>7250000.0000000363</v>
      </c>
      <c r="M463" s="41">
        <v>27777.777777777781</v>
      </c>
      <c r="N463" s="41">
        <v>38537500.000000052</v>
      </c>
      <c r="O463" s="41">
        <v>79166.666666666672</v>
      </c>
      <c r="P463" s="41">
        <v>75000000</v>
      </c>
      <c r="Q463" s="41">
        <v>0</v>
      </c>
      <c r="R463" s="41">
        <v>25458333.333333269</v>
      </c>
      <c r="S463" s="41">
        <v>87962.962962962964</v>
      </c>
      <c r="T463" s="41">
        <v>16916666.666666701</v>
      </c>
      <c r="U463" s="41">
        <v>64814.814814814818</v>
      </c>
      <c r="V463" s="41">
        <v>314137500.00000018</v>
      </c>
      <c r="W463" s="41">
        <v>669907.40740740742</v>
      </c>
      <c r="X463" s="38">
        <f t="shared" si="36"/>
        <v>0.62827500000000036</v>
      </c>
      <c r="Y463" s="39">
        <f t="shared" si="37"/>
        <v>1.3398148148148147E-3</v>
      </c>
      <c r="Z463" s="39">
        <f t="shared" si="41"/>
        <v>2.1370866502237497E-3</v>
      </c>
      <c r="AA463" s="41">
        <f t="shared" si="38"/>
        <v>185862499.99999982</v>
      </c>
      <c r="AB463" s="39">
        <f t="shared" si="39"/>
        <v>3.6043172098051413E-3</v>
      </c>
      <c r="AC463" s="38">
        <f t="shared" si="40"/>
        <v>0.31362709738121353</v>
      </c>
      <c r="AD463" s="3"/>
    </row>
    <row r="464" spans="1:30" x14ac:dyDescent="0.25">
      <c r="A464" s="37">
        <v>46100</v>
      </c>
      <c r="B464" s="41">
        <v>10218518.518518539</v>
      </c>
      <c r="C464" s="41">
        <v>35185.185185185182</v>
      </c>
      <c r="D464" s="41">
        <v>37069444.44444444</v>
      </c>
      <c r="E464" s="41">
        <v>131944.44444444441</v>
      </c>
      <c r="F464" s="41">
        <v>44986111.111111313</v>
      </c>
      <c r="G464" s="41">
        <v>131944.44444444441</v>
      </c>
      <c r="H464" s="41">
        <v>50000000</v>
      </c>
      <c r="I464" s="41">
        <v>0</v>
      </c>
      <c r="J464" s="41">
        <v>9111111.1111111101</v>
      </c>
      <c r="K464" s="41">
        <v>111111.11111111109</v>
      </c>
      <c r="L464" s="41">
        <v>7277777.7777778143</v>
      </c>
      <c r="M464" s="41">
        <v>27777.777777777781</v>
      </c>
      <c r="N464" s="41">
        <v>38616666.666666716</v>
      </c>
      <c r="O464" s="41">
        <v>79166.666666666672</v>
      </c>
      <c r="P464" s="41">
        <v>75000000</v>
      </c>
      <c r="Q464" s="41">
        <v>0</v>
      </c>
      <c r="R464" s="41">
        <v>25546296.296296239</v>
      </c>
      <c r="S464" s="41">
        <v>87962.962962962964</v>
      </c>
      <c r="T464" s="41">
        <v>16981481.481481511</v>
      </c>
      <c r="U464" s="41">
        <v>64814.814814814818</v>
      </c>
      <c r="V464" s="41">
        <v>314807407.4074077</v>
      </c>
      <c r="W464" s="41">
        <v>669907.40740740742</v>
      </c>
      <c r="X464" s="38">
        <f t="shared" si="36"/>
        <v>0.6296148148148154</v>
      </c>
      <c r="Y464" s="39">
        <f t="shared" si="37"/>
        <v>1.3398148148148147E-3</v>
      </c>
      <c r="Z464" s="39">
        <f t="shared" si="41"/>
        <v>2.1325292504314418E-3</v>
      </c>
      <c r="AA464" s="41">
        <f t="shared" si="38"/>
        <v>185192592.5925923</v>
      </c>
      <c r="AB464" s="39">
        <f t="shared" si="39"/>
        <v>3.6173553057877741E-3</v>
      </c>
      <c r="AC464" s="38">
        <f t="shared" si="40"/>
        <v>0.31275097300302673</v>
      </c>
      <c r="AD464" s="3"/>
    </row>
    <row r="465" spans="1:30" x14ac:dyDescent="0.25">
      <c r="A465" s="37">
        <v>46101</v>
      </c>
      <c r="B465" s="41">
        <v>10253703.703703729</v>
      </c>
      <c r="C465" s="41">
        <v>35185.185185185182</v>
      </c>
      <c r="D465" s="41">
        <v>37201388.888888888</v>
      </c>
      <c r="E465" s="41">
        <v>131944.44444444441</v>
      </c>
      <c r="F465" s="41">
        <v>45118055.555555753</v>
      </c>
      <c r="G465" s="41">
        <v>131944.44444444441</v>
      </c>
      <c r="H465" s="41">
        <v>50000000</v>
      </c>
      <c r="I465" s="41">
        <v>0</v>
      </c>
      <c r="J465" s="41">
        <v>9222222.222222222</v>
      </c>
      <c r="K465" s="41">
        <v>111111.11111111109</v>
      </c>
      <c r="L465" s="41">
        <v>7305555.5555555923</v>
      </c>
      <c r="M465" s="41">
        <v>27777.777777777781</v>
      </c>
      <c r="N465" s="41">
        <v>38695833.333333381</v>
      </c>
      <c r="O465" s="41">
        <v>79166.666666666672</v>
      </c>
      <c r="P465" s="41">
        <v>75000000</v>
      </c>
      <c r="Q465" s="41">
        <v>0</v>
      </c>
      <c r="R465" s="41">
        <v>25634259.259259202</v>
      </c>
      <c r="S465" s="41">
        <v>87962.962962962964</v>
      </c>
      <c r="T465" s="41">
        <v>17046296.296296321</v>
      </c>
      <c r="U465" s="41">
        <v>64814.814814814818</v>
      </c>
      <c r="V465" s="41">
        <v>315477314.81481498</v>
      </c>
      <c r="W465" s="41">
        <v>669907.40740740742</v>
      </c>
      <c r="X465" s="38">
        <f t="shared" si="36"/>
        <v>0.63095462962963</v>
      </c>
      <c r="Y465" s="39">
        <f t="shared" si="37"/>
        <v>1.3398148148148147E-3</v>
      </c>
      <c r="Z465" s="39">
        <f t="shared" si="41"/>
        <v>2.1279912468528651E-3</v>
      </c>
      <c r="AA465" s="41">
        <f t="shared" si="38"/>
        <v>184522685.18518502</v>
      </c>
      <c r="AB465" s="39">
        <f t="shared" si="39"/>
        <v>3.6304880710742718E-3</v>
      </c>
      <c r="AC465" s="38">
        <f t="shared" si="40"/>
        <v>0.31187972993525587</v>
      </c>
      <c r="AD465" s="3"/>
    </row>
    <row r="466" spans="1:30" x14ac:dyDescent="0.25">
      <c r="A466" s="37">
        <v>46102</v>
      </c>
      <c r="B466" s="41">
        <v>10288888.88888891</v>
      </c>
      <c r="C466" s="41">
        <v>35185.185185185182</v>
      </c>
      <c r="D466" s="41">
        <v>37333333.333333343</v>
      </c>
      <c r="E466" s="41">
        <v>131944.44444444441</v>
      </c>
      <c r="F466" s="41">
        <v>45250000.000000201</v>
      </c>
      <c r="G466" s="41">
        <v>131944.44444444441</v>
      </c>
      <c r="H466" s="41">
        <v>50000000</v>
      </c>
      <c r="I466" s="41">
        <v>0</v>
      </c>
      <c r="J466" s="41">
        <v>9333333.333333334</v>
      </c>
      <c r="K466" s="41">
        <v>111111.11111111109</v>
      </c>
      <c r="L466" s="41">
        <v>7333333.3333333703</v>
      </c>
      <c r="M466" s="41">
        <v>27777.777777777781</v>
      </c>
      <c r="N466" s="41">
        <v>38775000.000000037</v>
      </c>
      <c r="O466" s="41">
        <v>79166.666666666672</v>
      </c>
      <c r="P466" s="41">
        <v>75000000</v>
      </c>
      <c r="Q466" s="41">
        <v>0</v>
      </c>
      <c r="R466" s="41">
        <v>25722222.222222161</v>
      </c>
      <c r="S466" s="41">
        <v>87962.962962962964</v>
      </c>
      <c r="T466" s="41">
        <v>17111111.111111142</v>
      </c>
      <c r="U466" s="41">
        <v>64814.814814814818</v>
      </c>
      <c r="V466" s="41">
        <v>316147222.22222251</v>
      </c>
      <c r="W466" s="41">
        <v>669907.40740740742</v>
      </c>
      <c r="X466" s="38">
        <f t="shared" si="36"/>
        <v>0.63229444444444505</v>
      </c>
      <c r="Y466" s="39">
        <f t="shared" si="37"/>
        <v>1.3398148148148147E-3</v>
      </c>
      <c r="Z466" s="39">
        <f t="shared" si="41"/>
        <v>2.1234725159260427E-3</v>
      </c>
      <c r="AA466" s="41">
        <f t="shared" si="38"/>
        <v>183852777.77777749</v>
      </c>
      <c r="AB466" s="39">
        <f t="shared" si="39"/>
        <v>3.6437165405089678E-3</v>
      </c>
      <c r="AC466" s="38">
        <f t="shared" si="40"/>
        <v>0.31101332749703348</v>
      </c>
      <c r="AD466" s="3"/>
    </row>
    <row r="467" spans="1:30" x14ac:dyDescent="0.25">
      <c r="A467" s="37">
        <v>46103</v>
      </c>
      <c r="B467" s="41">
        <v>10324074.074074101</v>
      </c>
      <c r="C467" s="41">
        <v>35185.185185185182</v>
      </c>
      <c r="D467" s="41">
        <v>37465277.777777784</v>
      </c>
      <c r="E467" s="41">
        <v>131944.44444444441</v>
      </c>
      <c r="F467" s="41">
        <v>45381944.444444649</v>
      </c>
      <c r="G467" s="41">
        <v>131944.44444444441</v>
      </c>
      <c r="H467" s="41">
        <v>50000000</v>
      </c>
      <c r="I467" s="41">
        <v>0</v>
      </c>
      <c r="J467" s="41">
        <v>9444444.4444444459</v>
      </c>
      <c r="K467" s="41">
        <v>111111.11111111109</v>
      </c>
      <c r="L467" s="41">
        <v>7361111.1111111483</v>
      </c>
      <c r="M467" s="41">
        <v>27777.777777777781</v>
      </c>
      <c r="N467" s="41">
        <v>38854166.666666709</v>
      </c>
      <c r="O467" s="41">
        <v>79166.666666666672</v>
      </c>
      <c r="P467" s="41">
        <v>75000000</v>
      </c>
      <c r="Q467" s="41">
        <v>0</v>
      </c>
      <c r="R467" s="41">
        <v>25810185.18518512</v>
      </c>
      <c r="S467" s="41">
        <v>87962.962962962964</v>
      </c>
      <c r="T467" s="41">
        <v>17175925.925925951</v>
      </c>
      <c r="U467" s="41">
        <v>64814.814814814818</v>
      </c>
      <c r="V467" s="41">
        <v>316817129.62962991</v>
      </c>
      <c r="W467" s="41">
        <v>669907.40740740742</v>
      </c>
      <c r="X467" s="38">
        <f t="shared" si="36"/>
        <v>0.63363425925925987</v>
      </c>
      <c r="Y467" s="39">
        <f t="shared" si="37"/>
        <v>1.3398148148148147E-3</v>
      </c>
      <c r="Z467" s="39">
        <f t="shared" si="41"/>
        <v>2.1189729351362889E-3</v>
      </c>
      <c r="AA467" s="41">
        <f t="shared" si="38"/>
        <v>183182870.37037009</v>
      </c>
      <c r="AB467" s="39">
        <f t="shared" si="39"/>
        <v>3.6570417640740564E-3</v>
      </c>
      <c r="AC467" s="38">
        <f t="shared" si="40"/>
        <v>0.31015172545828712</v>
      </c>
      <c r="AD467" s="3"/>
    </row>
    <row r="468" spans="1:30" x14ac:dyDescent="0.25">
      <c r="A468" s="37">
        <v>46104</v>
      </c>
      <c r="B468" s="41">
        <v>10359259.25925928</v>
      </c>
      <c r="C468" s="41">
        <v>35185.185185185182</v>
      </c>
      <c r="D468" s="41">
        <v>37597222.222222231</v>
      </c>
      <c r="E468" s="41">
        <v>131944.44444444441</v>
      </c>
      <c r="F468" s="41">
        <v>45513888.888889097</v>
      </c>
      <c r="G468" s="41">
        <v>131944.44444444441</v>
      </c>
      <c r="H468" s="41">
        <v>50000000</v>
      </c>
      <c r="I468" s="41">
        <v>0</v>
      </c>
      <c r="J468" s="41">
        <v>9555555.5555555578</v>
      </c>
      <c r="K468" s="41">
        <v>111111.11111111109</v>
      </c>
      <c r="L468" s="41">
        <v>7388888.8888889262</v>
      </c>
      <c r="M468" s="41">
        <v>27777.777777777781</v>
      </c>
      <c r="N468" s="41">
        <v>38933333.333333373</v>
      </c>
      <c r="O468" s="41">
        <v>79166.666666666672</v>
      </c>
      <c r="P468" s="41">
        <v>75000000</v>
      </c>
      <c r="Q468" s="41">
        <v>0</v>
      </c>
      <c r="R468" s="41">
        <v>25898148.14814809</v>
      </c>
      <c r="S468" s="41">
        <v>87962.962962962964</v>
      </c>
      <c r="T468" s="41">
        <v>17240740.740740761</v>
      </c>
      <c r="U468" s="41">
        <v>64814.814814814818</v>
      </c>
      <c r="V468" s="41">
        <v>317487037.03703731</v>
      </c>
      <c r="W468" s="41">
        <v>669907.40740740742</v>
      </c>
      <c r="X468" s="38">
        <f t="shared" si="36"/>
        <v>0.63497407407407458</v>
      </c>
      <c r="Y468" s="39">
        <f t="shared" si="37"/>
        <v>1.3398148148148147E-3</v>
      </c>
      <c r="Z468" s="39">
        <f t="shared" si="41"/>
        <v>2.1144923830051492E-3</v>
      </c>
      <c r="AA468" s="41">
        <f t="shared" si="38"/>
        <v>182512962.96296269</v>
      </c>
      <c r="AB468" s="39">
        <f t="shared" si="39"/>
        <v>3.6704648071674314E-3</v>
      </c>
      <c r="AC468" s="38">
        <f t="shared" si="40"/>
        <v>0.30929488403351041</v>
      </c>
      <c r="AD468" s="3"/>
    </row>
    <row r="469" spans="1:30" x14ac:dyDescent="0.25">
      <c r="A469" s="37">
        <v>46105</v>
      </c>
      <c r="B469" s="41">
        <v>10394444.44444447</v>
      </c>
      <c r="C469" s="41">
        <v>35185.185185185182</v>
      </c>
      <c r="D469" s="41">
        <v>37729166.666666679</v>
      </c>
      <c r="E469" s="41">
        <v>131944.44444444441</v>
      </c>
      <c r="F469" s="41">
        <v>45645833.333333537</v>
      </c>
      <c r="G469" s="41">
        <v>131944.44444444441</v>
      </c>
      <c r="H469" s="41">
        <v>50000000</v>
      </c>
      <c r="I469" s="41">
        <v>0</v>
      </c>
      <c r="J469" s="41">
        <v>9666666.6666666698</v>
      </c>
      <c r="K469" s="41">
        <v>111111.11111111109</v>
      </c>
      <c r="L469" s="41">
        <v>7416666.6666667042</v>
      </c>
      <c r="M469" s="41">
        <v>27777.777777777781</v>
      </c>
      <c r="N469" s="41">
        <v>39012500.000000037</v>
      </c>
      <c r="O469" s="41">
        <v>79166.666666666672</v>
      </c>
      <c r="P469" s="41">
        <v>75000000</v>
      </c>
      <c r="Q469" s="41">
        <v>0</v>
      </c>
      <c r="R469" s="41">
        <v>25986111.111111049</v>
      </c>
      <c r="S469" s="41">
        <v>87962.962962962964</v>
      </c>
      <c r="T469" s="41">
        <v>17305555.555555578</v>
      </c>
      <c r="U469" s="41">
        <v>64814.814814814818</v>
      </c>
      <c r="V469" s="41">
        <v>318156944.44444472</v>
      </c>
      <c r="W469" s="41">
        <v>669907.40740740742</v>
      </c>
      <c r="X469" s="38">
        <f t="shared" si="36"/>
        <v>0.6363138888888894</v>
      </c>
      <c r="Y469" s="39">
        <f t="shared" si="37"/>
        <v>1.3398148148148147E-3</v>
      </c>
      <c r="Z469" s="39">
        <f t="shared" si="41"/>
        <v>2.1100307390794588E-3</v>
      </c>
      <c r="AA469" s="41">
        <f t="shared" si="38"/>
        <v>181843055.55555528</v>
      </c>
      <c r="AB469" s="39">
        <f t="shared" si="39"/>
        <v>3.6839867508866317E-3</v>
      </c>
      <c r="AC469" s="38">
        <f t="shared" si="40"/>
        <v>0.30844276387564012</v>
      </c>
      <c r="AD469" s="3"/>
    </row>
    <row r="470" spans="1:30" x14ac:dyDescent="0.25">
      <c r="A470" s="37">
        <v>46106</v>
      </c>
      <c r="B470" s="41">
        <v>10429629.629629649</v>
      </c>
      <c r="C470" s="41">
        <v>35185.185185185182</v>
      </c>
      <c r="D470" s="41">
        <v>37861111.111111127</v>
      </c>
      <c r="E470" s="41">
        <v>131944.44444444441</v>
      </c>
      <c r="F470" s="41">
        <v>45777777.777777992</v>
      </c>
      <c r="G470" s="41">
        <v>131944.44444444441</v>
      </c>
      <c r="H470" s="41">
        <v>50000000</v>
      </c>
      <c r="I470" s="41">
        <v>0</v>
      </c>
      <c r="J470" s="41">
        <v>9777777.7777777817</v>
      </c>
      <c r="K470" s="41">
        <v>111111.11111111109</v>
      </c>
      <c r="L470" s="41">
        <v>7444444.4444444822</v>
      </c>
      <c r="M470" s="41">
        <v>27777.777777777781</v>
      </c>
      <c r="N470" s="41">
        <v>39091666.666666701</v>
      </c>
      <c r="O470" s="41">
        <v>79166.666666666672</v>
      </c>
      <c r="P470" s="41">
        <v>75000000</v>
      </c>
      <c r="Q470" s="41">
        <v>0</v>
      </c>
      <c r="R470" s="41">
        <v>26074074.074074011</v>
      </c>
      <c r="S470" s="41">
        <v>87962.962962962964</v>
      </c>
      <c r="T470" s="41">
        <v>17370370.370370392</v>
      </c>
      <c r="U470" s="41">
        <v>64814.814814814818</v>
      </c>
      <c r="V470" s="41">
        <v>318826851.85185218</v>
      </c>
      <c r="W470" s="41">
        <v>669907.40740740742</v>
      </c>
      <c r="X470" s="38">
        <f t="shared" si="36"/>
        <v>0.63765370370370433</v>
      </c>
      <c r="Y470" s="39">
        <f t="shared" si="37"/>
        <v>1.3398148148148147E-3</v>
      </c>
      <c r="Z470" s="39">
        <f t="shared" si="41"/>
        <v>2.1055878839205534E-3</v>
      </c>
      <c r="AA470" s="41">
        <f t="shared" si="38"/>
        <v>181173148.14814782</v>
      </c>
      <c r="AB470" s="39">
        <f t="shared" si="39"/>
        <v>3.6976086923190998E-3</v>
      </c>
      <c r="AC470" s="38">
        <f t="shared" si="40"/>
        <v>0.30759532607003259</v>
      </c>
      <c r="AD470" s="3"/>
    </row>
    <row r="471" spans="1:30" x14ac:dyDescent="0.25">
      <c r="A471" s="37">
        <v>46107</v>
      </c>
      <c r="B471" s="41">
        <v>10464814.81481484</v>
      </c>
      <c r="C471" s="41">
        <v>35185.185185185182</v>
      </c>
      <c r="D471" s="41">
        <v>37993055.555555567</v>
      </c>
      <c r="E471" s="41">
        <v>131944.44444444441</v>
      </c>
      <c r="F471" s="41">
        <v>45909722.22222244</v>
      </c>
      <c r="G471" s="41">
        <v>131944.44444444441</v>
      </c>
      <c r="H471" s="41">
        <v>50000000</v>
      </c>
      <c r="I471" s="41">
        <v>0</v>
      </c>
      <c r="J471" s="41">
        <v>9888888.8888888936</v>
      </c>
      <c r="K471" s="41">
        <v>111111.11111111109</v>
      </c>
      <c r="L471" s="41">
        <v>7472222.2222222602</v>
      </c>
      <c r="M471" s="41">
        <v>27777.777777777781</v>
      </c>
      <c r="N471" s="41">
        <v>39170833.333333373</v>
      </c>
      <c r="O471" s="41">
        <v>79166.666666666672</v>
      </c>
      <c r="P471" s="41">
        <v>75000000</v>
      </c>
      <c r="Q471" s="41">
        <v>0</v>
      </c>
      <c r="R471" s="41">
        <v>26162037.03703697</v>
      </c>
      <c r="S471" s="41">
        <v>87962.962962962964</v>
      </c>
      <c r="T471" s="41">
        <v>17435185.185185209</v>
      </c>
      <c r="U471" s="41">
        <v>64814.814814814818</v>
      </c>
      <c r="V471" s="41">
        <v>319496759.25925952</v>
      </c>
      <c r="W471" s="41">
        <v>669907.40740740742</v>
      </c>
      <c r="X471" s="38">
        <f t="shared" ref="X471:X534" si="42">V471/$B$6</f>
        <v>0.63899351851851904</v>
      </c>
      <c r="Y471" s="39">
        <f t="shared" ref="Y471:Y534" si="43">W471/$B$6</f>
        <v>1.3398148148148147E-3</v>
      </c>
      <c r="Z471" s="39">
        <f t="shared" si="41"/>
        <v>2.1011636990936077E-3</v>
      </c>
      <c r="AA471" s="41">
        <f t="shared" ref="AA471:AA534" si="44">$B$6-V471</f>
        <v>180503240.74074048</v>
      </c>
      <c r="AB471" s="39">
        <f t="shared" ref="AB471:AB534" si="45">W471/AA471</f>
        <v>3.7113317448388946E-3</v>
      </c>
      <c r="AC471" s="38">
        <f t="shared" ref="AC471:AC534" si="46" xml:space="preserve"> P471/(V471-P471)</f>
        <v>0.30675253212854037</v>
      </c>
      <c r="AD471" s="3"/>
    </row>
    <row r="472" spans="1:30" x14ac:dyDescent="0.25">
      <c r="A472" s="37">
        <v>46108</v>
      </c>
      <c r="B472" s="41">
        <v>10500000.00000002</v>
      </c>
      <c r="C472" s="41">
        <v>35185.185185185182</v>
      </c>
      <c r="D472" s="41">
        <v>38125000.000000022</v>
      </c>
      <c r="E472" s="41">
        <v>131944.44444444441</v>
      </c>
      <c r="F472" s="41">
        <v>46041666.666666888</v>
      </c>
      <c r="G472" s="41">
        <v>131944.44444444441</v>
      </c>
      <c r="H472" s="41">
        <v>50000000</v>
      </c>
      <c r="I472" s="41">
        <v>0</v>
      </c>
      <c r="J472" s="41">
        <v>10000000.000000009</v>
      </c>
      <c r="K472" s="41">
        <v>111111.11111111109</v>
      </c>
      <c r="L472" s="41">
        <v>7500000.0000000382</v>
      </c>
      <c r="M472" s="41">
        <v>27777.777777777781</v>
      </c>
      <c r="N472" s="41">
        <v>39250000.00000003</v>
      </c>
      <c r="O472" s="41">
        <v>79166.666666666672</v>
      </c>
      <c r="P472" s="41">
        <v>75000000</v>
      </c>
      <c r="Q472" s="41">
        <v>0</v>
      </c>
      <c r="R472" s="41">
        <v>26249999.99999994</v>
      </c>
      <c r="S472" s="41">
        <v>87962.962962962964</v>
      </c>
      <c r="T472" s="41">
        <v>17500000.000000019</v>
      </c>
      <c r="U472" s="41">
        <v>64814.814814814818</v>
      </c>
      <c r="V472" s="41">
        <v>320166666.66666692</v>
      </c>
      <c r="W472" s="41">
        <v>669907.40740740742</v>
      </c>
      <c r="X472" s="38">
        <f t="shared" si="42"/>
        <v>0.64033333333333387</v>
      </c>
      <c r="Y472" s="39">
        <f t="shared" si="43"/>
        <v>1.3398148148148147E-3</v>
      </c>
      <c r="Z472" s="39">
        <f t="shared" ref="Z472:Z535" si="47">W472/V471</f>
        <v>2.096758067157116E-3</v>
      </c>
      <c r="AA472" s="41">
        <f t="shared" si="44"/>
        <v>179833333.33333308</v>
      </c>
      <c r="AB472" s="39">
        <f t="shared" si="45"/>
        <v>3.7251570384100557E-3</v>
      </c>
      <c r="AC472" s="38">
        <f t="shared" si="46"/>
        <v>0.30591434398368422</v>
      </c>
      <c r="AD472" s="3"/>
    </row>
    <row r="473" spans="1:30" x14ac:dyDescent="0.25">
      <c r="A473" s="37">
        <v>46109</v>
      </c>
      <c r="B473" s="41">
        <v>10535185.185185211</v>
      </c>
      <c r="C473" s="41">
        <v>35185.185185185182</v>
      </c>
      <c r="D473" s="41">
        <v>38256944.44444447</v>
      </c>
      <c r="E473" s="41">
        <v>131944.44444444441</v>
      </c>
      <c r="F473" s="41">
        <v>46173611.111111343</v>
      </c>
      <c r="G473" s="41">
        <v>131944.44444444441</v>
      </c>
      <c r="H473" s="41">
        <v>50000000</v>
      </c>
      <c r="I473" s="41">
        <v>0</v>
      </c>
      <c r="J473" s="41">
        <v>10111111.111111119</v>
      </c>
      <c r="K473" s="41">
        <v>111111.11111111109</v>
      </c>
      <c r="L473" s="41">
        <v>7527777.7777778162</v>
      </c>
      <c r="M473" s="41">
        <v>27777.777777777781</v>
      </c>
      <c r="N473" s="41">
        <v>39329166.666666687</v>
      </c>
      <c r="O473" s="41">
        <v>79166.666666666672</v>
      </c>
      <c r="P473" s="41">
        <v>75000000</v>
      </c>
      <c r="Q473" s="41">
        <v>0</v>
      </c>
      <c r="R473" s="41">
        <v>26337962.962962899</v>
      </c>
      <c r="S473" s="41">
        <v>87962.962962962964</v>
      </c>
      <c r="T473" s="41">
        <v>17564814.814814828</v>
      </c>
      <c r="U473" s="41">
        <v>64814.814814814818</v>
      </c>
      <c r="V473" s="41">
        <v>320836574.07407433</v>
      </c>
      <c r="W473" s="41">
        <v>669907.40740740742</v>
      </c>
      <c r="X473" s="38">
        <f t="shared" si="42"/>
        <v>0.64167314814814869</v>
      </c>
      <c r="Y473" s="39">
        <f t="shared" si="43"/>
        <v>1.3398148148148147E-3</v>
      </c>
      <c r="Z473" s="39">
        <f t="shared" si="47"/>
        <v>2.0923708716524942E-3</v>
      </c>
      <c r="AA473" s="41">
        <f t="shared" si="44"/>
        <v>179163425.92592567</v>
      </c>
      <c r="AB473" s="39">
        <f t="shared" si="45"/>
        <v>3.7390857198967477E-3</v>
      </c>
      <c r="AC473" s="38">
        <f t="shared" si="46"/>
        <v>0.30508072398292269</v>
      </c>
      <c r="AD473" s="3"/>
    </row>
    <row r="474" spans="1:30" x14ac:dyDescent="0.25">
      <c r="A474" s="37">
        <v>46110</v>
      </c>
      <c r="B474" s="41">
        <v>10570370.37037039</v>
      </c>
      <c r="C474" s="41">
        <v>35185.185185185182</v>
      </c>
      <c r="D474" s="41">
        <v>38388888.888888918</v>
      </c>
      <c r="E474" s="41">
        <v>131944.44444444441</v>
      </c>
      <c r="F474" s="41">
        <v>46305555.555555783</v>
      </c>
      <c r="G474" s="41">
        <v>131944.44444444441</v>
      </c>
      <c r="H474" s="41">
        <v>50000000</v>
      </c>
      <c r="I474" s="41">
        <v>0</v>
      </c>
      <c r="J474" s="41">
        <v>10222222.222222229</v>
      </c>
      <c r="K474" s="41">
        <v>111111.11111111109</v>
      </c>
      <c r="L474" s="41">
        <v>7555555.5555555942</v>
      </c>
      <c r="M474" s="41">
        <v>27777.777777777781</v>
      </c>
      <c r="N474" s="41">
        <v>39408333.333333358</v>
      </c>
      <c r="O474" s="41">
        <v>79166.666666666672</v>
      </c>
      <c r="P474" s="41">
        <v>75000000</v>
      </c>
      <c r="Q474" s="41">
        <v>0</v>
      </c>
      <c r="R474" s="41">
        <v>26425925.925925858</v>
      </c>
      <c r="S474" s="41">
        <v>87962.962962962964</v>
      </c>
      <c r="T474" s="41">
        <v>17629629.629629649</v>
      </c>
      <c r="U474" s="41">
        <v>64814.814814814818</v>
      </c>
      <c r="V474" s="41">
        <v>321506481.48148179</v>
      </c>
      <c r="W474" s="41">
        <v>669907.40740740742</v>
      </c>
      <c r="X474" s="38">
        <f t="shared" si="42"/>
        <v>0.64301296296296362</v>
      </c>
      <c r="Y474" s="39">
        <f t="shared" si="43"/>
        <v>1.3398148148148147E-3</v>
      </c>
      <c r="Z474" s="39">
        <f t="shared" si="47"/>
        <v>2.0880019970938228E-3</v>
      </c>
      <c r="AA474" s="41">
        <f t="shared" si="44"/>
        <v>178493518.51851821</v>
      </c>
      <c r="AB474" s="39">
        <f t="shared" si="45"/>
        <v>3.7531189533804073E-3</v>
      </c>
      <c r="AC474" s="38">
        <f t="shared" si="46"/>
        <v>0.30425163488301299</v>
      </c>
      <c r="AD474" s="3"/>
    </row>
    <row r="475" spans="1:30" x14ac:dyDescent="0.25">
      <c r="A475" s="37">
        <v>46111</v>
      </c>
      <c r="B475" s="41">
        <v>10605555.55555558</v>
      </c>
      <c r="C475" s="41">
        <v>35185.185185185182</v>
      </c>
      <c r="D475" s="41">
        <v>38520833.333333373</v>
      </c>
      <c r="E475" s="41">
        <v>131944.44444444441</v>
      </c>
      <c r="F475" s="41">
        <v>46437500.000000231</v>
      </c>
      <c r="G475" s="41">
        <v>131944.44444444441</v>
      </c>
      <c r="H475" s="41">
        <v>50000000</v>
      </c>
      <c r="I475" s="41">
        <v>0</v>
      </c>
      <c r="J475" s="41">
        <v>10333333.33333334</v>
      </c>
      <c r="K475" s="41">
        <v>111111.11111111109</v>
      </c>
      <c r="L475" s="41">
        <v>7583333.3333333721</v>
      </c>
      <c r="M475" s="41">
        <v>27777.777777777781</v>
      </c>
      <c r="N475" s="41">
        <v>39487500.000000022</v>
      </c>
      <c r="O475" s="41">
        <v>79166.666666666672</v>
      </c>
      <c r="P475" s="41">
        <v>75000000</v>
      </c>
      <c r="Q475" s="41">
        <v>0</v>
      </c>
      <c r="R475" s="41">
        <v>26513888.888888821</v>
      </c>
      <c r="S475" s="41">
        <v>87962.962962962964</v>
      </c>
      <c r="T475" s="41">
        <v>17694444.444444459</v>
      </c>
      <c r="U475" s="41">
        <v>64814.814814814818</v>
      </c>
      <c r="V475" s="41">
        <v>322176388.88888931</v>
      </c>
      <c r="W475" s="41">
        <v>669907.40740740742</v>
      </c>
      <c r="X475" s="38">
        <f t="shared" si="42"/>
        <v>0.64435277777777866</v>
      </c>
      <c r="Y475" s="39">
        <f t="shared" si="43"/>
        <v>1.3398148148148147E-3</v>
      </c>
      <c r="Z475" s="39">
        <f t="shared" si="47"/>
        <v>2.0836513289577115E-3</v>
      </c>
      <c r="AA475" s="41">
        <f t="shared" si="44"/>
        <v>177823611.11111069</v>
      </c>
      <c r="AB475" s="39">
        <f t="shared" si="45"/>
        <v>3.7672579204840509E-3</v>
      </c>
      <c r="AC475" s="38">
        <f t="shared" si="46"/>
        <v>0.30342703984446501</v>
      </c>
      <c r="AD475" s="3"/>
    </row>
    <row r="476" spans="1:30" x14ac:dyDescent="0.25">
      <c r="A476" s="37">
        <v>46112</v>
      </c>
      <c r="B476" s="41">
        <v>10640740.740740759</v>
      </c>
      <c r="C476" s="41">
        <v>35185.185185185182</v>
      </c>
      <c r="D476" s="41">
        <v>38652777.777777813</v>
      </c>
      <c r="E476" s="41">
        <v>131944.44444444441</v>
      </c>
      <c r="F476" s="41">
        <v>46569444.444444679</v>
      </c>
      <c r="G476" s="41">
        <v>131944.44444444441</v>
      </c>
      <c r="H476" s="41">
        <v>50000000</v>
      </c>
      <c r="I476" s="41">
        <v>0</v>
      </c>
      <c r="J476" s="41">
        <v>10444444.44444445</v>
      </c>
      <c r="K476" s="41">
        <v>111111.11111111109</v>
      </c>
      <c r="L476" s="41">
        <v>7611111.1111111501</v>
      </c>
      <c r="M476" s="41">
        <v>27777.777777777781</v>
      </c>
      <c r="N476" s="41">
        <v>39566666.666666687</v>
      </c>
      <c r="O476" s="41">
        <v>79166.666666666672</v>
      </c>
      <c r="P476" s="41">
        <v>75000000</v>
      </c>
      <c r="Q476" s="41">
        <v>0</v>
      </c>
      <c r="R476" s="41">
        <v>26601851.851851791</v>
      </c>
      <c r="S476" s="41">
        <v>87962.962962962964</v>
      </c>
      <c r="T476" s="41">
        <v>17759259.259259269</v>
      </c>
      <c r="U476" s="41">
        <v>64814.814814814818</v>
      </c>
      <c r="V476" s="41">
        <v>322846296.2962966</v>
      </c>
      <c r="W476" s="41">
        <v>669907.40740740742</v>
      </c>
      <c r="X476" s="38">
        <f t="shared" si="42"/>
        <v>0.64569259259259315</v>
      </c>
      <c r="Y476" s="39">
        <f t="shared" si="43"/>
        <v>1.3398148148148147E-3</v>
      </c>
      <c r="Z476" s="39">
        <f t="shared" si="47"/>
        <v>2.0793187536732928E-3</v>
      </c>
      <c r="AA476" s="41">
        <f t="shared" si="44"/>
        <v>177153703.7037034</v>
      </c>
      <c r="AB476" s="39">
        <f t="shared" si="45"/>
        <v>3.7815038207039357E-3</v>
      </c>
      <c r="AC476" s="38">
        <f t="shared" si="46"/>
        <v>0.30260690242608512</v>
      </c>
      <c r="AD476" s="3"/>
    </row>
    <row r="477" spans="1:30" x14ac:dyDescent="0.25">
      <c r="A477" s="37">
        <v>46113</v>
      </c>
      <c r="B477" s="41">
        <v>10675925.92592595</v>
      </c>
      <c r="C477" s="41">
        <v>35185.185185185182</v>
      </c>
      <c r="D477" s="41">
        <v>38784722.222222261</v>
      </c>
      <c r="E477" s="41">
        <v>131944.44444444441</v>
      </c>
      <c r="F477" s="41">
        <v>46701388.888889126</v>
      </c>
      <c r="G477" s="41">
        <v>131944.44444444441</v>
      </c>
      <c r="H477" s="41">
        <v>50000000</v>
      </c>
      <c r="I477" s="41">
        <v>0</v>
      </c>
      <c r="J477" s="41">
        <v>10555555.555555571</v>
      </c>
      <c r="K477" s="41">
        <v>111111.11111111109</v>
      </c>
      <c r="L477" s="41">
        <v>7638888.8888889281</v>
      </c>
      <c r="M477" s="41">
        <v>27777.777777777781</v>
      </c>
      <c r="N477" s="41">
        <v>39645833.333333351</v>
      </c>
      <c r="O477" s="41">
        <v>79166.666666666672</v>
      </c>
      <c r="P477" s="41">
        <v>75000000</v>
      </c>
      <c r="Q477" s="41">
        <v>0</v>
      </c>
      <c r="R477" s="41">
        <v>26689814.81481475</v>
      </c>
      <c r="S477" s="41">
        <v>87962.962962962964</v>
      </c>
      <c r="T477" s="41">
        <v>17824074.07407409</v>
      </c>
      <c r="U477" s="41">
        <v>64814.814814814818</v>
      </c>
      <c r="V477" s="41">
        <v>323516203.703704</v>
      </c>
      <c r="W477" s="41">
        <v>669907.40740740742</v>
      </c>
      <c r="X477" s="38">
        <f t="shared" si="42"/>
        <v>0.64703240740740797</v>
      </c>
      <c r="Y477" s="39">
        <f t="shared" si="43"/>
        <v>1.3398148148148147E-3</v>
      </c>
      <c r="Z477" s="39">
        <f t="shared" si="47"/>
        <v>2.0750041586123408E-3</v>
      </c>
      <c r="AA477" s="41">
        <f t="shared" si="44"/>
        <v>176483796.296296</v>
      </c>
      <c r="AB477" s="39">
        <f t="shared" si="45"/>
        <v>3.7958578717488031E-3</v>
      </c>
      <c r="AC477" s="38">
        <f t="shared" si="46"/>
        <v>0.30179118657960641</v>
      </c>
      <c r="AD477" s="3"/>
    </row>
    <row r="478" spans="1:30" x14ac:dyDescent="0.25">
      <c r="A478" s="37">
        <v>46114</v>
      </c>
      <c r="B478" s="41">
        <v>10711111.111111131</v>
      </c>
      <c r="C478" s="41">
        <v>35185.185185185182</v>
      </c>
      <c r="D478" s="41">
        <v>38916666.666666709</v>
      </c>
      <c r="E478" s="41">
        <v>131944.44444444441</v>
      </c>
      <c r="F478" s="41">
        <v>46833333.333333567</v>
      </c>
      <c r="G478" s="41">
        <v>131944.44444444441</v>
      </c>
      <c r="H478" s="41">
        <v>50000000</v>
      </c>
      <c r="I478" s="41">
        <v>0</v>
      </c>
      <c r="J478" s="41">
        <v>10666666.666666679</v>
      </c>
      <c r="K478" s="41">
        <v>111111.11111111109</v>
      </c>
      <c r="L478" s="41">
        <v>7666666.6666667061</v>
      </c>
      <c r="M478" s="41">
        <v>27777.777777777781</v>
      </c>
      <c r="N478" s="41">
        <v>39725000.000000007</v>
      </c>
      <c r="O478" s="41">
        <v>79166.666666666672</v>
      </c>
      <c r="P478" s="41">
        <v>75000000</v>
      </c>
      <c r="Q478" s="41">
        <v>0</v>
      </c>
      <c r="R478" s="41">
        <v>26777777.777777709</v>
      </c>
      <c r="S478" s="41">
        <v>87962.962962962964</v>
      </c>
      <c r="T478" s="41">
        <v>17888888.888888899</v>
      </c>
      <c r="U478" s="41">
        <v>64814.814814814818</v>
      </c>
      <c r="V478" s="41">
        <v>324186111.11111152</v>
      </c>
      <c r="W478" s="41">
        <v>669907.40740740742</v>
      </c>
      <c r="X478" s="38">
        <f t="shared" si="42"/>
        <v>0.64837222222222302</v>
      </c>
      <c r="Y478" s="39">
        <f t="shared" si="43"/>
        <v>1.3398148148148147E-3</v>
      </c>
      <c r="Z478" s="39">
        <f t="shared" si="47"/>
        <v>2.0707074320795065E-3</v>
      </c>
      <c r="AA478" s="41">
        <f t="shared" si="44"/>
        <v>175813888.88888848</v>
      </c>
      <c r="AB478" s="39">
        <f t="shared" si="45"/>
        <v>3.8103213098868317E-3</v>
      </c>
      <c r="AC478" s="38">
        <f t="shared" si="46"/>
        <v>0.30097985664440852</v>
      </c>
      <c r="AD478" s="3"/>
    </row>
    <row r="479" spans="1:30" x14ac:dyDescent="0.25">
      <c r="A479" s="37">
        <v>46115</v>
      </c>
      <c r="B479" s="41">
        <v>10746296.296296321</v>
      </c>
      <c r="C479" s="41">
        <v>35185.185185185182</v>
      </c>
      <c r="D479" s="41">
        <v>39048611.111111157</v>
      </c>
      <c r="E479" s="41">
        <v>131944.44444444441</v>
      </c>
      <c r="F479" s="41">
        <v>46965277.777778022</v>
      </c>
      <c r="G479" s="41">
        <v>131944.44444444441</v>
      </c>
      <c r="H479" s="41">
        <v>50000000</v>
      </c>
      <c r="I479" s="41">
        <v>0</v>
      </c>
      <c r="J479" s="41">
        <v>10777777.777777789</v>
      </c>
      <c r="K479" s="41">
        <v>111111.11111111109</v>
      </c>
      <c r="L479" s="41">
        <v>7694444.4444444841</v>
      </c>
      <c r="M479" s="41">
        <v>27777.777777777781</v>
      </c>
      <c r="N479" s="41">
        <v>39804166.666666679</v>
      </c>
      <c r="O479" s="41">
        <v>79166.666666666672</v>
      </c>
      <c r="P479" s="41">
        <v>75000000</v>
      </c>
      <c r="Q479" s="41">
        <v>0</v>
      </c>
      <c r="R479" s="41">
        <v>26865740.740740679</v>
      </c>
      <c r="S479" s="41">
        <v>87962.962962962964</v>
      </c>
      <c r="T479" s="41">
        <v>17953703.703703709</v>
      </c>
      <c r="U479" s="41">
        <v>64814.814814814818</v>
      </c>
      <c r="V479" s="41">
        <v>324856018.51851881</v>
      </c>
      <c r="W479" s="41">
        <v>669907.40740740742</v>
      </c>
      <c r="X479" s="38">
        <f t="shared" si="42"/>
        <v>0.64971203703703762</v>
      </c>
      <c r="Y479" s="39">
        <f t="shared" si="43"/>
        <v>1.3398148148148147E-3</v>
      </c>
      <c r="Z479" s="39">
        <f t="shared" si="47"/>
        <v>2.0664284633026843E-3</v>
      </c>
      <c r="AA479" s="41">
        <f t="shared" si="44"/>
        <v>175143981.48148119</v>
      </c>
      <c r="AB479" s="39">
        <f t="shared" si="45"/>
        <v>3.8248953903005792E-3</v>
      </c>
      <c r="AC479" s="38">
        <f t="shared" si="46"/>
        <v>0.3001728773423209</v>
      </c>
      <c r="AD479" s="3"/>
    </row>
    <row r="480" spans="1:30" x14ac:dyDescent="0.25">
      <c r="A480" s="37">
        <v>46116</v>
      </c>
      <c r="B480" s="41">
        <v>10781481.4814815</v>
      </c>
      <c r="C480" s="41">
        <v>35185.185185185182</v>
      </c>
      <c r="D480" s="41">
        <v>39180555.555555597</v>
      </c>
      <c r="E480" s="41">
        <v>131944.44444444441</v>
      </c>
      <c r="F480" s="41">
        <v>47097222.22222247</v>
      </c>
      <c r="G480" s="41">
        <v>131944.44444444441</v>
      </c>
      <c r="H480" s="41">
        <v>50000000</v>
      </c>
      <c r="I480" s="41">
        <v>0</v>
      </c>
      <c r="J480" s="41">
        <v>10888888.888888899</v>
      </c>
      <c r="K480" s="41">
        <v>111111.11111111109</v>
      </c>
      <c r="L480" s="41">
        <v>7722222.2222222621</v>
      </c>
      <c r="M480" s="41">
        <v>27777.777777777781</v>
      </c>
      <c r="N480" s="41">
        <v>39883333.333333343</v>
      </c>
      <c r="O480" s="41">
        <v>79166.666666666672</v>
      </c>
      <c r="P480" s="41">
        <v>75000000</v>
      </c>
      <c r="Q480" s="41">
        <v>0</v>
      </c>
      <c r="R480" s="41">
        <v>26953703.703703638</v>
      </c>
      <c r="S480" s="41">
        <v>87962.962962962964</v>
      </c>
      <c r="T480" s="41">
        <v>18018518.51851853</v>
      </c>
      <c r="U480" s="41">
        <v>64814.814814814818</v>
      </c>
      <c r="V480" s="41">
        <v>325525925.92592633</v>
      </c>
      <c r="W480" s="41">
        <v>669907.40740740742</v>
      </c>
      <c r="X480" s="38">
        <f t="shared" si="42"/>
        <v>0.65105185185185266</v>
      </c>
      <c r="Y480" s="39">
        <f t="shared" si="43"/>
        <v>1.3398148148148147E-3</v>
      </c>
      <c r="Z480" s="39">
        <f t="shared" si="47"/>
        <v>2.0621671424234933E-3</v>
      </c>
      <c r="AA480" s="41">
        <f t="shared" si="44"/>
        <v>174474074.07407367</v>
      </c>
      <c r="AB480" s="39">
        <f t="shared" si="45"/>
        <v>3.8395813874501235E-3</v>
      </c>
      <c r="AC480" s="38">
        <f t="shared" si="46"/>
        <v>0.29937021377250772</v>
      </c>
      <c r="AD480" s="3"/>
    </row>
    <row r="481" spans="1:30" x14ac:dyDescent="0.25">
      <c r="A481" s="37">
        <v>46117</v>
      </c>
      <c r="B481" s="41">
        <v>10816666.666666679</v>
      </c>
      <c r="C481" s="41">
        <v>35185.185185185182</v>
      </c>
      <c r="D481" s="41">
        <v>39312500.000000052</v>
      </c>
      <c r="E481" s="41">
        <v>131944.44444444441</v>
      </c>
      <c r="F481" s="41">
        <v>47229166.666666918</v>
      </c>
      <c r="G481" s="41">
        <v>131944.44444444441</v>
      </c>
      <c r="H481" s="41">
        <v>50000000</v>
      </c>
      <c r="I481" s="41">
        <v>0</v>
      </c>
      <c r="J481" s="41">
        <v>11000000.000000009</v>
      </c>
      <c r="K481" s="41">
        <v>111111.11111111109</v>
      </c>
      <c r="L481" s="41">
        <v>7750000.00000004</v>
      </c>
      <c r="M481" s="41">
        <v>27777.777777777781</v>
      </c>
      <c r="N481" s="41">
        <v>39962500.000000007</v>
      </c>
      <c r="O481" s="41">
        <v>79166.666666666672</v>
      </c>
      <c r="P481" s="41">
        <v>75000000</v>
      </c>
      <c r="Q481" s="41">
        <v>0</v>
      </c>
      <c r="R481" s="41">
        <v>27041666.666666601</v>
      </c>
      <c r="S481" s="41">
        <v>87962.962962962964</v>
      </c>
      <c r="T481" s="41">
        <v>18083333.33333334</v>
      </c>
      <c r="U481" s="41">
        <v>64814.814814814818</v>
      </c>
      <c r="V481" s="41">
        <v>326195833.33333367</v>
      </c>
      <c r="W481" s="41">
        <v>669907.40740740742</v>
      </c>
      <c r="X481" s="38">
        <f t="shared" si="42"/>
        <v>0.65239166666666737</v>
      </c>
      <c r="Y481" s="39">
        <f t="shared" si="43"/>
        <v>1.3398148148148147E-3</v>
      </c>
      <c r="Z481" s="39">
        <f t="shared" si="47"/>
        <v>2.0579233604878689E-3</v>
      </c>
      <c r="AA481" s="41">
        <f t="shared" si="44"/>
        <v>173804166.66666633</v>
      </c>
      <c r="AB481" s="39">
        <f t="shared" si="45"/>
        <v>3.8543805954445397E-3</v>
      </c>
      <c r="AC481" s="38">
        <f t="shared" si="46"/>
        <v>0.29857183140643878</v>
      </c>
      <c r="AD481" s="3"/>
    </row>
    <row r="482" spans="1:30" x14ac:dyDescent="0.25">
      <c r="A482" s="37">
        <v>46118</v>
      </c>
      <c r="B482" s="41">
        <v>10851851.851851869</v>
      </c>
      <c r="C482" s="41">
        <v>35185.185185185182</v>
      </c>
      <c r="D482" s="41">
        <v>39444444.4444445</v>
      </c>
      <c r="E482" s="41">
        <v>131944.44444444441</v>
      </c>
      <c r="F482" s="41">
        <v>47361111.111111373</v>
      </c>
      <c r="G482" s="41">
        <v>131944.44444444441</v>
      </c>
      <c r="H482" s="41">
        <v>50000000</v>
      </c>
      <c r="I482" s="41">
        <v>0</v>
      </c>
      <c r="J482" s="41">
        <v>11111111.111111119</v>
      </c>
      <c r="K482" s="41">
        <v>111111.11111111109</v>
      </c>
      <c r="L482" s="41">
        <v>7777777.777777818</v>
      </c>
      <c r="M482" s="41">
        <v>27777.777777777781</v>
      </c>
      <c r="N482" s="41">
        <v>40041666.666666672</v>
      </c>
      <c r="O482" s="41">
        <v>79166.666666666672</v>
      </c>
      <c r="P482" s="41">
        <v>75000000</v>
      </c>
      <c r="Q482" s="41">
        <v>0</v>
      </c>
      <c r="R482" s="41">
        <v>27129629.62962956</v>
      </c>
      <c r="S482" s="41">
        <v>87962.962962962964</v>
      </c>
      <c r="T482" s="41">
        <v>18148148.148148149</v>
      </c>
      <c r="U482" s="41">
        <v>64814.814814814818</v>
      </c>
      <c r="V482" s="41">
        <v>326865740.74074107</v>
      </c>
      <c r="W482" s="41">
        <v>669907.40740740742</v>
      </c>
      <c r="X482" s="38">
        <f t="shared" si="42"/>
        <v>0.65373148148148219</v>
      </c>
      <c r="Y482" s="39">
        <f t="shared" si="43"/>
        <v>1.3398148148148147E-3</v>
      </c>
      <c r="Z482" s="39">
        <f t="shared" si="47"/>
        <v>2.0536970094367853E-3</v>
      </c>
      <c r="AA482" s="41">
        <f t="shared" si="44"/>
        <v>173134259.25925893</v>
      </c>
      <c r="AB482" s="39">
        <f t="shared" si="45"/>
        <v>3.8692943284220735E-3</v>
      </c>
      <c r="AC482" s="38">
        <f t="shared" si="46"/>
        <v>0.29777769608293619</v>
      </c>
      <c r="AD482" s="3"/>
    </row>
    <row r="483" spans="1:30" x14ac:dyDescent="0.25">
      <c r="A483" s="37">
        <v>46119</v>
      </c>
      <c r="B483" s="41">
        <v>10887037.03703705</v>
      </c>
      <c r="C483" s="41">
        <v>35185.185185185182</v>
      </c>
      <c r="D483" s="41">
        <v>39576388.888888948</v>
      </c>
      <c r="E483" s="41">
        <v>131944.44444444441</v>
      </c>
      <c r="F483" s="41">
        <v>47493055.555555813</v>
      </c>
      <c r="G483" s="41">
        <v>131944.44444444441</v>
      </c>
      <c r="H483" s="41">
        <v>50000000</v>
      </c>
      <c r="I483" s="41">
        <v>0</v>
      </c>
      <c r="J483" s="41">
        <v>11222222.222222241</v>
      </c>
      <c r="K483" s="41">
        <v>111111.11111111109</v>
      </c>
      <c r="L483" s="41">
        <v>7805555.555555596</v>
      </c>
      <c r="M483" s="41">
        <v>27777.777777777781</v>
      </c>
      <c r="N483" s="41">
        <v>40120833.333333343</v>
      </c>
      <c r="O483" s="41">
        <v>79166.666666666672</v>
      </c>
      <c r="P483" s="41">
        <v>75000000</v>
      </c>
      <c r="Q483" s="41">
        <v>0</v>
      </c>
      <c r="R483" s="41">
        <v>27217592.59259253</v>
      </c>
      <c r="S483" s="41">
        <v>87962.962962962964</v>
      </c>
      <c r="T483" s="41">
        <v>18212962.96296297</v>
      </c>
      <c r="U483" s="41">
        <v>64814.814814814818</v>
      </c>
      <c r="V483" s="41">
        <v>327535648.14814848</v>
      </c>
      <c r="W483" s="41">
        <v>669907.40740740742</v>
      </c>
      <c r="X483" s="38">
        <f t="shared" si="42"/>
        <v>0.6550712962962969</v>
      </c>
      <c r="Y483" s="39">
        <f t="shared" si="43"/>
        <v>1.3398148148148147E-3</v>
      </c>
      <c r="Z483" s="39">
        <f t="shared" si="47"/>
        <v>2.049487982097076E-3</v>
      </c>
      <c r="AA483" s="41">
        <f t="shared" si="44"/>
        <v>172464351.85185152</v>
      </c>
      <c r="AB483" s="39">
        <f t="shared" si="45"/>
        <v>3.8843239209391174E-3</v>
      </c>
      <c r="AC483" s="38">
        <f t="shared" si="46"/>
        <v>0.29698777400330312</v>
      </c>
      <c r="AD483" s="3"/>
    </row>
    <row r="484" spans="1:30" x14ac:dyDescent="0.25">
      <c r="A484" s="37">
        <v>46120</v>
      </c>
      <c r="B484" s="41">
        <v>10922222.222222241</v>
      </c>
      <c r="C484" s="41">
        <v>35185.185185185182</v>
      </c>
      <c r="D484" s="41">
        <v>39708333.333333403</v>
      </c>
      <c r="E484" s="41">
        <v>131944.44444444441</v>
      </c>
      <c r="F484" s="41">
        <v>47625000.000000261</v>
      </c>
      <c r="G484" s="41">
        <v>131944.44444444441</v>
      </c>
      <c r="H484" s="41">
        <v>50000000</v>
      </c>
      <c r="I484" s="41">
        <v>0</v>
      </c>
      <c r="J484" s="41">
        <v>11333333.333333351</v>
      </c>
      <c r="K484" s="41">
        <v>111111.11111111109</v>
      </c>
      <c r="L484" s="41">
        <v>7833333.333333374</v>
      </c>
      <c r="M484" s="41">
        <v>27777.777777777781</v>
      </c>
      <c r="N484" s="41">
        <v>40200000</v>
      </c>
      <c r="O484" s="41">
        <v>79166.666666666672</v>
      </c>
      <c r="P484" s="41">
        <v>75000000</v>
      </c>
      <c r="Q484" s="41">
        <v>0</v>
      </c>
      <c r="R484" s="41">
        <v>27305555.555555489</v>
      </c>
      <c r="S484" s="41">
        <v>87962.962962962964</v>
      </c>
      <c r="T484" s="41">
        <v>18277777.77777778</v>
      </c>
      <c r="U484" s="41">
        <v>64814.814814814818</v>
      </c>
      <c r="V484" s="41">
        <v>328205555.55555582</v>
      </c>
      <c r="W484" s="41">
        <v>669907.40740740742</v>
      </c>
      <c r="X484" s="38">
        <f t="shared" si="42"/>
        <v>0.65641111111111161</v>
      </c>
      <c r="Y484" s="39">
        <f t="shared" si="43"/>
        <v>1.3398148148148147E-3</v>
      </c>
      <c r="Z484" s="39">
        <f t="shared" si="47"/>
        <v>2.0452961721723795E-3</v>
      </c>
      <c r="AA484" s="41">
        <f t="shared" si="44"/>
        <v>171794444.44444418</v>
      </c>
      <c r="AB484" s="39">
        <f t="shared" si="45"/>
        <v>3.8994707283683187E-3</v>
      </c>
      <c r="AC484" s="38">
        <f t="shared" si="46"/>
        <v>0.29620203172652843</v>
      </c>
      <c r="AD484" s="3"/>
    </row>
    <row r="485" spans="1:30" x14ac:dyDescent="0.25">
      <c r="A485" s="37">
        <v>46121</v>
      </c>
      <c r="B485" s="41">
        <v>10957407.40740742</v>
      </c>
      <c r="C485" s="41">
        <v>35185.185185185182</v>
      </c>
      <c r="D485" s="41">
        <v>39840277.777777843</v>
      </c>
      <c r="E485" s="41">
        <v>131944.44444444441</v>
      </c>
      <c r="F485" s="41">
        <v>47756944.444444709</v>
      </c>
      <c r="G485" s="41">
        <v>131944.44444444441</v>
      </c>
      <c r="H485" s="41">
        <v>50000000</v>
      </c>
      <c r="I485" s="41">
        <v>0</v>
      </c>
      <c r="J485" s="41">
        <v>11444444.444444461</v>
      </c>
      <c r="K485" s="41">
        <v>111111.11111111109</v>
      </c>
      <c r="L485" s="41">
        <v>7861111.111111152</v>
      </c>
      <c r="M485" s="41">
        <v>27777.777777777781</v>
      </c>
      <c r="N485" s="41">
        <v>40279166.666666657</v>
      </c>
      <c r="O485" s="41">
        <v>79166.666666666672</v>
      </c>
      <c r="P485" s="41">
        <v>75000000</v>
      </c>
      <c r="Q485" s="41">
        <v>0</v>
      </c>
      <c r="R485" s="41">
        <v>27393518.518518452</v>
      </c>
      <c r="S485" s="41">
        <v>87962.962962962964</v>
      </c>
      <c r="T485" s="41">
        <v>18342592.59259259</v>
      </c>
      <c r="U485" s="41">
        <v>64814.814814814818</v>
      </c>
      <c r="V485" s="41">
        <v>328875462.96296328</v>
      </c>
      <c r="W485" s="41">
        <v>669907.40740740742</v>
      </c>
      <c r="X485" s="38">
        <f t="shared" si="42"/>
        <v>0.65775092592592654</v>
      </c>
      <c r="Y485" s="39">
        <f t="shared" si="43"/>
        <v>1.3398148148148147E-3</v>
      </c>
      <c r="Z485" s="39">
        <f t="shared" si="47"/>
        <v>2.04112147423419E-3</v>
      </c>
      <c r="AA485" s="41">
        <f t="shared" si="44"/>
        <v>171124537.03703672</v>
      </c>
      <c r="AB485" s="39">
        <f t="shared" si="45"/>
        <v>3.9147361273060358E-3</v>
      </c>
      <c r="AC485" s="38">
        <f t="shared" si="46"/>
        <v>0.29542043616456704</v>
      </c>
      <c r="AD485" s="3"/>
    </row>
    <row r="486" spans="1:30" x14ac:dyDescent="0.25">
      <c r="A486" s="37">
        <v>46122</v>
      </c>
      <c r="B486" s="41">
        <v>10992592.59259261</v>
      </c>
      <c r="C486" s="41">
        <v>35185.185185185182</v>
      </c>
      <c r="D486" s="41">
        <v>39972222.222222291</v>
      </c>
      <c r="E486" s="41">
        <v>131944.44444444441</v>
      </c>
      <c r="F486" s="41">
        <v>47888888.888889156</v>
      </c>
      <c r="G486" s="41">
        <v>131944.44444444441</v>
      </c>
      <c r="H486" s="41">
        <v>50000000</v>
      </c>
      <c r="I486" s="41">
        <v>0</v>
      </c>
      <c r="J486" s="41">
        <v>11555555.555555571</v>
      </c>
      <c r="K486" s="41">
        <v>111111.11111111109</v>
      </c>
      <c r="L486" s="41">
        <v>7888888.88888893</v>
      </c>
      <c r="M486" s="41">
        <v>27777.777777777781</v>
      </c>
      <c r="N486" s="41">
        <v>40358333.333333328</v>
      </c>
      <c r="O486" s="41">
        <v>79166.666666666672</v>
      </c>
      <c r="P486" s="41">
        <v>75000000</v>
      </c>
      <c r="Q486" s="41">
        <v>0</v>
      </c>
      <c r="R486" s="41">
        <v>27481481.481481411</v>
      </c>
      <c r="S486" s="41">
        <v>87962.962962962964</v>
      </c>
      <c r="T486" s="41">
        <v>18407407.40740741</v>
      </c>
      <c r="U486" s="41">
        <v>64814.814814814818</v>
      </c>
      <c r="V486" s="41">
        <v>329545370.37037069</v>
      </c>
      <c r="W486" s="41">
        <v>669907.40740740742</v>
      </c>
      <c r="X486" s="38">
        <f t="shared" si="42"/>
        <v>0.65909074074074137</v>
      </c>
      <c r="Y486" s="39">
        <f t="shared" si="43"/>
        <v>1.3398148148148147E-3</v>
      </c>
      <c r="Z486" s="39">
        <f t="shared" si="47"/>
        <v>2.0369637837130156E-3</v>
      </c>
      <c r="AA486" s="41">
        <f t="shared" si="44"/>
        <v>170454629.62962931</v>
      </c>
      <c r="AB486" s="39">
        <f t="shared" si="45"/>
        <v>3.9301215159893823E-3</v>
      </c>
      <c r="AC486" s="38">
        <f t="shared" si="46"/>
        <v>0.29464295457769624</v>
      </c>
      <c r="AD486" s="3"/>
    </row>
    <row r="487" spans="1:30" x14ac:dyDescent="0.25">
      <c r="A487" s="37">
        <v>46123</v>
      </c>
      <c r="B487" s="41">
        <v>11027777.777777789</v>
      </c>
      <c r="C487" s="41">
        <v>35185.185185185182</v>
      </c>
      <c r="D487" s="41">
        <v>40104166.666666739</v>
      </c>
      <c r="E487" s="41">
        <v>131944.44444444441</v>
      </c>
      <c r="F487" s="41">
        <v>48020833.333333597</v>
      </c>
      <c r="G487" s="41">
        <v>131944.44444444441</v>
      </c>
      <c r="H487" s="41">
        <v>50000000</v>
      </c>
      <c r="I487" s="41">
        <v>0</v>
      </c>
      <c r="J487" s="41">
        <v>11666666.666666679</v>
      </c>
      <c r="K487" s="41">
        <v>111111.11111111109</v>
      </c>
      <c r="L487" s="41">
        <v>7916666.666666708</v>
      </c>
      <c r="M487" s="41">
        <v>27777.777777777781</v>
      </c>
      <c r="N487" s="41">
        <v>40437499.999999993</v>
      </c>
      <c r="O487" s="41">
        <v>79166.666666666672</v>
      </c>
      <c r="P487" s="41">
        <v>75000000</v>
      </c>
      <c r="Q487" s="41">
        <v>0</v>
      </c>
      <c r="R487" s="41">
        <v>27569444.444444381</v>
      </c>
      <c r="S487" s="41">
        <v>87962.962962962964</v>
      </c>
      <c r="T487" s="41">
        <v>18472222.22222222</v>
      </c>
      <c r="U487" s="41">
        <v>64814.814814814818</v>
      </c>
      <c r="V487" s="41">
        <v>330215277.77777809</v>
      </c>
      <c r="W487" s="41">
        <v>669907.40740740742</v>
      </c>
      <c r="X487" s="38">
        <f t="shared" si="42"/>
        <v>0.66043055555555619</v>
      </c>
      <c r="Y487" s="39">
        <f t="shared" si="43"/>
        <v>1.3398148148148147E-3</v>
      </c>
      <c r="Z487" s="39">
        <f t="shared" si="47"/>
        <v>2.0328229968896525E-3</v>
      </c>
      <c r="AA487" s="41">
        <f t="shared" si="44"/>
        <v>169784722.22222191</v>
      </c>
      <c r="AB487" s="39">
        <f t="shared" si="45"/>
        <v>3.9456283147231725E-3</v>
      </c>
      <c r="AC487" s="38">
        <f t="shared" si="46"/>
        <v>0.29386955456994329</v>
      </c>
      <c r="AD487" s="3"/>
    </row>
    <row r="488" spans="1:30" x14ac:dyDescent="0.25">
      <c r="A488" s="37">
        <v>46124</v>
      </c>
      <c r="B488" s="41">
        <v>11062962.962962979</v>
      </c>
      <c r="C488" s="41">
        <v>35185.185185185182</v>
      </c>
      <c r="D488" s="41">
        <v>40236111.111111186</v>
      </c>
      <c r="E488" s="41">
        <v>131944.44444444441</v>
      </c>
      <c r="F488" s="41">
        <v>48152777.777778052</v>
      </c>
      <c r="G488" s="41">
        <v>131944.44444444441</v>
      </c>
      <c r="H488" s="41">
        <v>50000000</v>
      </c>
      <c r="I488" s="41">
        <v>0</v>
      </c>
      <c r="J488" s="41">
        <v>11777777.7777778</v>
      </c>
      <c r="K488" s="41">
        <v>111111.11111111109</v>
      </c>
      <c r="L488" s="41">
        <v>7944444.4444444859</v>
      </c>
      <c r="M488" s="41">
        <v>27777.777777777781</v>
      </c>
      <c r="N488" s="41">
        <v>40516666.666666657</v>
      </c>
      <c r="O488" s="41">
        <v>79166.666666666672</v>
      </c>
      <c r="P488" s="41">
        <v>75000000</v>
      </c>
      <c r="Q488" s="41">
        <v>0</v>
      </c>
      <c r="R488" s="41">
        <v>27657407.40740734</v>
      </c>
      <c r="S488" s="41">
        <v>87962.962962962964</v>
      </c>
      <c r="T488" s="41">
        <v>18537037.03703703</v>
      </c>
      <c r="U488" s="41">
        <v>64814.814814814818</v>
      </c>
      <c r="V488" s="41">
        <v>330885185.18518549</v>
      </c>
      <c r="W488" s="41">
        <v>669907.40740740742</v>
      </c>
      <c r="X488" s="38">
        <f t="shared" si="42"/>
        <v>0.66177037037037101</v>
      </c>
      <c r="Y488" s="39">
        <f t="shared" si="43"/>
        <v>1.3398148148148147E-3</v>
      </c>
      <c r="Z488" s="39">
        <f t="shared" si="47"/>
        <v>2.0286990108865548E-3</v>
      </c>
      <c r="AA488" s="41">
        <f t="shared" si="44"/>
        <v>169114814.81481451</v>
      </c>
      <c r="AB488" s="39">
        <f t="shared" si="45"/>
        <v>3.9612579663169953E-3</v>
      </c>
      <c r="AC488" s="38">
        <f t="shared" si="46"/>
        <v>0.2931002040845862</v>
      </c>
      <c r="AD488" s="3"/>
    </row>
    <row r="489" spans="1:30" x14ac:dyDescent="0.25">
      <c r="A489" s="37">
        <v>46125</v>
      </c>
      <c r="B489" s="41">
        <v>11098148.14814816</v>
      </c>
      <c r="C489" s="41">
        <v>35185.185185185182</v>
      </c>
      <c r="D489" s="41">
        <v>40368055.555555627</v>
      </c>
      <c r="E489" s="41">
        <v>131944.44444444441</v>
      </c>
      <c r="F489" s="41">
        <v>48284722.2222225</v>
      </c>
      <c r="G489" s="41">
        <v>131944.44444444441</v>
      </c>
      <c r="H489" s="41">
        <v>50000000</v>
      </c>
      <c r="I489" s="41">
        <v>0</v>
      </c>
      <c r="J489" s="41">
        <v>11888888.88888891</v>
      </c>
      <c r="K489" s="41">
        <v>111111.11111111109</v>
      </c>
      <c r="L489" s="41">
        <v>7972222.2222222639</v>
      </c>
      <c r="M489" s="41">
        <v>27777.777777777781</v>
      </c>
      <c r="N489" s="41">
        <v>40595833.333333321</v>
      </c>
      <c r="O489" s="41">
        <v>79166.666666666672</v>
      </c>
      <c r="P489" s="41">
        <v>75000000</v>
      </c>
      <c r="Q489" s="41">
        <v>0</v>
      </c>
      <c r="R489" s="41">
        <v>27745370.370370299</v>
      </c>
      <c r="S489" s="41">
        <v>87962.962962962964</v>
      </c>
      <c r="T489" s="41">
        <v>18601851.851851851</v>
      </c>
      <c r="U489" s="41">
        <v>64814.814814814818</v>
      </c>
      <c r="V489" s="41">
        <v>331555092.5925929</v>
      </c>
      <c r="W489" s="41">
        <v>669907.40740740742</v>
      </c>
      <c r="X489" s="38">
        <f t="shared" si="42"/>
        <v>0.66311018518518583</v>
      </c>
      <c r="Y489" s="39">
        <f t="shared" si="43"/>
        <v>1.3398148148148147E-3</v>
      </c>
      <c r="Z489" s="39">
        <f t="shared" si="47"/>
        <v>2.0245917236593183E-3</v>
      </c>
      <c r="AA489" s="41">
        <f t="shared" si="44"/>
        <v>168444907.4074071</v>
      </c>
      <c r="AB489" s="39">
        <f t="shared" si="45"/>
        <v>3.9770119365327237E-3</v>
      </c>
      <c r="AC489" s="38">
        <f t="shared" si="46"/>
        <v>0.29233487139972431</v>
      </c>
      <c r="AD489" s="3"/>
    </row>
    <row r="490" spans="1:30" x14ac:dyDescent="0.25">
      <c r="A490" s="37">
        <v>46126</v>
      </c>
      <c r="B490" s="41">
        <v>11133333.333333351</v>
      </c>
      <c r="C490" s="41">
        <v>35185.185185185182</v>
      </c>
      <c r="D490" s="41">
        <v>40500000.000000082</v>
      </c>
      <c r="E490" s="41">
        <v>131944.44444444441</v>
      </c>
      <c r="F490" s="41">
        <v>48416666.666666947</v>
      </c>
      <c r="G490" s="41">
        <v>131944.44444444441</v>
      </c>
      <c r="H490" s="41">
        <v>50000000</v>
      </c>
      <c r="I490" s="41">
        <v>0</v>
      </c>
      <c r="J490" s="41">
        <v>12000000.00000002</v>
      </c>
      <c r="K490" s="41">
        <v>111111.11111111109</v>
      </c>
      <c r="L490" s="41">
        <v>8000000.0000000419</v>
      </c>
      <c r="M490" s="41">
        <v>27777.777777777781</v>
      </c>
      <c r="N490" s="41">
        <v>40674999.999999993</v>
      </c>
      <c r="O490" s="41">
        <v>79166.666666666672</v>
      </c>
      <c r="P490" s="41">
        <v>75000000</v>
      </c>
      <c r="Q490" s="41">
        <v>0</v>
      </c>
      <c r="R490" s="41">
        <v>27833333.333333269</v>
      </c>
      <c r="S490" s="41">
        <v>87962.962962962964</v>
      </c>
      <c r="T490" s="41">
        <v>18666666.66666666</v>
      </c>
      <c r="U490" s="41">
        <v>64814.814814814818</v>
      </c>
      <c r="V490" s="41">
        <v>332225000.00000042</v>
      </c>
      <c r="W490" s="41">
        <v>669907.40740740742</v>
      </c>
      <c r="X490" s="38">
        <f t="shared" si="42"/>
        <v>0.66445000000000087</v>
      </c>
      <c r="Y490" s="39">
        <f t="shared" si="43"/>
        <v>1.3398148148148147E-3</v>
      </c>
      <c r="Z490" s="39">
        <f t="shared" si="47"/>
        <v>2.0205010339882606E-3</v>
      </c>
      <c r="AA490" s="41">
        <f t="shared" si="44"/>
        <v>167774999.99999958</v>
      </c>
      <c r="AB490" s="39">
        <f t="shared" si="45"/>
        <v>3.9928917145427454E-3</v>
      </c>
      <c r="AC490" s="38">
        <f t="shared" si="46"/>
        <v>0.29157352512391826</v>
      </c>
      <c r="AD490" s="3"/>
    </row>
    <row r="491" spans="1:30" x14ac:dyDescent="0.25">
      <c r="A491" s="37">
        <v>46127</v>
      </c>
      <c r="B491" s="41">
        <v>11168518.51851853</v>
      </c>
      <c r="C491" s="41">
        <v>35185.185185185182</v>
      </c>
      <c r="D491" s="41">
        <v>40631944.44444453</v>
      </c>
      <c r="E491" s="41">
        <v>131944.44444444441</v>
      </c>
      <c r="F491" s="41">
        <v>48548611.111111403</v>
      </c>
      <c r="G491" s="41">
        <v>131944.44444444441</v>
      </c>
      <c r="H491" s="41">
        <v>50000000</v>
      </c>
      <c r="I491" s="41">
        <v>0</v>
      </c>
      <c r="J491" s="41">
        <v>12111111.111111131</v>
      </c>
      <c r="K491" s="41">
        <v>111111.11111111109</v>
      </c>
      <c r="L491" s="41">
        <v>8027777.7777778199</v>
      </c>
      <c r="M491" s="41">
        <v>27777.777777777781</v>
      </c>
      <c r="N491" s="41">
        <v>40754166.666666649</v>
      </c>
      <c r="O491" s="41">
        <v>79166.666666666672</v>
      </c>
      <c r="P491" s="41">
        <v>75000000</v>
      </c>
      <c r="Q491" s="41">
        <v>0</v>
      </c>
      <c r="R491" s="41">
        <v>27921296.296296231</v>
      </c>
      <c r="S491" s="41">
        <v>87962.962962962964</v>
      </c>
      <c r="T491" s="41">
        <v>18731481.48148147</v>
      </c>
      <c r="U491" s="41">
        <v>64814.814814814818</v>
      </c>
      <c r="V491" s="41">
        <v>332894907.40740782</v>
      </c>
      <c r="W491" s="41">
        <v>669907.40740740742</v>
      </c>
      <c r="X491" s="38">
        <f t="shared" si="42"/>
        <v>0.66578981481481569</v>
      </c>
      <c r="Y491" s="39">
        <f t="shared" si="43"/>
        <v>1.3398148148148147E-3</v>
      </c>
      <c r="Z491" s="39">
        <f t="shared" si="47"/>
        <v>2.016426841470108E-3</v>
      </c>
      <c r="AA491" s="41">
        <f t="shared" si="44"/>
        <v>167105092.59259218</v>
      </c>
      <c r="AB491" s="39">
        <f t="shared" si="45"/>
        <v>4.0088988133992068E-3</v>
      </c>
      <c r="AC491" s="38">
        <f t="shared" si="46"/>
        <v>0.29081613419189867</v>
      </c>
      <c r="AD491" s="3"/>
    </row>
    <row r="492" spans="1:30" x14ac:dyDescent="0.25">
      <c r="A492" s="37">
        <v>46128</v>
      </c>
      <c r="B492" s="41">
        <v>11203703.70370372</v>
      </c>
      <c r="C492" s="41">
        <v>35185.185185185182</v>
      </c>
      <c r="D492" s="41">
        <v>40763888.888888977</v>
      </c>
      <c r="E492" s="41">
        <v>131944.44444444441</v>
      </c>
      <c r="F492" s="41">
        <v>48680555.555555843</v>
      </c>
      <c r="G492" s="41">
        <v>131944.44444444441</v>
      </c>
      <c r="H492" s="41">
        <v>50000000</v>
      </c>
      <c r="I492" s="41">
        <v>0</v>
      </c>
      <c r="J492" s="41">
        <v>12222222.222222241</v>
      </c>
      <c r="K492" s="41">
        <v>111111.11111111109</v>
      </c>
      <c r="L492" s="41">
        <v>8055555.5555555979</v>
      </c>
      <c r="M492" s="41">
        <v>27777.777777777781</v>
      </c>
      <c r="N492" s="41">
        <v>40833333.333333313</v>
      </c>
      <c r="O492" s="41">
        <v>79166.666666666672</v>
      </c>
      <c r="P492" s="41">
        <v>75000000</v>
      </c>
      <c r="Q492" s="41">
        <v>0</v>
      </c>
      <c r="R492" s="41">
        <v>28009259.25925919</v>
      </c>
      <c r="S492" s="41">
        <v>87962.962962962964</v>
      </c>
      <c r="T492" s="41">
        <v>18796296.296296291</v>
      </c>
      <c r="U492" s="41">
        <v>64814.814814814818</v>
      </c>
      <c r="V492" s="41">
        <v>333564814.81481522</v>
      </c>
      <c r="W492" s="41">
        <v>669907.40740740742</v>
      </c>
      <c r="X492" s="38">
        <f t="shared" si="42"/>
        <v>0.66712962962963041</v>
      </c>
      <c r="Y492" s="39">
        <f t="shared" si="43"/>
        <v>1.3398148148148147E-3</v>
      </c>
      <c r="Z492" s="39">
        <f t="shared" si="47"/>
        <v>2.0123690465097821E-3</v>
      </c>
      <c r="AA492" s="41">
        <f t="shared" si="44"/>
        <v>166435185.18518478</v>
      </c>
      <c r="AB492" s="39">
        <f t="shared" si="45"/>
        <v>4.0250347705146133E-3</v>
      </c>
      <c r="AC492" s="38">
        <f t="shared" si="46"/>
        <v>0.29006266786033974</v>
      </c>
      <c r="AD492" s="3"/>
    </row>
    <row r="493" spans="1:30" x14ac:dyDescent="0.25">
      <c r="A493" s="37">
        <v>46129</v>
      </c>
      <c r="B493" s="41">
        <v>11238888.888888899</v>
      </c>
      <c r="C493" s="41">
        <v>35185.185185185182</v>
      </c>
      <c r="D493" s="41">
        <v>40895833.333333433</v>
      </c>
      <c r="E493" s="41">
        <v>131944.44444444441</v>
      </c>
      <c r="F493" s="41">
        <v>48812500.000000291</v>
      </c>
      <c r="G493" s="41">
        <v>131944.44444444441</v>
      </c>
      <c r="H493" s="41">
        <v>50000000</v>
      </c>
      <c r="I493" s="41">
        <v>0</v>
      </c>
      <c r="J493" s="41">
        <v>12333333.33333336</v>
      </c>
      <c r="K493" s="41">
        <v>111111.11111111109</v>
      </c>
      <c r="L493" s="41">
        <v>8083333.3333333759</v>
      </c>
      <c r="M493" s="41">
        <v>27777.777777777781</v>
      </c>
      <c r="N493" s="41">
        <v>40912499.999999978</v>
      </c>
      <c r="O493" s="41">
        <v>79166.666666666672</v>
      </c>
      <c r="P493" s="41">
        <v>75000000</v>
      </c>
      <c r="Q493" s="41">
        <v>0</v>
      </c>
      <c r="R493" s="41">
        <v>28097222.222222149</v>
      </c>
      <c r="S493" s="41">
        <v>87962.962962962964</v>
      </c>
      <c r="T493" s="41">
        <v>18861111.111111101</v>
      </c>
      <c r="U493" s="41">
        <v>64814.814814814818</v>
      </c>
      <c r="V493" s="41">
        <v>334234722.22222263</v>
      </c>
      <c r="W493" s="41">
        <v>669907.40740740742</v>
      </c>
      <c r="X493" s="38">
        <f t="shared" si="42"/>
        <v>0.66846944444444523</v>
      </c>
      <c r="Y493" s="39">
        <f t="shared" si="43"/>
        <v>1.3398148148148147E-3</v>
      </c>
      <c r="Z493" s="39">
        <f t="shared" si="47"/>
        <v>2.0083275503122808E-3</v>
      </c>
      <c r="AA493" s="41">
        <f t="shared" si="44"/>
        <v>165765277.77777737</v>
      </c>
      <c r="AB493" s="39">
        <f t="shared" si="45"/>
        <v>4.0413011481540539E-3</v>
      </c>
      <c r="AC493" s="38">
        <f t="shared" si="46"/>
        <v>0.28931309570370006</v>
      </c>
      <c r="AD493" s="3"/>
    </row>
    <row r="494" spans="1:30" x14ac:dyDescent="0.25">
      <c r="A494" s="37">
        <v>46130</v>
      </c>
      <c r="B494" s="41">
        <v>11274074.07407409</v>
      </c>
      <c r="C494" s="41">
        <v>35185.185185185182</v>
      </c>
      <c r="D494" s="41">
        <v>41027777.777777873</v>
      </c>
      <c r="E494" s="41">
        <v>131944.44444444441</v>
      </c>
      <c r="F494" s="41">
        <v>48944444.444444738</v>
      </c>
      <c r="G494" s="41">
        <v>131944.44444444441</v>
      </c>
      <c r="H494" s="41">
        <v>50000000</v>
      </c>
      <c r="I494" s="41">
        <v>0</v>
      </c>
      <c r="J494" s="41">
        <v>12444444.44444447</v>
      </c>
      <c r="K494" s="41">
        <v>111111.11111111109</v>
      </c>
      <c r="L494" s="41">
        <v>8111111.1111111538</v>
      </c>
      <c r="M494" s="41">
        <v>27777.777777777781</v>
      </c>
      <c r="N494" s="41">
        <v>40991666.666666642</v>
      </c>
      <c r="O494" s="41">
        <v>79166.666666666672</v>
      </c>
      <c r="P494" s="41">
        <v>75000000</v>
      </c>
      <c r="Q494" s="41">
        <v>0</v>
      </c>
      <c r="R494" s="41">
        <v>28185185.18518512</v>
      </c>
      <c r="S494" s="41">
        <v>87962.962962962964</v>
      </c>
      <c r="T494" s="41">
        <v>18925925.92592591</v>
      </c>
      <c r="U494" s="41">
        <v>64814.814814814818</v>
      </c>
      <c r="V494" s="41">
        <v>334904629.62963003</v>
      </c>
      <c r="W494" s="41">
        <v>669907.40740740742</v>
      </c>
      <c r="X494" s="38">
        <f t="shared" si="42"/>
        <v>0.66980925925926005</v>
      </c>
      <c r="Y494" s="39">
        <f t="shared" si="43"/>
        <v>1.3398148148148147E-3</v>
      </c>
      <c r="Z494" s="39">
        <f t="shared" si="47"/>
        <v>2.0043022548746629E-3</v>
      </c>
      <c r="AA494" s="41">
        <f t="shared" si="44"/>
        <v>165095370.37036997</v>
      </c>
      <c r="AB494" s="39">
        <f t="shared" si="45"/>
        <v>4.0576995339394279E-3</v>
      </c>
      <c r="AC494" s="38">
        <f t="shared" si="46"/>
        <v>0.28856738761012718</v>
      </c>
      <c r="AD494" s="3"/>
    </row>
    <row r="495" spans="1:30" x14ac:dyDescent="0.25">
      <c r="A495" s="37">
        <v>46131</v>
      </c>
      <c r="B495" s="41">
        <v>11309259.259259271</v>
      </c>
      <c r="C495" s="41">
        <v>35185.185185185182</v>
      </c>
      <c r="D495" s="41">
        <v>41159722.222222321</v>
      </c>
      <c r="E495" s="41">
        <v>131944.44444444441</v>
      </c>
      <c r="F495" s="41">
        <v>49076388.888889194</v>
      </c>
      <c r="G495" s="41">
        <v>131944.44444444441</v>
      </c>
      <c r="H495" s="41">
        <v>50000000</v>
      </c>
      <c r="I495" s="41">
        <v>0</v>
      </c>
      <c r="J495" s="41">
        <v>12555555.55555558</v>
      </c>
      <c r="K495" s="41">
        <v>111111.11111111109</v>
      </c>
      <c r="L495" s="41">
        <v>8138888.8888889318</v>
      </c>
      <c r="M495" s="41">
        <v>27777.777777777781</v>
      </c>
      <c r="N495" s="41">
        <v>41070833.333333313</v>
      </c>
      <c r="O495" s="41">
        <v>79166.666666666672</v>
      </c>
      <c r="P495" s="41">
        <v>75000000</v>
      </c>
      <c r="Q495" s="41">
        <v>0</v>
      </c>
      <c r="R495" s="41">
        <v>28273148.148148078</v>
      </c>
      <c r="S495" s="41">
        <v>87962.962962962964</v>
      </c>
      <c r="T495" s="41">
        <v>18990740.740740731</v>
      </c>
      <c r="U495" s="41">
        <v>64814.814814814818</v>
      </c>
      <c r="V495" s="41">
        <v>335574537.03703737</v>
      </c>
      <c r="W495" s="41">
        <v>669907.40740740742</v>
      </c>
      <c r="X495" s="38">
        <f t="shared" si="42"/>
        <v>0.67114907407407476</v>
      </c>
      <c r="Y495" s="39">
        <f t="shared" si="43"/>
        <v>1.3398148148148147E-3</v>
      </c>
      <c r="Z495" s="39">
        <f t="shared" si="47"/>
        <v>2.0002930629781255E-3</v>
      </c>
      <c r="AA495" s="41">
        <f t="shared" si="44"/>
        <v>164425462.96296263</v>
      </c>
      <c r="AB495" s="39">
        <f t="shared" si="45"/>
        <v>4.0742315413659878E-3</v>
      </c>
      <c r="AC495" s="38">
        <f t="shared" si="46"/>
        <v>0.28782551377742521</v>
      </c>
      <c r="AD495" s="3"/>
    </row>
    <row r="496" spans="1:30" x14ac:dyDescent="0.25">
      <c r="A496" s="37">
        <v>46132</v>
      </c>
      <c r="B496" s="41">
        <v>11344444.444444461</v>
      </c>
      <c r="C496" s="41">
        <v>35185.185185185182</v>
      </c>
      <c r="D496" s="41">
        <v>41291666.666666768</v>
      </c>
      <c r="E496" s="41">
        <v>131944.44444444441</v>
      </c>
      <c r="F496" s="41">
        <v>49208333.333333626</v>
      </c>
      <c r="G496" s="41">
        <v>131944.44444444441</v>
      </c>
      <c r="H496" s="41">
        <v>50000000</v>
      </c>
      <c r="I496" s="41">
        <v>0</v>
      </c>
      <c r="J496" s="41">
        <v>12666666.66666669</v>
      </c>
      <c r="K496" s="41">
        <v>111111.11111111109</v>
      </c>
      <c r="L496" s="41">
        <v>8166666.6666667098</v>
      </c>
      <c r="M496" s="41">
        <v>27777.777777777781</v>
      </c>
      <c r="N496" s="41">
        <v>41149999.99999997</v>
      </c>
      <c r="O496" s="41">
        <v>79166.666666666672</v>
      </c>
      <c r="P496" s="41">
        <v>75000000</v>
      </c>
      <c r="Q496" s="41">
        <v>0</v>
      </c>
      <c r="R496" s="41">
        <v>28361111.111111041</v>
      </c>
      <c r="S496" s="41">
        <v>87962.962962962964</v>
      </c>
      <c r="T496" s="41">
        <v>19055555.555555541</v>
      </c>
      <c r="U496" s="41">
        <v>64814.814814814818</v>
      </c>
      <c r="V496" s="41">
        <v>336244444.44444478</v>
      </c>
      <c r="W496" s="41">
        <v>669907.40740740742</v>
      </c>
      <c r="X496" s="38">
        <f t="shared" si="42"/>
        <v>0.67248888888888958</v>
      </c>
      <c r="Y496" s="39">
        <f t="shared" si="43"/>
        <v>1.3398148148148147E-3</v>
      </c>
      <c r="Z496" s="39">
        <f t="shared" si="47"/>
        <v>1.9962998781801783E-3</v>
      </c>
      <c r="AA496" s="41">
        <f t="shared" si="44"/>
        <v>163755555.55555522</v>
      </c>
      <c r="AB496" s="39">
        <f t="shared" si="45"/>
        <v>4.0908988103315778E-3</v>
      </c>
      <c r="AC496" s="38">
        <f t="shared" si="46"/>
        <v>0.28708744470908437</v>
      </c>
      <c r="AD496" s="3"/>
    </row>
    <row r="497" spans="1:30" x14ac:dyDescent="0.25">
      <c r="A497" s="37">
        <v>46133</v>
      </c>
      <c r="B497" s="41">
        <v>11379629.62962964</v>
      </c>
      <c r="C497" s="41">
        <v>35185.185185185182</v>
      </c>
      <c r="D497" s="41">
        <v>41423611.111111224</v>
      </c>
      <c r="E497" s="41">
        <v>131944.44444444441</v>
      </c>
      <c r="F497" s="41">
        <v>49340277.777778082</v>
      </c>
      <c r="G497" s="41">
        <v>131944.44444444441</v>
      </c>
      <c r="H497" s="41">
        <v>50000000</v>
      </c>
      <c r="I497" s="41">
        <v>0</v>
      </c>
      <c r="J497" s="41">
        <v>12777777.7777778</v>
      </c>
      <c r="K497" s="41">
        <v>111111.11111111109</v>
      </c>
      <c r="L497" s="41">
        <v>8194444.4444444878</v>
      </c>
      <c r="M497" s="41">
        <v>27777.777777777781</v>
      </c>
      <c r="N497" s="41">
        <v>41229166.666666627</v>
      </c>
      <c r="O497" s="41">
        <v>79166.666666666672</v>
      </c>
      <c r="P497" s="41">
        <v>75000000</v>
      </c>
      <c r="Q497" s="41">
        <v>0</v>
      </c>
      <c r="R497" s="41">
        <v>28449074.074074</v>
      </c>
      <c r="S497" s="41">
        <v>87962.962962962964</v>
      </c>
      <c r="T497" s="41">
        <v>19120370.370370351</v>
      </c>
      <c r="U497" s="41">
        <v>64814.814814814818</v>
      </c>
      <c r="V497" s="41">
        <v>336914351.85185218</v>
      </c>
      <c r="W497" s="41">
        <v>669907.40740740742</v>
      </c>
      <c r="X497" s="38">
        <f t="shared" si="42"/>
        <v>0.6738287037037044</v>
      </c>
      <c r="Y497" s="39">
        <f t="shared" si="43"/>
        <v>1.3398148148148147E-3</v>
      </c>
      <c r="Z497" s="39">
        <f t="shared" si="47"/>
        <v>1.9923226048069067E-3</v>
      </c>
      <c r="AA497" s="41">
        <f t="shared" si="44"/>
        <v>163085648.14814782</v>
      </c>
      <c r="AB497" s="39">
        <f t="shared" si="45"/>
        <v>4.107703007678886E-3</v>
      </c>
      <c r="AC497" s="38">
        <f t="shared" si="46"/>
        <v>0.28635315121037197</v>
      </c>
      <c r="AD497" s="3"/>
    </row>
    <row r="498" spans="1:30" x14ac:dyDescent="0.25">
      <c r="A498" s="37">
        <v>46134</v>
      </c>
      <c r="B498" s="41">
        <v>11414814.814814821</v>
      </c>
      <c r="C498" s="41">
        <v>35185.185185185182</v>
      </c>
      <c r="D498" s="41">
        <v>41555555.555555657</v>
      </c>
      <c r="E498" s="41">
        <v>131944.44444444441</v>
      </c>
      <c r="F498" s="41">
        <v>49472222.222222529</v>
      </c>
      <c r="G498" s="41">
        <v>131944.44444444441</v>
      </c>
      <c r="H498" s="41">
        <v>50000000</v>
      </c>
      <c r="I498" s="41">
        <v>0</v>
      </c>
      <c r="J498" s="41">
        <v>12888888.88888892</v>
      </c>
      <c r="K498" s="41">
        <v>111111.11111111109</v>
      </c>
      <c r="L498" s="41">
        <v>8222222.2222222658</v>
      </c>
      <c r="M498" s="41">
        <v>27777.777777777781</v>
      </c>
      <c r="N498" s="41">
        <v>41308333.333333299</v>
      </c>
      <c r="O498" s="41">
        <v>79166.666666666672</v>
      </c>
      <c r="P498" s="41">
        <v>75000000</v>
      </c>
      <c r="Q498" s="41">
        <v>0</v>
      </c>
      <c r="R498" s="41">
        <v>28537037.03703697</v>
      </c>
      <c r="S498" s="41">
        <v>87962.962962962964</v>
      </c>
      <c r="T498" s="41">
        <v>19185185.185185172</v>
      </c>
      <c r="U498" s="41">
        <v>64814.814814814818</v>
      </c>
      <c r="V498" s="41">
        <v>337584259.25925958</v>
      </c>
      <c r="W498" s="41">
        <v>669907.40740740742</v>
      </c>
      <c r="X498" s="38">
        <f t="shared" si="42"/>
        <v>0.67516851851851911</v>
      </c>
      <c r="Y498" s="39">
        <f t="shared" si="43"/>
        <v>1.3398148148148147E-3</v>
      </c>
      <c r="Z498" s="39">
        <f t="shared" si="47"/>
        <v>1.9883611479453354E-3</v>
      </c>
      <c r="AA498" s="41">
        <f t="shared" si="44"/>
        <v>162415740.74074042</v>
      </c>
      <c r="AB498" s="39">
        <f t="shared" si="45"/>
        <v>4.1246458277511494E-3</v>
      </c>
      <c r="AC498" s="38">
        <f t="shared" si="46"/>
        <v>0.28562260438448295</v>
      </c>
      <c r="AD498" s="3"/>
    </row>
    <row r="499" spans="1:30" x14ac:dyDescent="0.25">
      <c r="A499" s="37">
        <v>46135</v>
      </c>
      <c r="B499" s="41">
        <v>11450000.000000009</v>
      </c>
      <c r="C499" s="41">
        <v>35185.185185185182</v>
      </c>
      <c r="D499" s="41">
        <v>41687500.000000112</v>
      </c>
      <c r="E499" s="41">
        <v>131944.44444444441</v>
      </c>
      <c r="F499" s="41">
        <v>49604166.666666977</v>
      </c>
      <c r="G499" s="41">
        <v>131944.44444444441</v>
      </c>
      <c r="H499" s="41">
        <v>50000000</v>
      </c>
      <c r="I499" s="41">
        <v>0</v>
      </c>
      <c r="J499" s="41">
        <v>13000000.00000003</v>
      </c>
      <c r="K499" s="41">
        <v>111111.11111111109</v>
      </c>
      <c r="L499" s="41">
        <v>8250000.0000000438</v>
      </c>
      <c r="M499" s="41">
        <v>27777.777777777781</v>
      </c>
      <c r="N499" s="41">
        <v>41387499.999999963</v>
      </c>
      <c r="O499" s="41">
        <v>79166.666666666672</v>
      </c>
      <c r="P499" s="41">
        <v>75000000</v>
      </c>
      <c r="Q499" s="41">
        <v>0</v>
      </c>
      <c r="R499" s="41">
        <v>28624999.999999929</v>
      </c>
      <c r="S499" s="41">
        <v>87962.962962962964</v>
      </c>
      <c r="T499" s="41">
        <v>19249999.999999981</v>
      </c>
      <c r="U499" s="41">
        <v>64814.814814814818</v>
      </c>
      <c r="V499" s="41">
        <v>338254166.66666698</v>
      </c>
      <c r="W499" s="41">
        <v>669907.40740740742</v>
      </c>
      <c r="X499" s="38">
        <f t="shared" si="42"/>
        <v>0.67650833333333393</v>
      </c>
      <c r="Y499" s="39">
        <f t="shared" si="43"/>
        <v>1.3398148148148147E-3</v>
      </c>
      <c r="Z499" s="39">
        <f t="shared" si="47"/>
        <v>1.9844154134358756E-3</v>
      </c>
      <c r="AA499" s="41">
        <f t="shared" si="44"/>
        <v>161745833.33333302</v>
      </c>
      <c r="AB499" s="39">
        <f t="shared" si="45"/>
        <v>4.1417289929616451E-3</v>
      </c>
      <c r="AC499" s="38">
        <f t="shared" si="46"/>
        <v>0.28489577562874879</v>
      </c>
      <c r="AD499" s="3"/>
    </row>
    <row r="500" spans="1:30" x14ac:dyDescent="0.25">
      <c r="A500" s="37">
        <v>46136</v>
      </c>
      <c r="B500" s="41">
        <v>11485185.18518519</v>
      </c>
      <c r="C500" s="41">
        <v>35185.185185185182</v>
      </c>
      <c r="D500" s="41">
        <v>41819444.44444456</v>
      </c>
      <c r="E500" s="41">
        <v>131944.44444444441</v>
      </c>
      <c r="F500" s="41">
        <v>49736111.111111417</v>
      </c>
      <c r="G500" s="41">
        <v>131944.44444444441</v>
      </c>
      <c r="H500" s="41">
        <v>50000000</v>
      </c>
      <c r="I500" s="41">
        <v>0</v>
      </c>
      <c r="J500" s="41">
        <v>13111111.11111114</v>
      </c>
      <c r="K500" s="41">
        <v>111111.11111111109</v>
      </c>
      <c r="L500" s="41">
        <v>8277777.7777778218</v>
      </c>
      <c r="M500" s="41">
        <v>27777.777777777781</v>
      </c>
      <c r="N500" s="41">
        <v>41466666.666666627</v>
      </c>
      <c r="O500" s="41">
        <v>79166.666666666672</v>
      </c>
      <c r="P500" s="41">
        <v>75000000</v>
      </c>
      <c r="Q500" s="41">
        <v>0</v>
      </c>
      <c r="R500" s="41">
        <v>28712962.962962888</v>
      </c>
      <c r="S500" s="41">
        <v>87962.962962962964</v>
      </c>
      <c r="T500" s="41">
        <v>19314814.814814791</v>
      </c>
      <c r="U500" s="41">
        <v>64814.814814814818</v>
      </c>
      <c r="V500" s="41">
        <v>338924074.07407439</v>
      </c>
      <c r="W500" s="41">
        <v>669907.40740740742</v>
      </c>
      <c r="X500" s="38">
        <f t="shared" si="42"/>
        <v>0.67784814814814875</v>
      </c>
      <c r="Y500" s="39">
        <f t="shared" si="43"/>
        <v>1.3398148148148147E-3</v>
      </c>
      <c r="Z500" s="39">
        <f t="shared" si="47"/>
        <v>1.9804853078648653E-3</v>
      </c>
      <c r="AA500" s="41">
        <f t="shared" si="44"/>
        <v>161075925.92592561</v>
      </c>
      <c r="AB500" s="39">
        <f t="shared" si="45"/>
        <v>4.1589542543774005E-3</v>
      </c>
      <c r="AC500" s="38">
        <f t="shared" si="46"/>
        <v>0.28417263663090503</v>
      </c>
      <c r="AD500" s="3"/>
    </row>
    <row r="501" spans="1:30" x14ac:dyDescent="0.25">
      <c r="A501" s="37">
        <v>46137</v>
      </c>
      <c r="B501" s="41">
        <v>11520370.370370381</v>
      </c>
      <c r="C501" s="41">
        <v>35185.185185185182</v>
      </c>
      <c r="D501" s="41">
        <v>41951388.888889007</v>
      </c>
      <c r="E501" s="41">
        <v>131944.44444444441</v>
      </c>
      <c r="F501" s="41">
        <v>49868055.555555873</v>
      </c>
      <c r="G501" s="41">
        <v>131944.44444444441</v>
      </c>
      <c r="H501" s="41">
        <v>50000000</v>
      </c>
      <c r="I501" s="41">
        <v>0</v>
      </c>
      <c r="J501" s="41">
        <v>13222222.22222225</v>
      </c>
      <c r="K501" s="41">
        <v>111111.11111111109</v>
      </c>
      <c r="L501" s="41">
        <v>8305555.5555555997</v>
      </c>
      <c r="M501" s="41">
        <v>27777.777777777781</v>
      </c>
      <c r="N501" s="41">
        <v>41545833.333333291</v>
      </c>
      <c r="O501" s="41">
        <v>79166.666666666672</v>
      </c>
      <c r="P501" s="41">
        <v>75000000</v>
      </c>
      <c r="Q501" s="41">
        <v>0</v>
      </c>
      <c r="R501" s="41">
        <v>28800925.925925851</v>
      </c>
      <c r="S501" s="41">
        <v>87962.962962962964</v>
      </c>
      <c r="T501" s="41">
        <v>19379629.629629608</v>
      </c>
      <c r="U501" s="41">
        <v>64814.814814814818</v>
      </c>
      <c r="V501" s="41">
        <v>339593981.48148191</v>
      </c>
      <c r="W501" s="41">
        <v>669907.40740740742</v>
      </c>
      <c r="X501" s="38">
        <f t="shared" si="42"/>
        <v>0.6791879629629638</v>
      </c>
      <c r="Y501" s="39">
        <f t="shared" si="43"/>
        <v>1.3398148148148147E-3</v>
      </c>
      <c r="Z501" s="39">
        <f t="shared" si="47"/>
        <v>1.9765707385571971E-3</v>
      </c>
      <c r="AA501" s="41">
        <f t="shared" si="44"/>
        <v>160406018.51851809</v>
      </c>
      <c r="AB501" s="39">
        <f t="shared" si="45"/>
        <v>4.1763233923175387E-3</v>
      </c>
      <c r="AC501" s="38">
        <f t="shared" si="46"/>
        <v>0.28345315936541443</v>
      </c>
      <c r="AD501" s="3"/>
    </row>
    <row r="502" spans="1:30" x14ac:dyDescent="0.25">
      <c r="A502" s="37">
        <v>46138</v>
      </c>
      <c r="B502" s="41">
        <v>11555555.55555556</v>
      </c>
      <c r="C502" s="41">
        <v>35185.185185185182</v>
      </c>
      <c r="D502" s="41">
        <v>42083333.333333462</v>
      </c>
      <c r="E502" s="41">
        <v>131944.44444444441</v>
      </c>
      <c r="F502" s="41">
        <v>50000000</v>
      </c>
      <c r="G502" s="41">
        <v>131944.44444444441</v>
      </c>
      <c r="H502" s="41">
        <v>50000000</v>
      </c>
      <c r="I502" s="41">
        <v>0</v>
      </c>
      <c r="J502" s="41">
        <v>13333333.33333336</v>
      </c>
      <c r="K502" s="41">
        <v>111111.11111111109</v>
      </c>
      <c r="L502" s="41">
        <v>8333333.3333333777</v>
      </c>
      <c r="M502" s="41">
        <v>27777.777777777781</v>
      </c>
      <c r="N502" s="41">
        <v>41624999.999999963</v>
      </c>
      <c r="O502" s="41">
        <v>79166.666666666672</v>
      </c>
      <c r="P502" s="41">
        <v>75000000</v>
      </c>
      <c r="Q502" s="41">
        <v>0</v>
      </c>
      <c r="R502" s="41">
        <v>28888888.888888821</v>
      </c>
      <c r="S502" s="41">
        <v>87962.962962962964</v>
      </c>
      <c r="T502" s="41">
        <v>19444444.444444422</v>
      </c>
      <c r="U502" s="41">
        <v>64814.814814814818</v>
      </c>
      <c r="V502" s="41">
        <v>340263888.88888901</v>
      </c>
      <c r="W502" s="41">
        <v>669907.40740740742</v>
      </c>
      <c r="X502" s="38">
        <f t="shared" si="42"/>
        <v>0.68052777777777806</v>
      </c>
      <c r="Y502" s="39">
        <f t="shared" si="43"/>
        <v>1.3398148148148147E-3</v>
      </c>
      <c r="Z502" s="39">
        <f t="shared" si="47"/>
        <v>1.9726716135690337E-3</v>
      </c>
      <c r="AA502" s="41">
        <f t="shared" si="44"/>
        <v>159736111.11111099</v>
      </c>
      <c r="AB502" s="39">
        <f t="shared" si="45"/>
        <v>4.1938382169666435E-3</v>
      </c>
      <c r="AC502" s="38">
        <f t="shared" si="46"/>
        <v>0.28273731608984748</v>
      </c>
      <c r="AD502" s="3"/>
    </row>
    <row r="503" spans="1:30" x14ac:dyDescent="0.25">
      <c r="A503" s="37">
        <v>46139</v>
      </c>
      <c r="B503" s="41">
        <v>11590740.74074075</v>
      </c>
      <c r="C503" s="41">
        <v>35185.185185185182</v>
      </c>
      <c r="D503" s="41">
        <v>42215277.777777903</v>
      </c>
      <c r="E503" s="41">
        <v>131944.44444444441</v>
      </c>
      <c r="F503" s="41">
        <v>50000000</v>
      </c>
      <c r="G503" s="41">
        <v>0</v>
      </c>
      <c r="H503" s="41">
        <v>50000000</v>
      </c>
      <c r="I503" s="41">
        <v>0</v>
      </c>
      <c r="J503" s="41">
        <v>13444444.444444479</v>
      </c>
      <c r="K503" s="41">
        <v>111111.11111111109</v>
      </c>
      <c r="L503" s="41">
        <v>8361111.1111111557</v>
      </c>
      <c r="M503" s="41">
        <v>27777.777777777781</v>
      </c>
      <c r="N503" s="41">
        <v>41704166.666666619</v>
      </c>
      <c r="O503" s="41">
        <v>79166.666666666672</v>
      </c>
      <c r="P503" s="41">
        <v>75000000</v>
      </c>
      <c r="Q503" s="41">
        <v>0</v>
      </c>
      <c r="R503" s="41">
        <v>28976851.85185178</v>
      </c>
      <c r="S503" s="41">
        <v>87962.962962962964</v>
      </c>
      <c r="T503" s="41">
        <v>19509259.259259239</v>
      </c>
      <c r="U503" s="41">
        <v>64814.814814814818</v>
      </c>
      <c r="V503" s="41">
        <v>340801851.85185188</v>
      </c>
      <c r="W503" s="41">
        <v>537962.96296296292</v>
      </c>
      <c r="X503" s="38">
        <f t="shared" si="42"/>
        <v>0.68160370370370371</v>
      </c>
      <c r="Y503" s="39">
        <f t="shared" si="43"/>
        <v>1.0759259259259259E-3</v>
      </c>
      <c r="Z503" s="39">
        <f t="shared" si="47"/>
        <v>1.5810169122549213E-3</v>
      </c>
      <c r="AA503" s="41">
        <f t="shared" si="44"/>
        <v>159198148.14814812</v>
      </c>
      <c r="AB503" s="39">
        <f t="shared" si="45"/>
        <v>3.379203647911408E-3</v>
      </c>
      <c r="AC503" s="38">
        <f t="shared" si="46"/>
        <v>0.28216507702061544</v>
      </c>
      <c r="AD503" s="3"/>
    </row>
    <row r="504" spans="1:30" x14ac:dyDescent="0.25">
      <c r="A504" s="37">
        <v>46140</v>
      </c>
      <c r="B504" s="41">
        <v>11625925.925925929</v>
      </c>
      <c r="C504" s="41">
        <v>35185.185185185182</v>
      </c>
      <c r="D504" s="41">
        <v>42347222.222222351</v>
      </c>
      <c r="E504" s="41">
        <v>131944.44444444441</v>
      </c>
      <c r="F504" s="41">
        <v>50000000</v>
      </c>
      <c r="G504" s="41">
        <v>0</v>
      </c>
      <c r="H504" s="41">
        <v>50000000</v>
      </c>
      <c r="I504" s="41">
        <v>0</v>
      </c>
      <c r="J504" s="41">
        <v>13555555.555555589</v>
      </c>
      <c r="K504" s="41">
        <v>111111.11111111109</v>
      </c>
      <c r="L504" s="41">
        <v>8388888.8888889328</v>
      </c>
      <c r="M504" s="41">
        <v>27777.777777777781</v>
      </c>
      <c r="N504" s="41">
        <v>41783333.333333284</v>
      </c>
      <c r="O504" s="41">
        <v>79166.666666666672</v>
      </c>
      <c r="P504" s="41">
        <v>75000000</v>
      </c>
      <c r="Q504" s="41">
        <v>0</v>
      </c>
      <c r="R504" s="41">
        <v>29064814.814814739</v>
      </c>
      <c r="S504" s="41">
        <v>87962.962962962964</v>
      </c>
      <c r="T504" s="41">
        <v>19574074.074074049</v>
      </c>
      <c r="U504" s="41">
        <v>64814.814814814818</v>
      </c>
      <c r="V504" s="41">
        <v>341339814.81481493</v>
      </c>
      <c r="W504" s="41">
        <v>537962.96296296292</v>
      </c>
      <c r="X504" s="38">
        <f t="shared" si="42"/>
        <v>0.6826796296296298</v>
      </c>
      <c r="Y504" s="39">
        <f t="shared" si="43"/>
        <v>1.0759259259259259E-3</v>
      </c>
      <c r="Z504" s="39">
        <f t="shared" si="47"/>
        <v>1.5785212434726377E-3</v>
      </c>
      <c r="AA504" s="41">
        <f t="shared" si="44"/>
        <v>158660185.18518507</v>
      </c>
      <c r="AB504" s="39">
        <f t="shared" si="45"/>
        <v>3.3906613832264411E-3</v>
      </c>
      <c r="AC504" s="38">
        <f t="shared" si="46"/>
        <v>0.28159514961045995</v>
      </c>
      <c r="AD504" s="3"/>
    </row>
    <row r="505" spans="1:30" x14ac:dyDescent="0.25">
      <c r="A505" s="37">
        <v>46141</v>
      </c>
      <c r="B505" s="41">
        <v>11661111.111111119</v>
      </c>
      <c r="C505" s="41">
        <v>35185.185185185182</v>
      </c>
      <c r="D505" s="41">
        <v>42479166.666666798</v>
      </c>
      <c r="E505" s="41">
        <v>131944.44444444441</v>
      </c>
      <c r="F505" s="41">
        <v>50000000</v>
      </c>
      <c r="G505" s="41">
        <v>0</v>
      </c>
      <c r="H505" s="41">
        <v>50000000</v>
      </c>
      <c r="I505" s="41">
        <v>0</v>
      </c>
      <c r="J505" s="41">
        <v>13666666.6666667</v>
      </c>
      <c r="K505" s="41">
        <v>111111.11111111109</v>
      </c>
      <c r="L505" s="41">
        <v>8416666.6666667107</v>
      </c>
      <c r="M505" s="41">
        <v>27777.777777777781</v>
      </c>
      <c r="N505" s="41">
        <v>41862499.999999948</v>
      </c>
      <c r="O505" s="41">
        <v>79166.666666666672</v>
      </c>
      <c r="P505" s="41">
        <v>75000000</v>
      </c>
      <c r="Q505" s="41">
        <v>0</v>
      </c>
      <c r="R505" s="41">
        <v>29152777.777777709</v>
      </c>
      <c r="S505" s="41">
        <v>87962.962962962964</v>
      </c>
      <c r="T505" s="41">
        <v>19638888.888888858</v>
      </c>
      <c r="U505" s="41">
        <v>64814.814814814818</v>
      </c>
      <c r="V505" s="41">
        <v>341877777.77777791</v>
      </c>
      <c r="W505" s="41">
        <v>537962.96296296292</v>
      </c>
      <c r="X505" s="38">
        <f t="shared" si="42"/>
        <v>0.68375555555555578</v>
      </c>
      <c r="Y505" s="39">
        <f t="shared" si="43"/>
        <v>1.0759259259259259E-3</v>
      </c>
      <c r="Z505" s="39">
        <f t="shared" si="47"/>
        <v>1.5760334412052717E-3</v>
      </c>
      <c r="AA505" s="41">
        <f t="shared" si="44"/>
        <v>158122222.22222209</v>
      </c>
      <c r="AB505" s="39">
        <f t="shared" si="45"/>
        <v>3.4021970814887711E-3</v>
      </c>
      <c r="AC505" s="38">
        <f t="shared" si="46"/>
        <v>0.28102751988009478</v>
      </c>
      <c r="AD505" s="3"/>
    </row>
    <row r="506" spans="1:30" x14ac:dyDescent="0.25">
      <c r="A506" s="37">
        <v>46142</v>
      </c>
      <c r="B506" s="41">
        <v>11696296.2962963</v>
      </c>
      <c r="C506" s="41">
        <v>35185.185185185182</v>
      </c>
      <c r="D506" s="41">
        <v>42611111.111111253</v>
      </c>
      <c r="E506" s="41">
        <v>131944.44444444441</v>
      </c>
      <c r="F506" s="41">
        <v>50000000</v>
      </c>
      <c r="G506" s="41">
        <v>0</v>
      </c>
      <c r="H506" s="41">
        <v>50000000</v>
      </c>
      <c r="I506" s="41">
        <v>0</v>
      </c>
      <c r="J506" s="41">
        <v>13777777.77777781</v>
      </c>
      <c r="K506" s="41">
        <v>111111.11111111109</v>
      </c>
      <c r="L506" s="41">
        <v>8444444.4444444887</v>
      </c>
      <c r="M506" s="41">
        <v>27777.777777777781</v>
      </c>
      <c r="N506" s="41">
        <v>41941666.666666612</v>
      </c>
      <c r="O506" s="41">
        <v>79166.666666666672</v>
      </c>
      <c r="P506" s="41">
        <v>75000000</v>
      </c>
      <c r="Q506" s="41">
        <v>0</v>
      </c>
      <c r="R506" s="41">
        <v>29240740.740740672</v>
      </c>
      <c r="S506" s="41">
        <v>87962.962962962964</v>
      </c>
      <c r="T506" s="41">
        <v>19703703.703703679</v>
      </c>
      <c r="U506" s="41">
        <v>64814.814814814818</v>
      </c>
      <c r="V506" s="41">
        <v>342415740.74074078</v>
      </c>
      <c r="W506" s="41">
        <v>537962.96296296292</v>
      </c>
      <c r="X506" s="38">
        <f t="shared" si="42"/>
        <v>0.68483148148148154</v>
      </c>
      <c r="Y506" s="39">
        <f t="shared" si="43"/>
        <v>1.0759259259259259E-3</v>
      </c>
      <c r="Z506" s="39">
        <f t="shared" si="47"/>
        <v>1.5735534683176784E-3</v>
      </c>
      <c r="AA506" s="41">
        <f t="shared" si="44"/>
        <v>157584259.25925922</v>
      </c>
      <c r="AB506" s="39">
        <f t="shared" si="45"/>
        <v>3.4138115411508252E-3</v>
      </c>
      <c r="AC506" s="38">
        <f t="shared" si="46"/>
        <v>0.28046217396272272</v>
      </c>
      <c r="AD506" s="3"/>
    </row>
    <row r="507" spans="1:30" x14ac:dyDescent="0.25">
      <c r="A507" s="37">
        <v>46143</v>
      </c>
      <c r="B507" s="41">
        <v>11731481.481481491</v>
      </c>
      <c r="C507" s="41">
        <v>35185.185185185182</v>
      </c>
      <c r="D507" s="41">
        <v>42743055.555555686</v>
      </c>
      <c r="E507" s="41">
        <v>131944.44444444441</v>
      </c>
      <c r="F507" s="41">
        <v>50000000</v>
      </c>
      <c r="G507" s="41">
        <v>0</v>
      </c>
      <c r="H507" s="41">
        <v>50000000</v>
      </c>
      <c r="I507" s="41">
        <v>0</v>
      </c>
      <c r="J507" s="41">
        <v>13888888.88888892</v>
      </c>
      <c r="K507" s="41">
        <v>111111.11111111109</v>
      </c>
      <c r="L507" s="41">
        <v>8472222.2222222667</v>
      </c>
      <c r="M507" s="41">
        <v>27777.777777777781</v>
      </c>
      <c r="N507" s="41">
        <v>42020833.333333284</v>
      </c>
      <c r="O507" s="41">
        <v>79166.666666666672</v>
      </c>
      <c r="P507" s="41">
        <v>75000000</v>
      </c>
      <c r="Q507" s="41">
        <v>0</v>
      </c>
      <c r="R507" s="41">
        <v>29328703.703703631</v>
      </c>
      <c r="S507" s="41">
        <v>87962.962962962964</v>
      </c>
      <c r="T507" s="41">
        <v>19768518.518518489</v>
      </c>
      <c r="U507" s="41">
        <v>64814.814814814818</v>
      </c>
      <c r="V507" s="41">
        <v>342953703.70370382</v>
      </c>
      <c r="W507" s="41">
        <v>537962.96296296292</v>
      </c>
      <c r="X507" s="38">
        <f t="shared" si="42"/>
        <v>0.68590740740740763</v>
      </c>
      <c r="Y507" s="39">
        <f t="shared" si="43"/>
        <v>1.0759259259259259E-3</v>
      </c>
      <c r="Z507" s="39">
        <f t="shared" si="47"/>
        <v>1.5710812879080819E-3</v>
      </c>
      <c r="AA507" s="41">
        <f t="shared" si="44"/>
        <v>157046296.29629618</v>
      </c>
      <c r="AB507" s="39">
        <f t="shared" si="45"/>
        <v>3.4255055716054502E-3</v>
      </c>
      <c r="AC507" s="38">
        <f t="shared" si="46"/>
        <v>0.27989909810290597</v>
      </c>
      <c r="AD507" s="3"/>
    </row>
    <row r="508" spans="1:30" x14ac:dyDescent="0.25">
      <c r="A508" s="37">
        <v>46144</v>
      </c>
      <c r="B508" s="41">
        <v>11766666.66666667</v>
      </c>
      <c r="C508" s="41">
        <v>35185.185185185182</v>
      </c>
      <c r="D508" s="41">
        <v>42875000.000000142</v>
      </c>
      <c r="E508" s="41">
        <v>131944.44444444441</v>
      </c>
      <c r="F508" s="41">
        <v>50000000</v>
      </c>
      <c r="G508" s="41">
        <v>0</v>
      </c>
      <c r="H508" s="41">
        <v>50000000</v>
      </c>
      <c r="I508" s="41">
        <v>0</v>
      </c>
      <c r="J508" s="41">
        <v>14000000.000000039</v>
      </c>
      <c r="K508" s="41">
        <v>111111.11111111109</v>
      </c>
      <c r="L508" s="41">
        <v>8500000.0000000447</v>
      </c>
      <c r="M508" s="41">
        <v>27777.777777777781</v>
      </c>
      <c r="N508" s="41">
        <v>42099999.99999994</v>
      </c>
      <c r="O508" s="41">
        <v>79166.666666666672</v>
      </c>
      <c r="P508" s="41">
        <v>75000000</v>
      </c>
      <c r="Q508" s="41">
        <v>0</v>
      </c>
      <c r="R508" s="41">
        <v>29416666.66666659</v>
      </c>
      <c r="S508" s="41">
        <v>87962.962962962964</v>
      </c>
      <c r="T508" s="41">
        <v>19833333.333333299</v>
      </c>
      <c r="U508" s="41">
        <v>64814.814814814818</v>
      </c>
      <c r="V508" s="41">
        <v>343491666.66666669</v>
      </c>
      <c r="W508" s="41">
        <v>537962.96296296292</v>
      </c>
      <c r="X508" s="38">
        <f t="shared" si="42"/>
        <v>0.68698333333333339</v>
      </c>
      <c r="Y508" s="39">
        <f t="shared" si="43"/>
        <v>1.0759259259259259E-3</v>
      </c>
      <c r="Z508" s="39">
        <f t="shared" si="47"/>
        <v>1.5686168633062441E-3</v>
      </c>
      <c r="AA508" s="41">
        <f t="shared" si="44"/>
        <v>156508333.33333331</v>
      </c>
      <c r="AB508" s="39">
        <f t="shared" si="45"/>
        <v>3.4372799933739184E-3</v>
      </c>
      <c r="AC508" s="38">
        <f t="shared" si="46"/>
        <v>0.27933827865545174</v>
      </c>
      <c r="AD508" s="3"/>
    </row>
    <row r="509" spans="1:30" x14ac:dyDescent="0.25">
      <c r="A509" s="37">
        <v>46145</v>
      </c>
      <c r="B509" s="41">
        <v>11801851.85185186</v>
      </c>
      <c r="C509" s="41">
        <v>35185.185185185182</v>
      </c>
      <c r="D509" s="41">
        <v>43006944.444444589</v>
      </c>
      <c r="E509" s="41">
        <v>131944.44444444441</v>
      </c>
      <c r="F509" s="41">
        <v>50000000</v>
      </c>
      <c r="G509" s="41">
        <v>0</v>
      </c>
      <c r="H509" s="41">
        <v>50000000</v>
      </c>
      <c r="I509" s="41">
        <v>0</v>
      </c>
      <c r="J509" s="41">
        <v>14111111.111111149</v>
      </c>
      <c r="K509" s="41">
        <v>111111.11111111109</v>
      </c>
      <c r="L509" s="41">
        <v>8527777.7777778227</v>
      </c>
      <c r="M509" s="41">
        <v>27777.777777777781</v>
      </c>
      <c r="N509" s="41">
        <v>42179166.666666597</v>
      </c>
      <c r="O509" s="41">
        <v>79166.666666666672</v>
      </c>
      <c r="P509" s="41">
        <v>75000000</v>
      </c>
      <c r="Q509" s="41">
        <v>0</v>
      </c>
      <c r="R509" s="41">
        <v>29504629.62962956</v>
      </c>
      <c r="S509" s="41">
        <v>87962.962962962964</v>
      </c>
      <c r="T509" s="41">
        <v>19898148.148148119</v>
      </c>
      <c r="U509" s="41">
        <v>64814.814814814818</v>
      </c>
      <c r="V509" s="41">
        <v>344029629.62962967</v>
      </c>
      <c r="W509" s="41">
        <v>537962.96296296292</v>
      </c>
      <c r="X509" s="38">
        <f t="shared" si="42"/>
        <v>0.68805925925925937</v>
      </c>
      <c r="Y509" s="39">
        <f t="shared" si="43"/>
        <v>1.0759259259259259E-3</v>
      </c>
      <c r="Z509" s="39">
        <f t="shared" si="47"/>
        <v>1.566160158071655E-3</v>
      </c>
      <c r="AA509" s="41">
        <f t="shared" si="44"/>
        <v>155970370.37037033</v>
      </c>
      <c r="AB509" s="39">
        <f t="shared" si="45"/>
        <v>3.4491356382978732E-3</v>
      </c>
      <c r="AC509" s="38">
        <f t="shared" si="46"/>
        <v>0.27877970208430847</v>
      </c>
      <c r="AD509" s="3"/>
    </row>
    <row r="510" spans="1:30" x14ac:dyDescent="0.25">
      <c r="A510" s="37">
        <v>46146</v>
      </c>
      <c r="B510" s="41">
        <v>11837037.037037039</v>
      </c>
      <c r="C510" s="41">
        <v>35185.185185185182</v>
      </c>
      <c r="D510" s="41">
        <v>43138888.888889037</v>
      </c>
      <c r="E510" s="41">
        <v>131944.44444444441</v>
      </c>
      <c r="F510" s="41">
        <v>50000000</v>
      </c>
      <c r="G510" s="41">
        <v>0</v>
      </c>
      <c r="H510" s="41">
        <v>50000000</v>
      </c>
      <c r="I510" s="41">
        <v>0</v>
      </c>
      <c r="J510" s="41">
        <v>14222222.222222259</v>
      </c>
      <c r="K510" s="41">
        <v>111111.11111111109</v>
      </c>
      <c r="L510" s="41">
        <v>8555555.5555556007</v>
      </c>
      <c r="M510" s="41">
        <v>27777.777777777781</v>
      </c>
      <c r="N510" s="41">
        <v>42258333.333333269</v>
      </c>
      <c r="O510" s="41">
        <v>79166.666666666672</v>
      </c>
      <c r="P510" s="41">
        <v>75000000</v>
      </c>
      <c r="Q510" s="41">
        <v>0</v>
      </c>
      <c r="R510" s="41">
        <v>29592592.592592519</v>
      </c>
      <c r="S510" s="41">
        <v>87962.962962962964</v>
      </c>
      <c r="T510" s="41">
        <v>19962962.962962929</v>
      </c>
      <c r="U510" s="41">
        <v>64814.814814814818</v>
      </c>
      <c r="V510" s="41">
        <v>344567592.59259272</v>
      </c>
      <c r="W510" s="41">
        <v>537962.96296296292</v>
      </c>
      <c r="X510" s="38">
        <f t="shared" si="42"/>
        <v>0.68913518518518546</v>
      </c>
      <c r="Y510" s="39">
        <f t="shared" si="43"/>
        <v>1.0759259259259259E-3</v>
      </c>
      <c r="Z510" s="39">
        <f t="shared" si="47"/>
        <v>1.5637111359917317E-3</v>
      </c>
      <c r="AA510" s="41">
        <f t="shared" si="44"/>
        <v>155432407.40740728</v>
      </c>
      <c r="AB510" s="39">
        <f t="shared" si="45"/>
        <v>3.4610733497352094E-3</v>
      </c>
      <c r="AC510" s="38">
        <f t="shared" si="46"/>
        <v>0.27822335496147799</v>
      </c>
      <c r="AD510" s="3"/>
    </row>
    <row r="511" spans="1:30" x14ac:dyDescent="0.25">
      <c r="A511" s="37">
        <v>46147</v>
      </c>
      <c r="B511" s="41">
        <v>11872222.222222229</v>
      </c>
      <c r="C511" s="41">
        <v>35185.185185185182</v>
      </c>
      <c r="D511" s="41">
        <v>43270833.333333477</v>
      </c>
      <c r="E511" s="41">
        <v>131944.44444444441</v>
      </c>
      <c r="F511" s="41">
        <v>50000000</v>
      </c>
      <c r="G511" s="41">
        <v>0</v>
      </c>
      <c r="H511" s="41">
        <v>50000000</v>
      </c>
      <c r="I511" s="41">
        <v>0</v>
      </c>
      <c r="J511" s="41">
        <v>14333333.333333369</v>
      </c>
      <c r="K511" s="41">
        <v>111111.11111111109</v>
      </c>
      <c r="L511" s="41">
        <v>8583333.3333333787</v>
      </c>
      <c r="M511" s="41">
        <v>27777.777777777781</v>
      </c>
      <c r="N511" s="41">
        <v>42337499.999999933</v>
      </c>
      <c r="O511" s="41">
        <v>79166.666666666672</v>
      </c>
      <c r="P511" s="41">
        <v>75000000</v>
      </c>
      <c r="Q511" s="41">
        <v>0</v>
      </c>
      <c r="R511" s="41">
        <v>29680555.555555481</v>
      </c>
      <c r="S511" s="41">
        <v>87962.962962962964</v>
      </c>
      <c r="T511" s="41">
        <v>20027777.777777739</v>
      </c>
      <c r="U511" s="41">
        <v>64814.814814814818</v>
      </c>
      <c r="V511" s="41">
        <v>345105555.55555558</v>
      </c>
      <c r="W511" s="41">
        <v>537962.96296296292</v>
      </c>
      <c r="X511" s="38">
        <f t="shared" si="42"/>
        <v>0.69021111111111111</v>
      </c>
      <c r="Y511" s="39">
        <f t="shared" si="43"/>
        <v>1.0759259259259259E-3</v>
      </c>
      <c r="Z511" s="39">
        <f t="shared" si="47"/>
        <v>1.5612697610800433E-3</v>
      </c>
      <c r="AA511" s="41">
        <f t="shared" si="44"/>
        <v>154894444.44444442</v>
      </c>
      <c r="AB511" s="39">
        <f t="shared" si="45"/>
        <v>3.4730939827600639E-3</v>
      </c>
      <c r="AC511" s="38">
        <f t="shared" si="46"/>
        <v>0.27766922396593924</v>
      </c>
      <c r="AD511" s="3"/>
    </row>
    <row r="512" spans="1:30" x14ac:dyDescent="0.25">
      <c r="A512" s="37">
        <v>46148</v>
      </c>
      <c r="B512" s="41">
        <v>11907407.40740741</v>
      </c>
      <c r="C512" s="41">
        <v>35185.185185185182</v>
      </c>
      <c r="D512" s="41">
        <v>43402777.777777933</v>
      </c>
      <c r="E512" s="41">
        <v>131944.44444444441</v>
      </c>
      <c r="F512" s="41">
        <v>50000000</v>
      </c>
      <c r="G512" s="41">
        <v>0</v>
      </c>
      <c r="H512" s="41">
        <v>50000000</v>
      </c>
      <c r="I512" s="41">
        <v>0</v>
      </c>
      <c r="J512" s="41">
        <v>14444444.444444479</v>
      </c>
      <c r="K512" s="41">
        <v>111111.11111111109</v>
      </c>
      <c r="L512" s="41">
        <v>8611111.1111111566</v>
      </c>
      <c r="M512" s="41">
        <v>27777.777777777781</v>
      </c>
      <c r="N512" s="41">
        <v>42416666.666666597</v>
      </c>
      <c r="O512" s="41">
        <v>79166.666666666672</v>
      </c>
      <c r="P512" s="41">
        <v>75000000</v>
      </c>
      <c r="Q512" s="41">
        <v>0</v>
      </c>
      <c r="R512" s="41">
        <v>29768518.51851844</v>
      </c>
      <c r="S512" s="41">
        <v>87962.962962962964</v>
      </c>
      <c r="T512" s="41">
        <v>20092592.59259256</v>
      </c>
      <c r="U512" s="41">
        <v>64814.814814814818</v>
      </c>
      <c r="V512" s="41">
        <v>345643518.51851863</v>
      </c>
      <c r="W512" s="41">
        <v>537962.96296296292</v>
      </c>
      <c r="X512" s="38">
        <f t="shared" si="42"/>
        <v>0.6912870370370372</v>
      </c>
      <c r="Y512" s="39">
        <f t="shared" si="43"/>
        <v>1.0759259259259259E-3</v>
      </c>
      <c r="Z512" s="39">
        <f t="shared" si="47"/>
        <v>1.5588359975745474E-3</v>
      </c>
      <c r="AA512" s="41">
        <f t="shared" si="44"/>
        <v>154356481.48148137</v>
      </c>
      <c r="AB512" s="39">
        <f t="shared" si="45"/>
        <v>3.4851984043669979E-3</v>
      </c>
      <c r="AC512" s="38">
        <f t="shared" si="46"/>
        <v>0.27711729588258427</v>
      </c>
      <c r="AD512" s="3"/>
    </row>
    <row r="513" spans="1:30" x14ac:dyDescent="0.25">
      <c r="A513" s="37">
        <v>46149</v>
      </c>
      <c r="B513" s="41">
        <v>11942592.592592601</v>
      </c>
      <c r="C513" s="41">
        <v>35185.185185185182</v>
      </c>
      <c r="D513" s="41">
        <v>43534722.22222238</v>
      </c>
      <c r="E513" s="41">
        <v>131944.44444444441</v>
      </c>
      <c r="F513" s="41">
        <v>50000000</v>
      </c>
      <c r="G513" s="41">
        <v>0</v>
      </c>
      <c r="H513" s="41">
        <v>50000000</v>
      </c>
      <c r="I513" s="41">
        <v>0</v>
      </c>
      <c r="J513" s="41">
        <v>14555555.555555601</v>
      </c>
      <c r="K513" s="41">
        <v>111111.11111111109</v>
      </c>
      <c r="L513" s="41">
        <v>8638888.8888889346</v>
      </c>
      <c r="M513" s="41">
        <v>27777.777777777781</v>
      </c>
      <c r="N513" s="41">
        <v>42495833.333333261</v>
      </c>
      <c r="O513" s="41">
        <v>79166.666666666672</v>
      </c>
      <c r="P513" s="41">
        <v>75000000</v>
      </c>
      <c r="Q513" s="41">
        <v>0</v>
      </c>
      <c r="R513" s="41">
        <v>29856481.481481411</v>
      </c>
      <c r="S513" s="41">
        <v>87962.962962962964</v>
      </c>
      <c r="T513" s="41">
        <v>20157407.407407369</v>
      </c>
      <c r="U513" s="41">
        <v>64814.814814814818</v>
      </c>
      <c r="V513" s="41">
        <v>346181481.48148149</v>
      </c>
      <c r="W513" s="41">
        <v>537962.96296296292</v>
      </c>
      <c r="X513" s="38">
        <f t="shared" si="42"/>
        <v>0.69236296296296296</v>
      </c>
      <c r="Y513" s="39">
        <f t="shared" si="43"/>
        <v>1.0759259259259259E-3</v>
      </c>
      <c r="Z513" s="39">
        <f t="shared" si="47"/>
        <v>1.556409809935841E-3</v>
      </c>
      <c r="AA513" s="41">
        <f t="shared" si="44"/>
        <v>153818518.51851851</v>
      </c>
      <c r="AB513" s="39">
        <f t="shared" si="45"/>
        <v>3.4973874936794201E-3</v>
      </c>
      <c r="AC513" s="38">
        <f t="shared" si="46"/>
        <v>0.27656755760116908</v>
      </c>
      <c r="AD513" s="3"/>
    </row>
    <row r="514" spans="1:30" x14ac:dyDescent="0.25">
      <c r="A514" s="37">
        <v>46150</v>
      </c>
      <c r="B514" s="41">
        <v>11977777.77777778</v>
      </c>
      <c r="C514" s="41">
        <v>35185.185185185182</v>
      </c>
      <c r="D514" s="41">
        <v>43666666.666666828</v>
      </c>
      <c r="E514" s="41">
        <v>131944.44444444441</v>
      </c>
      <c r="F514" s="41">
        <v>50000000</v>
      </c>
      <c r="G514" s="41">
        <v>0</v>
      </c>
      <c r="H514" s="41">
        <v>50000000</v>
      </c>
      <c r="I514" s="41">
        <v>0</v>
      </c>
      <c r="J514" s="41">
        <v>14666666.666666711</v>
      </c>
      <c r="K514" s="41">
        <v>111111.11111111109</v>
      </c>
      <c r="L514" s="41">
        <v>8666666.6666667126</v>
      </c>
      <c r="M514" s="41">
        <v>27777.777777777781</v>
      </c>
      <c r="N514" s="41">
        <v>42574999.999999933</v>
      </c>
      <c r="O514" s="41">
        <v>79166.666666666672</v>
      </c>
      <c r="P514" s="41">
        <v>75000000</v>
      </c>
      <c r="Q514" s="41">
        <v>0</v>
      </c>
      <c r="R514" s="41">
        <v>29944444.44444437</v>
      </c>
      <c r="S514" s="41">
        <v>87962.962962962964</v>
      </c>
      <c r="T514" s="41">
        <v>20222222.222222179</v>
      </c>
      <c r="U514" s="41">
        <v>64814.814814814818</v>
      </c>
      <c r="V514" s="41">
        <v>346719444.44444448</v>
      </c>
      <c r="W514" s="41">
        <v>537962.96296296292</v>
      </c>
      <c r="X514" s="38">
        <f t="shared" si="42"/>
        <v>0.69343888888888894</v>
      </c>
      <c r="Y514" s="39">
        <f t="shared" si="43"/>
        <v>1.0759259259259259E-3</v>
      </c>
      <c r="Z514" s="39">
        <f t="shared" si="47"/>
        <v>1.5539911628454353E-3</v>
      </c>
      <c r="AA514" s="41">
        <f t="shared" si="44"/>
        <v>153280555.55555552</v>
      </c>
      <c r="AB514" s="39">
        <f t="shared" si="45"/>
        <v>3.50966214216246E-3</v>
      </c>
      <c r="AC514" s="38">
        <f t="shared" si="46"/>
        <v>0.27601999611527411</v>
      </c>
      <c r="AD514" s="3"/>
    </row>
    <row r="515" spans="1:30" x14ac:dyDescent="0.25">
      <c r="A515" s="37">
        <v>46151</v>
      </c>
      <c r="B515" s="41">
        <v>12012962.962962961</v>
      </c>
      <c r="C515" s="41">
        <v>35185.185185185182</v>
      </c>
      <c r="D515" s="41">
        <v>43798611.111111283</v>
      </c>
      <c r="E515" s="41">
        <v>131944.44444444441</v>
      </c>
      <c r="F515" s="41">
        <v>50000000</v>
      </c>
      <c r="G515" s="41">
        <v>0</v>
      </c>
      <c r="H515" s="41">
        <v>50000000</v>
      </c>
      <c r="I515" s="41">
        <v>0</v>
      </c>
      <c r="J515" s="41">
        <v>14777777.777777821</v>
      </c>
      <c r="K515" s="41">
        <v>111111.11111111109</v>
      </c>
      <c r="L515" s="41">
        <v>8694444.4444444906</v>
      </c>
      <c r="M515" s="41">
        <v>27777.777777777781</v>
      </c>
      <c r="N515" s="41">
        <v>42654166.66666659</v>
      </c>
      <c r="O515" s="41">
        <v>79166.666666666672</v>
      </c>
      <c r="P515" s="41">
        <v>75000000</v>
      </c>
      <c r="Q515" s="41">
        <v>0</v>
      </c>
      <c r="R515" s="41">
        <v>30032407.407407328</v>
      </c>
      <c r="S515" s="41">
        <v>87962.962962962964</v>
      </c>
      <c r="T515" s="41">
        <v>20287037.037037</v>
      </c>
      <c r="U515" s="41">
        <v>64814.814814814818</v>
      </c>
      <c r="V515" s="41">
        <v>347257407.40740752</v>
      </c>
      <c r="W515" s="41">
        <v>537962.96296296292</v>
      </c>
      <c r="X515" s="38">
        <f t="shared" si="42"/>
        <v>0.69451481481481503</v>
      </c>
      <c r="Y515" s="39">
        <f t="shared" si="43"/>
        <v>1.0759259259259259E-3</v>
      </c>
      <c r="Z515" s="39">
        <f t="shared" si="47"/>
        <v>1.5515800212040365E-3</v>
      </c>
      <c r="AA515" s="41">
        <f t="shared" si="44"/>
        <v>152742592.59259248</v>
      </c>
      <c r="AB515" s="39">
        <f t="shared" si="45"/>
        <v>3.5220232538402808E-3</v>
      </c>
      <c r="AC515" s="38">
        <f t="shared" si="46"/>
        <v>0.27547459852127942</v>
      </c>
      <c r="AD515" s="3"/>
    </row>
    <row r="516" spans="1:30" x14ac:dyDescent="0.25">
      <c r="A516" s="37">
        <v>46152</v>
      </c>
      <c r="B516" s="41">
        <v>12048148.148148149</v>
      </c>
      <c r="C516" s="41">
        <v>35185.185185185182</v>
      </c>
      <c r="D516" s="41">
        <v>43930555.555555724</v>
      </c>
      <c r="E516" s="41">
        <v>131944.44444444441</v>
      </c>
      <c r="F516" s="41">
        <v>50000000</v>
      </c>
      <c r="G516" s="41">
        <v>0</v>
      </c>
      <c r="H516" s="41">
        <v>50000000</v>
      </c>
      <c r="I516" s="41">
        <v>0</v>
      </c>
      <c r="J516" s="41">
        <v>14888888.888888931</v>
      </c>
      <c r="K516" s="41">
        <v>111111.11111111109</v>
      </c>
      <c r="L516" s="41">
        <v>8722222.2222222686</v>
      </c>
      <c r="M516" s="41">
        <v>27777.777777777781</v>
      </c>
      <c r="N516" s="41">
        <v>42733333.333333246</v>
      </c>
      <c r="O516" s="41">
        <v>79166.666666666672</v>
      </c>
      <c r="P516" s="41">
        <v>75000000</v>
      </c>
      <c r="Q516" s="41">
        <v>0</v>
      </c>
      <c r="R516" s="41">
        <v>30120370.370370291</v>
      </c>
      <c r="S516" s="41">
        <v>87962.962962962964</v>
      </c>
      <c r="T516" s="41">
        <v>20351851.85185181</v>
      </c>
      <c r="U516" s="41">
        <v>64814.814814814818</v>
      </c>
      <c r="V516" s="41">
        <v>347795370.37037039</v>
      </c>
      <c r="W516" s="41">
        <v>537962.96296296292</v>
      </c>
      <c r="X516" s="38">
        <f t="shared" si="42"/>
        <v>0.69559074074074079</v>
      </c>
      <c r="Y516" s="39">
        <f t="shared" si="43"/>
        <v>1.0759259259259259E-3</v>
      </c>
      <c r="Z516" s="39">
        <f t="shared" si="47"/>
        <v>1.5491763501298528E-3</v>
      </c>
      <c r="AA516" s="41">
        <f t="shared" si="44"/>
        <v>152204629.62962961</v>
      </c>
      <c r="AB516" s="39">
        <f t="shared" si="45"/>
        <v>3.5344717455180344E-3</v>
      </c>
      <c r="AC516" s="38">
        <f t="shared" si="46"/>
        <v>0.27493135201735119</v>
      </c>
      <c r="AD516" s="3"/>
    </row>
    <row r="517" spans="1:30" x14ac:dyDescent="0.25">
      <c r="A517" s="37">
        <v>46153</v>
      </c>
      <c r="B517" s="41">
        <v>12083333.33333333</v>
      </c>
      <c r="C517" s="41">
        <v>35185.185185185182</v>
      </c>
      <c r="D517" s="41">
        <v>44062500.000000171</v>
      </c>
      <c r="E517" s="41">
        <v>131944.44444444441</v>
      </c>
      <c r="F517" s="41">
        <v>50000000</v>
      </c>
      <c r="G517" s="41">
        <v>0</v>
      </c>
      <c r="H517" s="41">
        <v>50000000</v>
      </c>
      <c r="I517" s="41">
        <v>0</v>
      </c>
      <c r="J517" s="41">
        <v>15000000.000000039</v>
      </c>
      <c r="K517" s="41">
        <v>111111.11111111109</v>
      </c>
      <c r="L517" s="41">
        <v>8750000.0000000466</v>
      </c>
      <c r="M517" s="41">
        <v>27777.777777777781</v>
      </c>
      <c r="N517" s="41">
        <v>42812499.999999918</v>
      </c>
      <c r="O517" s="41">
        <v>79166.666666666672</v>
      </c>
      <c r="P517" s="41">
        <v>75000000</v>
      </c>
      <c r="Q517" s="41">
        <v>0</v>
      </c>
      <c r="R517" s="41">
        <v>30208333.333333261</v>
      </c>
      <c r="S517" s="41">
        <v>87962.962962962964</v>
      </c>
      <c r="T517" s="41">
        <v>20416666.666666619</v>
      </c>
      <c r="U517" s="41">
        <v>64814.814814814818</v>
      </c>
      <c r="V517" s="41">
        <v>348333333.33333337</v>
      </c>
      <c r="W517" s="41">
        <v>537962.96296296292</v>
      </c>
      <c r="X517" s="38">
        <f t="shared" si="42"/>
        <v>0.69666666666666677</v>
      </c>
      <c r="Y517" s="39">
        <f t="shared" si="43"/>
        <v>1.0759259259259259E-3</v>
      </c>
      <c r="Z517" s="39">
        <f t="shared" si="47"/>
        <v>1.5467801149569109E-3</v>
      </c>
      <c r="AA517" s="41">
        <f t="shared" si="44"/>
        <v>151666666.66666663</v>
      </c>
      <c r="AB517" s="39">
        <f t="shared" si="45"/>
        <v>3.5470085470085478E-3</v>
      </c>
      <c r="AC517" s="38">
        <f t="shared" si="46"/>
        <v>0.27439024390243899</v>
      </c>
      <c r="AD517" s="3"/>
    </row>
    <row r="518" spans="1:30" x14ac:dyDescent="0.25">
      <c r="A518" s="37">
        <v>46154</v>
      </c>
      <c r="B518" s="41">
        <v>12118518.518518521</v>
      </c>
      <c r="C518" s="41">
        <v>35185.185185185182</v>
      </c>
      <c r="D518" s="41">
        <v>44194444.444444619</v>
      </c>
      <c r="E518" s="41">
        <v>131944.44444444441</v>
      </c>
      <c r="F518" s="41">
        <v>50000000</v>
      </c>
      <c r="G518" s="41">
        <v>0</v>
      </c>
      <c r="H518" s="41">
        <v>50000000</v>
      </c>
      <c r="I518" s="41">
        <v>0</v>
      </c>
      <c r="J518" s="41">
        <v>15111111.111111149</v>
      </c>
      <c r="K518" s="41">
        <v>111111.11111111109</v>
      </c>
      <c r="L518" s="41">
        <v>8777777.7777778246</v>
      </c>
      <c r="M518" s="41">
        <v>27777.777777777781</v>
      </c>
      <c r="N518" s="41">
        <v>42891666.666666582</v>
      </c>
      <c r="O518" s="41">
        <v>79166.666666666672</v>
      </c>
      <c r="P518" s="41">
        <v>75000000</v>
      </c>
      <c r="Q518" s="41">
        <v>0</v>
      </c>
      <c r="R518" s="41">
        <v>30296296.29629622</v>
      </c>
      <c r="S518" s="41">
        <v>87962.962962962964</v>
      </c>
      <c r="T518" s="41">
        <v>20481481.48148144</v>
      </c>
      <c r="U518" s="41">
        <v>64814.814814814818</v>
      </c>
      <c r="V518" s="41">
        <v>348871296.29629642</v>
      </c>
      <c r="W518" s="41">
        <v>537962.96296296292</v>
      </c>
      <c r="X518" s="38">
        <f t="shared" si="42"/>
        <v>0.69774259259259286</v>
      </c>
      <c r="Y518" s="39">
        <f t="shared" si="43"/>
        <v>1.0759259259259259E-3</v>
      </c>
      <c r="Z518" s="39">
        <f t="shared" si="47"/>
        <v>1.5443912812333862E-3</v>
      </c>
      <c r="AA518" s="41">
        <f t="shared" si="44"/>
        <v>151128703.70370358</v>
      </c>
      <c r="AB518" s="39">
        <f t="shared" si="45"/>
        <v>3.5596346013638145E-3</v>
      </c>
      <c r="AC518" s="38">
        <f t="shared" si="46"/>
        <v>0.273851261575287</v>
      </c>
      <c r="AD518" s="3"/>
    </row>
    <row r="519" spans="1:30" x14ac:dyDescent="0.25">
      <c r="A519" s="37">
        <v>46155</v>
      </c>
      <c r="B519" s="41">
        <v>12153703.7037037</v>
      </c>
      <c r="C519" s="41">
        <v>35185.185185185182</v>
      </c>
      <c r="D519" s="41">
        <v>44326388.888889067</v>
      </c>
      <c r="E519" s="41">
        <v>131944.44444444441</v>
      </c>
      <c r="F519" s="41">
        <v>50000000</v>
      </c>
      <c r="G519" s="41">
        <v>0</v>
      </c>
      <c r="H519" s="41">
        <v>50000000</v>
      </c>
      <c r="I519" s="41">
        <v>0</v>
      </c>
      <c r="J519" s="41">
        <v>15222222.22222227</v>
      </c>
      <c r="K519" s="41">
        <v>111111.11111111109</v>
      </c>
      <c r="L519" s="41">
        <v>8805555.5555556025</v>
      </c>
      <c r="M519" s="41">
        <v>27777.777777777781</v>
      </c>
      <c r="N519" s="41">
        <v>42970833.333333246</v>
      </c>
      <c r="O519" s="41">
        <v>79166.666666666672</v>
      </c>
      <c r="P519" s="41">
        <v>75000000</v>
      </c>
      <c r="Q519" s="41">
        <v>0</v>
      </c>
      <c r="R519" s="41">
        <v>30384259.259259179</v>
      </c>
      <c r="S519" s="41">
        <v>87962.962962962964</v>
      </c>
      <c r="T519" s="41">
        <v>20546296.29629625</v>
      </c>
      <c r="U519" s="41">
        <v>64814.814814814818</v>
      </c>
      <c r="V519" s="41">
        <v>349409259.25925928</v>
      </c>
      <c r="W519" s="41">
        <v>537962.96296296292</v>
      </c>
      <c r="X519" s="38">
        <f t="shared" si="42"/>
        <v>0.69881851851851862</v>
      </c>
      <c r="Y519" s="39">
        <f t="shared" si="43"/>
        <v>1.0759259259259259E-3</v>
      </c>
      <c r="Z519" s="39">
        <f t="shared" si="47"/>
        <v>1.542009814719956E-3</v>
      </c>
      <c r="AA519" s="41">
        <f t="shared" si="44"/>
        <v>150590740.74074072</v>
      </c>
      <c r="AB519" s="39">
        <f t="shared" si="45"/>
        <v>3.5723508651114748E-3</v>
      </c>
      <c r="AC519" s="38">
        <f t="shared" si="46"/>
        <v>0.27331439253345569</v>
      </c>
      <c r="AD519" s="3"/>
    </row>
    <row r="520" spans="1:30" x14ac:dyDescent="0.25">
      <c r="A520" s="37">
        <v>46156</v>
      </c>
      <c r="B520" s="41">
        <v>12188888.88888889</v>
      </c>
      <c r="C520" s="41">
        <v>35185.185185185182</v>
      </c>
      <c r="D520" s="41">
        <v>44458333.333333507</v>
      </c>
      <c r="E520" s="41">
        <v>131944.44444444441</v>
      </c>
      <c r="F520" s="41">
        <v>50000000</v>
      </c>
      <c r="G520" s="41">
        <v>0</v>
      </c>
      <c r="H520" s="41">
        <v>50000000</v>
      </c>
      <c r="I520" s="41">
        <v>0</v>
      </c>
      <c r="J520" s="41">
        <v>15333333.333333381</v>
      </c>
      <c r="K520" s="41">
        <v>111111.11111111109</v>
      </c>
      <c r="L520" s="41">
        <v>8833333.3333333805</v>
      </c>
      <c r="M520" s="41">
        <v>27777.777777777781</v>
      </c>
      <c r="N520" s="41">
        <v>43049999.999999911</v>
      </c>
      <c r="O520" s="41">
        <v>79166.666666666672</v>
      </c>
      <c r="P520" s="41">
        <v>75000000</v>
      </c>
      <c r="Q520" s="41">
        <v>0</v>
      </c>
      <c r="R520" s="41">
        <v>30472222.222222149</v>
      </c>
      <c r="S520" s="41">
        <v>87962.962962962964</v>
      </c>
      <c r="T520" s="41">
        <v>20611111.11111106</v>
      </c>
      <c r="U520" s="41">
        <v>64814.814814814818</v>
      </c>
      <c r="V520" s="41">
        <v>349947222.22222233</v>
      </c>
      <c r="W520" s="41">
        <v>537962.96296296292</v>
      </c>
      <c r="X520" s="38">
        <f t="shared" si="42"/>
        <v>0.69989444444444471</v>
      </c>
      <c r="Y520" s="39">
        <f t="shared" si="43"/>
        <v>1.0759259259259259E-3</v>
      </c>
      <c r="Z520" s="39">
        <f t="shared" si="47"/>
        <v>1.5396356813881628E-3</v>
      </c>
      <c r="AA520" s="41">
        <f t="shared" si="44"/>
        <v>150052777.77777767</v>
      </c>
      <c r="AB520" s="39">
        <f t="shared" si="45"/>
        <v>3.5851583084963953E-3</v>
      </c>
      <c r="AC520" s="38">
        <f t="shared" si="46"/>
        <v>0.2727796243723542</v>
      </c>
      <c r="AD520" s="3"/>
    </row>
    <row r="521" spans="1:30" x14ac:dyDescent="0.25">
      <c r="A521" s="37">
        <v>46157</v>
      </c>
      <c r="B521" s="41">
        <v>12224074.074074071</v>
      </c>
      <c r="C521" s="41">
        <v>35185.185185185182</v>
      </c>
      <c r="D521" s="41">
        <v>44590277.777777962</v>
      </c>
      <c r="E521" s="41">
        <v>131944.44444444441</v>
      </c>
      <c r="F521" s="41">
        <v>50000000</v>
      </c>
      <c r="G521" s="41">
        <v>0</v>
      </c>
      <c r="H521" s="41">
        <v>50000000</v>
      </c>
      <c r="I521" s="41">
        <v>0</v>
      </c>
      <c r="J521" s="41">
        <v>15444444.444444491</v>
      </c>
      <c r="K521" s="41">
        <v>111111.11111111109</v>
      </c>
      <c r="L521" s="41">
        <v>8861111.1111111585</v>
      </c>
      <c r="M521" s="41">
        <v>27777.777777777781</v>
      </c>
      <c r="N521" s="41">
        <v>43129166.666666567</v>
      </c>
      <c r="O521" s="41">
        <v>79166.666666666672</v>
      </c>
      <c r="P521" s="41">
        <v>75000000</v>
      </c>
      <c r="Q521" s="41">
        <v>0</v>
      </c>
      <c r="R521" s="41">
        <v>30560185.185185108</v>
      </c>
      <c r="S521" s="41">
        <v>87962.962962962964</v>
      </c>
      <c r="T521" s="41">
        <v>20675925.925925881</v>
      </c>
      <c r="U521" s="41">
        <v>64814.814814814818</v>
      </c>
      <c r="V521" s="41">
        <v>350485185.18518531</v>
      </c>
      <c r="W521" s="41">
        <v>537962.96296296292</v>
      </c>
      <c r="X521" s="38">
        <f t="shared" si="42"/>
        <v>0.70097037037037058</v>
      </c>
      <c r="Y521" s="39">
        <f t="shared" si="43"/>
        <v>1.0759259259259259E-3</v>
      </c>
      <c r="Z521" s="39">
        <f t="shared" si="47"/>
        <v>1.5372688474187901E-3</v>
      </c>
      <c r="AA521" s="41">
        <f t="shared" si="44"/>
        <v>149514814.81481469</v>
      </c>
      <c r="AB521" s="39">
        <f t="shared" si="45"/>
        <v>3.5980579157274175E-3</v>
      </c>
      <c r="AC521" s="38">
        <f t="shared" si="46"/>
        <v>0.27224694478428618</v>
      </c>
      <c r="AD521" s="3"/>
    </row>
    <row r="522" spans="1:30" x14ac:dyDescent="0.25">
      <c r="A522" s="37">
        <v>46158</v>
      </c>
      <c r="B522" s="41">
        <v>12259259.259259259</v>
      </c>
      <c r="C522" s="41">
        <v>35185.185185185182</v>
      </c>
      <c r="D522" s="41">
        <v>44722222.22222241</v>
      </c>
      <c r="E522" s="41">
        <v>131944.44444444441</v>
      </c>
      <c r="F522" s="41">
        <v>50000000</v>
      </c>
      <c r="G522" s="41">
        <v>0</v>
      </c>
      <c r="H522" s="41">
        <v>50000000</v>
      </c>
      <c r="I522" s="41">
        <v>0</v>
      </c>
      <c r="J522" s="41">
        <v>15555555.555555601</v>
      </c>
      <c r="K522" s="41">
        <v>111111.11111111109</v>
      </c>
      <c r="L522" s="41">
        <v>8888888.8888889365</v>
      </c>
      <c r="M522" s="41">
        <v>27777.777777777781</v>
      </c>
      <c r="N522" s="41">
        <v>43208333.333333239</v>
      </c>
      <c r="O522" s="41">
        <v>79166.666666666672</v>
      </c>
      <c r="P522" s="41">
        <v>75000000</v>
      </c>
      <c r="Q522" s="41">
        <v>0</v>
      </c>
      <c r="R522" s="41">
        <v>30648148.148148071</v>
      </c>
      <c r="S522" s="41">
        <v>87962.962962962964</v>
      </c>
      <c r="T522" s="41">
        <v>20740740.74074069</v>
      </c>
      <c r="U522" s="41">
        <v>64814.814814814818</v>
      </c>
      <c r="V522" s="41">
        <v>351023148.14814818</v>
      </c>
      <c r="W522" s="41">
        <v>537962.96296296292</v>
      </c>
      <c r="X522" s="38">
        <f t="shared" si="42"/>
        <v>0.70204629629629633</v>
      </c>
      <c r="Y522" s="39">
        <f t="shared" si="43"/>
        <v>1.0759259259259259E-3</v>
      </c>
      <c r="Z522" s="39">
        <f t="shared" si="47"/>
        <v>1.5349092792002613E-3</v>
      </c>
      <c r="AA522" s="41">
        <f t="shared" si="44"/>
        <v>148976851.85185182</v>
      </c>
      <c r="AB522" s="39">
        <f t="shared" si="45"/>
        <v>3.6110506852294979E-3</v>
      </c>
      <c r="AC522" s="38">
        <f t="shared" si="46"/>
        <v>0.27171634155750485</v>
      </c>
      <c r="AD522" s="3"/>
    </row>
    <row r="523" spans="1:30" x14ac:dyDescent="0.25">
      <c r="A523" s="37">
        <v>46159</v>
      </c>
      <c r="B523" s="41">
        <v>12294444.44444444</v>
      </c>
      <c r="C523" s="41">
        <v>35185.185185185182</v>
      </c>
      <c r="D523" s="41">
        <v>44854166.666666858</v>
      </c>
      <c r="E523" s="41">
        <v>131944.44444444441</v>
      </c>
      <c r="F523" s="41">
        <v>50000000</v>
      </c>
      <c r="G523" s="41">
        <v>0</v>
      </c>
      <c r="H523" s="41">
        <v>50000000</v>
      </c>
      <c r="I523" s="41">
        <v>0</v>
      </c>
      <c r="J523" s="41">
        <v>15666666.666666711</v>
      </c>
      <c r="K523" s="41">
        <v>111111.11111111109</v>
      </c>
      <c r="L523" s="41">
        <v>8916666.6666667145</v>
      </c>
      <c r="M523" s="41">
        <v>27777.777777777781</v>
      </c>
      <c r="N523" s="41">
        <v>43287499.999999903</v>
      </c>
      <c r="O523" s="41">
        <v>79166.666666666672</v>
      </c>
      <c r="P523" s="41">
        <v>75000000</v>
      </c>
      <c r="Q523" s="41">
        <v>0</v>
      </c>
      <c r="R523" s="41">
        <v>30736111.11111103</v>
      </c>
      <c r="S523" s="41">
        <v>87962.962962962964</v>
      </c>
      <c r="T523" s="41">
        <v>20805555.5555555</v>
      </c>
      <c r="U523" s="41">
        <v>64814.814814814818</v>
      </c>
      <c r="V523" s="41">
        <v>351561111.11111122</v>
      </c>
      <c r="W523" s="41">
        <v>537962.96296296292</v>
      </c>
      <c r="X523" s="38">
        <f t="shared" si="42"/>
        <v>0.70312222222222243</v>
      </c>
      <c r="Y523" s="39">
        <f t="shared" si="43"/>
        <v>1.0759259259259259E-3</v>
      </c>
      <c r="Z523" s="39">
        <f t="shared" si="47"/>
        <v>1.5325569433270463E-3</v>
      </c>
      <c r="AA523" s="41">
        <f t="shared" si="44"/>
        <v>148438888.88888878</v>
      </c>
      <c r="AB523" s="39">
        <f t="shared" si="45"/>
        <v>3.6241376299013211E-3</v>
      </c>
      <c r="AC523" s="38">
        <f t="shared" si="46"/>
        <v>0.27118780257527964</v>
      </c>
      <c r="AD523" s="3"/>
    </row>
    <row r="524" spans="1:30" x14ac:dyDescent="0.25">
      <c r="A524" s="37">
        <v>46160</v>
      </c>
      <c r="B524" s="41">
        <v>12329629.629629631</v>
      </c>
      <c r="C524" s="41">
        <v>35185.185185185182</v>
      </c>
      <c r="D524" s="41">
        <v>44986111.111111313</v>
      </c>
      <c r="E524" s="41">
        <v>131944.44444444441</v>
      </c>
      <c r="F524" s="41">
        <v>50000000</v>
      </c>
      <c r="G524" s="41">
        <v>0</v>
      </c>
      <c r="H524" s="41">
        <v>50000000</v>
      </c>
      <c r="I524" s="41">
        <v>0</v>
      </c>
      <c r="J524" s="41">
        <v>15777777.77777783</v>
      </c>
      <c r="K524" s="41">
        <v>111111.11111111109</v>
      </c>
      <c r="L524" s="41">
        <v>8944444.4444444925</v>
      </c>
      <c r="M524" s="41">
        <v>27777.777777777781</v>
      </c>
      <c r="N524" s="41">
        <v>43366666.666666567</v>
      </c>
      <c r="O524" s="41">
        <v>79166.666666666672</v>
      </c>
      <c r="P524" s="41">
        <v>75000000</v>
      </c>
      <c r="Q524" s="41">
        <v>0</v>
      </c>
      <c r="R524" s="41">
        <v>30824074.074074</v>
      </c>
      <c r="S524" s="41">
        <v>87962.962962962964</v>
      </c>
      <c r="T524" s="41">
        <v>20870370.370370321</v>
      </c>
      <c r="U524" s="41">
        <v>64814.814814814818</v>
      </c>
      <c r="V524" s="41">
        <v>352099074.07407409</v>
      </c>
      <c r="W524" s="41">
        <v>537962.96296296292</v>
      </c>
      <c r="X524" s="38">
        <f t="shared" si="42"/>
        <v>0.70419814814814818</v>
      </c>
      <c r="Y524" s="39">
        <f t="shared" si="43"/>
        <v>1.0759259259259259E-3</v>
      </c>
      <c r="Z524" s="39">
        <f t="shared" si="47"/>
        <v>1.5302118065980831E-3</v>
      </c>
      <c r="AA524" s="41">
        <f t="shared" si="44"/>
        <v>147900925.92592591</v>
      </c>
      <c r="AB524" s="39">
        <f t="shared" si="45"/>
        <v>3.6373197773785005E-3</v>
      </c>
      <c r="AC524" s="38">
        <f t="shared" si="46"/>
        <v>0.27066131581497455</v>
      </c>
      <c r="AD524" s="3"/>
    </row>
    <row r="525" spans="1:30" x14ac:dyDescent="0.25">
      <c r="A525" s="37">
        <v>46161</v>
      </c>
      <c r="B525" s="41">
        <v>12364814.81481481</v>
      </c>
      <c r="C525" s="41">
        <v>35185.185185185182</v>
      </c>
      <c r="D525" s="41">
        <v>45118055.555555753</v>
      </c>
      <c r="E525" s="41">
        <v>131944.44444444441</v>
      </c>
      <c r="F525" s="41">
        <v>50000000</v>
      </c>
      <c r="G525" s="41">
        <v>0</v>
      </c>
      <c r="H525" s="41">
        <v>50000000</v>
      </c>
      <c r="I525" s="41">
        <v>0</v>
      </c>
      <c r="J525" s="41">
        <v>15888888.88888894</v>
      </c>
      <c r="K525" s="41">
        <v>111111.11111111109</v>
      </c>
      <c r="L525" s="41">
        <v>8972222.2222222704</v>
      </c>
      <c r="M525" s="41">
        <v>27777.777777777781</v>
      </c>
      <c r="N525" s="41">
        <v>43445833.333333232</v>
      </c>
      <c r="O525" s="41">
        <v>79166.666666666672</v>
      </c>
      <c r="P525" s="41">
        <v>75000000</v>
      </c>
      <c r="Q525" s="41">
        <v>0</v>
      </c>
      <c r="R525" s="41">
        <v>30912037.037036959</v>
      </c>
      <c r="S525" s="41">
        <v>87962.962962962964</v>
      </c>
      <c r="T525" s="41">
        <v>20935185.185185131</v>
      </c>
      <c r="U525" s="41">
        <v>64814.814814814818</v>
      </c>
      <c r="V525" s="41">
        <v>352637037.03703707</v>
      </c>
      <c r="W525" s="41">
        <v>537962.96296296292</v>
      </c>
      <c r="X525" s="38">
        <f t="shared" si="42"/>
        <v>0.70527407407407416</v>
      </c>
      <c r="Y525" s="39">
        <f t="shared" si="43"/>
        <v>1.0759259259259259E-3</v>
      </c>
      <c r="Z525" s="39">
        <f t="shared" si="47"/>
        <v>1.5278738360152207E-3</v>
      </c>
      <c r="AA525" s="41">
        <f t="shared" si="44"/>
        <v>147362962.96296293</v>
      </c>
      <c r="AB525" s="39">
        <f t="shared" si="45"/>
        <v>3.6505981703026046E-3</v>
      </c>
      <c r="AC525" s="38">
        <f t="shared" si="46"/>
        <v>0.27013686934713582</v>
      </c>
      <c r="AD525" s="3"/>
    </row>
    <row r="526" spans="1:30" x14ac:dyDescent="0.25">
      <c r="A526" s="37">
        <v>46162</v>
      </c>
      <c r="B526" s="41">
        <v>12400000</v>
      </c>
      <c r="C526" s="41">
        <v>35185.185185185182</v>
      </c>
      <c r="D526" s="41">
        <v>45250000.000000201</v>
      </c>
      <c r="E526" s="41">
        <v>131944.44444444441</v>
      </c>
      <c r="F526" s="41">
        <v>50000000</v>
      </c>
      <c r="G526" s="41">
        <v>0</v>
      </c>
      <c r="H526" s="41">
        <v>50000000</v>
      </c>
      <c r="I526" s="41">
        <v>0</v>
      </c>
      <c r="J526" s="41">
        <v>16000000.00000005</v>
      </c>
      <c r="K526" s="41">
        <v>111111.11111111109</v>
      </c>
      <c r="L526" s="41">
        <v>9000000.0000000484</v>
      </c>
      <c r="M526" s="41">
        <v>27777.777777777781</v>
      </c>
      <c r="N526" s="41">
        <v>43524999.999999903</v>
      </c>
      <c r="O526" s="41">
        <v>79166.666666666672</v>
      </c>
      <c r="P526" s="41">
        <v>75000000</v>
      </c>
      <c r="Q526" s="41">
        <v>0</v>
      </c>
      <c r="R526" s="41">
        <v>30999999.999999922</v>
      </c>
      <c r="S526" s="41">
        <v>87962.962962962964</v>
      </c>
      <c r="T526" s="41">
        <v>20999999.99999994</v>
      </c>
      <c r="U526" s="41">
        <v>64814.814814814818</v>
      </c>
      <c r="V526" s="41">
        <v>353175000.00000012</v>
      </c>
      <c r="W526" s="41">
        <v>537962.96296296292</v>
      </c>
      <c r="X526" s="38">
        <f t="shared" si="42"/>
        <v>0.70635000000000026</v>
      </c>
      <c r="Y526" s="39">
        <f t="shared" si="43"/>
        <v>1.0759259259259259E-3</v>
      </c>
      <c r="Z526" s="39">
        <f t="shared" si="47"/>
        <v>1.5255429987816658E-3</v>
      </c>
      <c r="AA526" s="41">
        <f t="shared" si="44"/>
        <v>146824999.99999988</v>
      </c>
      <c r="AB526" s="39">
        <f t="shared" si="45"/>
        <v>3.6639738665960385E-3</v>
      </c>
      <c r="AC526" s="38">
        <f t="shared" si="46"/>
        <v>0.26961445133459144</v>
      </c>
      <c r="AD526" s="3"/>
    </row>
    <row r="527" spans="1:30" x14ac:dyDescent="0.25">
      <c r="A527" s="37">
        <v>46163</v>
      </c>
      <c r="B527" s="41">
        <v>12435185.185185179</v>
      </c>
      <c r="C527" s="41">
        <v>35185.185185185182</v>
      </c>
      <c r="D527" s="41">
        <v>45381944.444444649</v>
      </c>
      <c r="E527" s="41">
        <v>131944.44444444441</v>
      </c>
      <c r="F527" s="41">
        <v>50000000</v>
      </c>
      <c r="G527" s="41">
        <v>0</v>
      </c>
      <c r="H527" s="41">
        <v>50000000</v>
      </c>
      <c r="I527" s="41">
        <v>0</v>
      </c>
      <c r="J527" s="41">
        <v>16111111.11111116</v>
      </c>
      <c r="K527" s="41">
        <v>111111.11111111109</v>
      </c>
      <c r="L527" s="41">
        <v>9027777.7777778264</v>
      </c>
      <c r="M527" s="41">
        <v>27777.777777777781</v>
      </c>
      <c r="N527" s="41">
        <v>43604166.66666656</v>
      </c>
      <c r="O527" s="41">
        <v>79166.666666666672</v>
      </c>
      <c r="P527" s="41">
        <v>75000000</v>
      </c>
      <c r="Q527" s="41">
        <v>0</v>
      </c>
      <c r="R527" s="41">
        <v>31087962.962962881</v>
      </c>
      <c r="S527" s="41">
        <v>87962.962962962964</v>
      </c>
      <c r="T527" s="41">
        <v>21064814.814814761</v>
      </c>
      <c r="U527" s="41">
        <v>64814.814814814818</v>
      </c>
      <c r="V527" s="41">
        <v>353712962.96296299</v>
      </c>
      <c r="W527" s="41">
        <v>537962.96296296292</v>
      </c>
      <c r="X527" s="38">
        <f t="shared" si="42"/>
        <v>0.70742592592592601</v>
      </c>
      <c r="Y527" s="39">
        <f t="shared" si="43"/>
        <v>1.0759259259259259E-3</v>
      </c>
      <c r="Z527" s="39">
        <f t="shared" si="47"/>
        <v>1.5232192623004536E-3</v>
      </c>
      <c r="AA527" s="41">
        <f t="shared" si="44"/>
        <v>146287037.03703701</v>
      </c>
      <c r="AB527" s="39">
        <f t="shared" si="45"/>
        <v>3.677447939743022E-3</v>
      </c>
      <c r="AC527" s="38">
        <f t="shared" si="46"/>
        <v>0.26909405003156039</v>
      </c>
      <c r="AD527" s="3"/>
    </row>
    <row r="528" spans="1:30" x14ac:dyDescent="0.25">
      <c r="A528" s="37">
        <v>46164</v>
      </c>
      <c r="B528" s="41">
        <v>12470370.370370369</v>
      </c>
      <c r="C528" s="41">
        <v>35185.185185185182</v>
      </c>
      <c r="D528" s="41">
        <v>45513888.888889097</v>
      </c>
      <c r="E528" s="41">
        <v>131944.44444444441</v>
      </c>
      <c r="F528" s="41">
        <v>50000000</v>
      </c>
      <c r="G528" s="41">
        <v>0</v>
      </c>
      <c r="H528" s="41">
        <v>50000000</v>
      </c>
      <c r="I528" s="41">
        <v>0</v>
      </c>
      <c r="J528" s="41">
        <v>16222222.22222227</v>
      </c>
      <c r="K528" s="41">
        <v>111111.11111111109</v>
      </c>
      <c r="L528" s="41">
        <v>9055555.5555556044</v>
      </c>
      <c r="M528" s="41">
        <v>27777.777777777781</v>
      </c>
      <c r="N528" s="41">
        <v>43683333.333333217</v>
      </c>
      <c r="O528" s="41">
        <v>79166.666666666672</v>
      </c>
      <c r="P528" s="41">
        <v>75000000</v>
      </c>
      <c r="Q528" s="41">
        <v>0</v>
      </c>
      <c r="R528" s="41">
        <v>31175925.925925851</v>
      </c>
      <c r="S528" s="41">
        <v>87962.962962962964</v>
      </c>
      <c r="T528" s="41">
        <v>21129629.629629571</v>
      </c>
      <c r="U528" s="41">
        <v>64814.814814814818</v>
      </c>
      <c r="V528" s="41">
        <v>354250925.92592603</v>
      </c>
      <c r="W528" s="41">
        <v>537962.96296296292</v>
      </c>
      <c r="X528" s="38">
        <f t="shared" si="42"/>
        <v>0.7085018518518521</v>
      </c>
      <c r="Y528" s="39">
        <f t="shared" si="43"/>
        <v>1.0759259259259259E-3</v>
      </c>
      <c r="Z528" s="39">
        <f t="shared" si="47"/>
        <v>1.5209025941729272E-3</v>
      </c>
      <c r="AA528" s="41">
        <f t="shared" si="44"/>
        <v>145749074.07407397</v>
      </c>
      <c r="AB528" s="39">
        <f t="shared" si="45"/>
        <v>3.6910214790768022E-3</v>
      </c>
      <c r="AC528" s="38">
        <f t="shared" si="46"/>
        <v>0.26857565378277193</v>
      </c>
      <c r="AD528" s="3"/>
    </row>
    <row r="529" spans="1:30" x14ac:dyDescent="0.25">
      <c r="A529" s="37">
        <v>46165</v>
      </c>
      <c r="B529" s="41">
        <v>12505555.55555555</v>
      </c>
      <c r="C529" s="41">
        <v>35185.185185185182</v>
      </c>
      <c r="D529" s="41">
        <v>45645833.333333537</v>
      </c>
      <c r="E529" s="41">
        <v>131944.44444444441</v>
      </c>
      <c r="F529" s="41">
        <v>50000000</v>
      </c>
      <c r="G529" s="41">
        <v>0</v>
      </c>
      <c r="H529" s="41">
        <v>50000000</v>
      </c>
      <c r="I529" s="41">
        <v>0</v>
      </c>
      <c r="J529" s="41">
        <v>16333333.33333339</v>
      </c>
      <c r="K529" s="41">
        <v>111111.11111111109</v>
      </c>
      <c r="L529" s="41">
        <v>9083333.3333333824</v>
      </c>
      <c r="M529" s="41">
        <v>27777.777777777781</v>
      </c>
      <c r="N529" s="41">
        <v>43762499.999999888</v>
      </c>
      <c r="O529" s="41">
        <v>79166.666666666672</v>
      </c>
      <c r="P529" s="41">
        <v>75000000</v>
      </c>
      <c r="Q529" s="41">
        <v>0</v>
      </c>
      <c r="R529" s="41">
        <v>31263888.88888881</v>
      </c>
      <c r="S529" s="41">
        <v>87962.962962962964</v>
      </c>
      <c r="T529" s="41">
        <v>21194444.444444381</v>
      </c>
      <c r="U529" s="41">
        <v>64814.814814814818</v>
      </c>
      <c r="V529" s="41">
        <v>354788888.8888889</v>
      </c>
      <c r="W529" s="41">
        <v>537962.96296296292</v>
      </c>
      <c r="X529" s="38">
        <f t="shared" si="42"/>
        <v>0.70957777777777775</v>
      </c>
      <c r="Y529" s="39">
        <f t="shared" si="43"/>
        <v>1.0759259259259259E-3</v>
      </c>
      <c r="Z529" s="39">
        <f t="shared" si="47"/>
        <v>1.5185929621972284E-3</v>
      </c>
      <c r="AA529" s="41">
        <f t="shared" si="44"/>
        <v>145211111.1111111</v>
      </c>
      <c r="AB529" s="39">
        <f t="shared" si="45"/>
        <v>3.7046955900732013E-3</v>
      </c>
      <c r="AC529" s="38">
        <f t="shared" si="46"/>
        <v>0.26805925102259642</v>
      </c>
      <c r="AD529" s="3"/>
    </row>
    <row r="530" spans="1:30" x14ac:dyDescent="0.25">
      <c r="A530" s="37">
        <v>46166</v>
      </c>
      <c r="B530" s="41">
        <v>12540740.740740741</v>
      </c>
      <c r="C530" s="41">
        <v>35185.185185185182</v>
      </c>
      <c r="D530" s="41">
        <v>45777777.777777992</v>
      </c>
      <c r="E530" s="41">
        <v>131944.44444444441</v>
      </c>
      <c r="F530" s="41">
        <v>50000000</v>
      </c>
      <c r="G530" s="41">
        <v>0</v>
      </c>
      <c r="H530" s="41">
        <v>50000000</v>
      </c>
      <c r="I530" s="41">
        <v>0</v>
      </c>
      <c r="J530" s="41">
        <v>16444444.4444445</v>
      </c>
      <c r="K530" s="41">
        <v>111111.11111111109</v>
      </c>
      <c r="L530" s="41">
        <v>9111111.1111111604</v>
      </c>
      <c r="M530" s="41">
        <v>27777.777777777781</v>
      </c>
      <c r="N530" s="41">
        <v>43841666.666666552</v>
      </c>
      <c r="O530" s="41">
        <v>79166.666666666672</v>
      </c>
      <c r="P530" s="41">
        <v>75000000</v>
      </c>
      <c r="Q530" s="41">
        <v>0</v>
      </c>
      <c r="R530" s="41">
        <v>31351851.851851769</v>
      </c>
      <c r="S530" s="41">
        <v>87962.962962962964</v>
      </c>
      <c r="T530" s="41">
        <v>21259259.259259202</v>
      </c>
      <c r="U530" s="41">
        <v>64814.814814814818</v>
      </c>
      <c r="V530" s="41">
        <v>355326851.85185188</v>
      </c>
      <c r="W530" s="41">
        <v>537962.96296296292</v>
      </c>
      <c r="X530" s="38">
        <f t="shared" si="42"/>
        <v>0.71065370370370373</v>
      </c>
      <c r="Y530" s="39">
        <f t="shared" si="43"/>
        <v>1.0759259259259259E-3</v>
      </c>
      <c r="Z530" s="39">
        <f t="shared" si="47"/>
        <v>1.5162903343668116E-3</v>
      </c>
      <c r="AA530" s="41">
        <f t="shared" si="44"/>
        <v>144673148.14814812</v>
      </c>
      <c r="AB530" s="39">
        <f t="shared" si="45"/>
        <v>3.7184713946507779E-3</v>
      </c>
      <c r="AC530" s="38">
        <f t="shared" si="46"/>
        <v>0.26754483027418385</v>
      </c>
      <c r="AD530" s="3"/>
    </row>
    <row r="531" spans="1:30" x14ac:dyDescent="0.25">
      <c r="A531" s="37">
        <v>46167</v>
      </c>
      <c r="B531" s="41">
        <v>12575925.92592592</v>
      </c>
      <c r="C531" s="41">
        <v>35185.185185185182</v>
      </c>
      <c r="D531" s="41">
        <v>45909722.22222244</v>
      </c>
      <c r="E531" s="41">
        <v>131944.44444444441</v>
      </c>
      <c r="F531" s="41">
        <v>50000000</v>
      </c>
      <c r="G531" s="41">
        <v>0</v>
      </c>
      <c r="H531" s="41">
        <v>50000000</v>
      </c>
      <c r="I531" s="41">
        <v>0</v>
      </c>
      <c r="J531" s="41">
        <v>16555555.55555561</v>
      </c>
      <c r="K531" s="41">
        <v>111111.11111111109</v>
      </c>
      <c r="L531" s="41">
        <v>9138888.8888889384</v>
      </c>
      <c r="M531" s="41">
        <v>27777.777777777781</v>
      </c>
      <c r="N531" s="41">
        <v>43920833.333333217</v>
      </c>
      <c r="O531" s="41">
        <v>79166.666666666672</v>
      </c>
      <c r="P531" s="41">
        <v>75000000</v>
      </c>
      <c r="Q531" s="41">
        <v>0</v>
      </c>
      <c r="R531" s="41">
        <v>31439814.814814739</v>
      </c>
      <c r="S531" s="41">
        <v>87962.962962962964</v>
      </c>
      <c r="T531" s="41">
        <v>21324074.074074011</v>
      </c>
      <c r="U531" s="41">
        <v>64814.814814814818</v>
      </c>
      <c r="V531" s="41">
        <v>355864814.81481493</v>
      </c>
      <c r="W531" s="41">
        <v>537962.96296296292</v>
      </c>
      <c r="X531" s="38">
        <f t="shared" si="42"/>
        <v>0.71172962962962982</v>
      </c>
      <c r="Y531" s="39">
        <f t="shared" si="43"/>
        <v>1.0759259259259259E-3</v>
      </c>
      <c r="Z531" s="39">
        <f t="shared" si="47"/>
        <v>1.5139946788689598E-3</v>
      </c>
      <c r="AA531" s="41">
        <f t="shared" si="44"/>
        <v>144135185.18518507</v>
      </c>
      <c r="AB531" s="39">
        <f t="shared" si="45"/>
        <v>3.7323500314776535E-3</v>
      </c>
      <c r="AC531" s="38">
        <f t="shared" si="46"/>
        <v>0.26703238014861497</v>
      </c>
      <c r="AD531" s="3"/>
    </row>
    <row r="532" spans="1:30" x14ac:dyDescent="0.25">
      <c r="A532" s="37">
        <v>46168</v>
      </c>
      <c r="B532" s="41">
        <v>12611111.111111101</v>
      </c>
      <c r="C532" s="41">
        <v>35185.185185185182</v>
      </c>
      <c r="D532" s="41">
        <v>46041666.666666888</v>
      </c>
      <c r="E532" s="41">
        <v>131944.44444444441</v>
      </c>
      <c r="F532" s="41">
        <v>50000000</v>
      </c>
      <c r="G532" s="41">
        <v>0</v>
      </c>
      <c r="H532" s="41">
        <v>50000000</v>
      </c>
      <c r="I532" s="41">
        <v>0</v>
      </c>
      <c r="J532" s="41">
        <v>16666666.66666672</v>
      </c>
      <c r="K532" s="41">
        <v>111111.11111111109</v>
      </c>
      <c r="L532" s="41">
        <v>9166666.6666667163</v>
      </c>
      <c r="M532" s="41">
        <v>27777.777777777781</v>
      </c>
      <c r="N532" s="41">
        <v>43999999.999999881</v>
      </c>
      <c r="O532" s="41">
        <v>79166.666666666672</v>
      </c>
      <c r="P532" s="41">
        <v>75000000</v>
      </c>
      <c r="Q532" s="41">
        <v>0</v>
      </c>
      <c r="R532" s="41">
        <v>31527777.777777702</v>
      </c>
      <c r="S532" s="41">
        <v>87962.962962962964</v>
      </c>
      <c r="T532" s="41">
        <v>21388888.888888821</v>
      </c>
      <c r="U532" s="41">
        <v>64814.814814814818</v>
      </c>
      <c r="V532" s="41">
        <v>356402777.77777779</v>
      </c>
      <c r="W532" s="41">
        <v>537962.96296296292</v>
      </c>
      <c r="X532" s="38">
        <f t="shared" si="42"/>
        <v>0.71280555555555558</v>
      </c>
      <c r="Y532" s="39">
        <f t="shared" si="43"/>
        <v>1.0759259259259259E-3</v>
      </c>
      <c r="Z532" s="39">
        <f t="shared" si="47"/>
        <v>1.5117059640833228E-3</v>
      </c>
      <c r="AA532" s="41">
        <f t="shared" si="44"/>
        <v>143597222.22222221</v>
      </c>
      <c r="AB532" s="39">
        <f t="shared" si="45"/>
        <v>3.7463326562852629E-3</v>
      </c>
      <c r="AC532" s="38">
        <f t="shared" si="46"/>
        <v>0.26652188934406001</v>
      </c>
      <c r="AD532" s="3"/>
    </row>
    <row r="533" spans="1:30" x14ac:dyDescent="0.25">
      <c r="A533" s="37">
        <v>46169</v>
      </c>
      <c r="B533" s="41">
        <v>12646296.296296289</v>
      </c>
      <c r="C533" s="41">
        <v>35185.185185185182</v>
      </c>
      <c r="D533" s="41">
        <v>46173611.111111343</v>
      </c>
      <c r="E533" s="41">
        <v>131944.44444444441</v>
      </c>
      <c r="F533" s="41">
        <v>50000000</v>
      </c>
      <c r="G533" s="41">
        <v>0</v>
      </c>
      <c r="H533" s="41">
        <v>50000000</v>
      </c>
      <c r="I533" s="41">
        <v>0</v>
      </c>
      <c r="J533" s="41">
        <v>16777777.777777828</v>
      </c>
      <c r="K533" s="41">
        <v>111111.11111111109</v>
      </c>
      <c r="L533" s="41">
        <v>9194444.4444444943</v>
      </c>
      <c r="M533" s="41">
        <v>27777.777777777781</v>
      </c>
      <c r="N533" s="41">
        <v>44079166.666666538</v>
      </c>
      <c r="O533" s="41">
        <v>79166.666666666672</v>
      </c>
      <c r="P533" s="41">
        <v>75000000</v>
      </c>
      <c r="Q533" s="41">
        <v>0</v>
      </c>
      <c r="R533" s="41">
        <v>31615740.740740661</v>
      </c>
      <c r="S533" s="41">
        <v>87962.962962962964</v>
      </c>
      <c r="T533" s="41">
        <v>21453703.703703638</v>
      </c>
      <c r="U533" s="41">
        <v>64814.814814814818</v>
      </c>
      <c r="V533" s="41">
        <v>356940740.74074078</v>
      </c>
      <c r="W533" s="41">
        <v>537962.96296296292</v>
      </c>
      <c r="X533" s="38">
        <f t="shared" si="42"/>
        <v>0.71388148148148156</v>
      </c>
      <c r="Y533" s="39">
        <f t="shared" si="43"/>
        <v>1.0759259259259259E-3</v>
      </c>
      <c r="Z533" s="39">
        <f t="shared" si="47"/>
        <v>1.5094241585804657E-3</v>
      </c>
      <c r="AA533" s="41">
        <f t="shared" si="44"/>
        <v>143059259.25925922</v>
      </c>
      <c r="AB533" s="39">
        <f t="shared" si="45"/>
        <v>3.7604204421891997E-3</v>
      </c>
      <c r="AC533" s="38">
        <f t="shared" si="46"/>
        <v>0.26601334664494769</v>
      </c>
      <c r="AD533" s="3"/>
    </row>
    <row r="534" spans="1:30" x14ac:dyDescent="0.25">
      <c r="A534" s="37">
        <v>46170</v>
      </c>
      <c r="B534" s="41">
        <v>12681481.48148147</v>
      </c>
      <c r="C534" s="41">
        <v>35185.185185185182</v>
      </c>
      <c r="D534" s="41">
        <v>46305555.555555783</v>
      </c>
      <c r="E534" s="41">
        <v>131944.44444444441</v>
      </c>
      <c r="F534" s="41">
        <v>50000000</v>
      </c>
      <c r="G534" s="41">
        <v>0</v>
      </c>
      <c r="H534" s="41">
        <v>50000000</v>
      </c>
      <c r="I534" s="41">
        <v>0</v>
      </c>
      <c r="J534" s="41">
        <v>16888888.88888894</v>
      </c>
      <c r="K534" s="41">
        <v>111111.11111111109</v>
      </c>
      <c r="L534" s="41">
        <v>9222222.2222222723</v>
      </c>
      <c r="M534" s="41">
        <v>27777.777777777781</v>
      </c>
      <c r="N534" s="41">
        <v>44158333.333333209</v>
      </c>
      <c r="O534" s="41">
        <v>79166.666666666672</v>
      </c>
      <c r="P534" s="41">
        <v>75000000</v>
      </c>
      <c r="Q534" s="41">
        <v>0</v>
      </c>
      <c r="R534" s="41">
        <v>31703703.70370362</v>
      </c>
      <c r="S534" s="41">
        <v>87962.962962962964</v>
      </c>
      <c r="T534" s="41">
        <v>21518518.518518452</v>
      </c>
      <c r="U534" s="41">
        <v>64814.814814814818</v>
      </c>
      <c r="V534" s="41">
        <v>357478703.70370382</v>
      </c>
      <c r="W534" s="41">
        <v>537962.96296296292</v>
      </c>
      <c r="X534" s="38">
        <f t="shared" si="42"/>
        <v>0.71495740740740765</v>
      </c>
      <c r="Y534" s="39">
        <f t="shared" si="43"/>
        <v>1.0759259259259259E-3</v>
      </c>
      <c r="Z534" s="39">
        <f t="shared" si="47"/>
        <v>1.5071492311204263E-3</v>
      </c>
      <c r="AA534" s="41">
        <f t="shared" si="44"/>
        <v>142521296.29629618</v>
      </c>
      <c r="AB534" s="39">
        <f t="shared" si="45"/>
        <v>3.7746145800172841E-3</v>
      </c>
      <c r="AC534" s="38">
        <f t="shared" si="46"/>
        <v>0.2655067409211444</v>
      </c>
      <c r="AD534" s="3"/>
    </row>
    <row r="535" spans="1:30" x14ac:dyDescent="0.25">
      <c r="A535" s="37">
        <v>46171</v>
      </c>
      <c r="B535" s="41">
        <v>12716666.66666666</v>
      </c>
      <c r="C535" s="41">
        <v>35185.185185185182</v>
      </c>
      <c r="D535" s="41">
        <v>46437500.000000231</v>
      </c>
      <c r="E535" s="41">
        <v>131944.44444444441</v>
      </c>
      <c r="F535" s="41">
        <v>50000000</v>
      </c>
      <c r="G535" s="41">
        <v>0</v>
      </c>
      <c r="H535" s="41">
        <v>50000000</v>
      </c>
      <c r="I535" s="41">
        <v>0</v>
      </c>
      <c r="J535" s="41">
        <v>17000000.00000006</v>
      </c>
      <c r="K535" s="41">
        <v>111111.11111111109</v>
      </c>
      <c r="L535" s="41">
        <v>9250000.0000000503</v>
      </c>
      <c r="M535" s="41">
        <v>27777.777777777781</v>
      </c>
      <c r="N535" s="41">
        <v>44237499.999999873</v>
      </c>
      <c r="O535" s="41">
        <v>79166.666666666672</v>
      </c>
      <c r="P535" s="41">
        <v>75000000</v>
      </c>
      <c r="Q535" s="41">
        <v>0</v>
      </c>
      <c r="R535" s="41">
        <v>31791666.66666659</v>
      </c>
      <c r="S535" s="41">
        <v>87962.962962962964</v>
      </c>
      <c r="T535" s="41">
        <v>21583333.333333269</v>
      </c>
      <c r="U535" s="41">
        <v>64814.814814814818</v>
      </c>
      <c r="V535" s="41">
        <v>358016666.66666669</v>
      </c>
      <c r="W535" s="41">
        <v>537962.96296296292</v>
      </c>
      <c r="X535" s="38">
        <f t="shared" ref="X535:X598" si="48">V535/$B$6</f>
        <v>0.71603333333333341</v>
      </c>
      <c r="Y535" s="39">
        <f t="shared" ref="Y535:Y598" si="49">W535/$B$6</f>
        <v>1.0759259259259259E-3</v>
      </c>
      <c r="Z535" s="39">
        <f t="shared" si="47"/>
        <v>1.5048811506512944E-3</v>
      </c>
      <c r="AA535" s="41">
        <f t="shared" ref="AA535:AA598" si="50">$B$6-V535</f>
        <v>141983333.33333331</v>
      </c>
      <c r="AB535" s="39">
        <f t="shared" ref="AB535:AB598" si="51">W535/AA535</f>
        <v>3.7889162786451202E-3</v>
      </c>
      <c r="AC535" s="38">
        <f t="shared" ref="AC535:AC598" si="52" xml:space="preserve"> P535/(V535-P535)</f>
        <v>0.26500206112714209</v>
      </c>
      <c r="AD535" s="3"/>
    </row>
    <row r="536" spans="1:30" x14ac:dyDescent="0.25">
      <c r="A536" s="37">
        <v>46172</v>
      </c>
      <c r="B536" s="41">
        <v>12751851.85185184</v>
      </c>
      <c r="C536" s="41">
        <v>35185.185185185182</v>
      </c>
      <c r="D536" s="41">
        <v>46569444.444444679</v>
      </c>
      <c r="E536" s="41">
        <v>131944.44444444441</v>
      </c>
      <c r="F536" s="41">
        <v>50000000</v>
      </c>
      <c r="G536" s="41">
        <v>0</v>
      </c>
      <c r="H536" s="41">
        <v>50000000</v>
      </c>
      <c r="I536" s="41">
        <v>0</v>
      </c>
      <c r="J536" s="41">
        <v>17111111.111111172</v>
      </c>
      <c r="K536" s="41">
        <v>111111.11111111109</v>
      </c>
      <c r="L536" s="41">
        <v>9277777.7777778283</v>
      </c>
      <c r="M536" s="41">
        <v>27777.777777777781</v>
      </c>
      <c r="N536" s="41">
        <v>44316666.666666538</v>
      </c>
      <c r="O536" s="41">
        <v>79166.666666666672</v>
      </c>
      <c r="P536" s="41">
        <v>75000000</v>
      </c>
      <c r="Q536" s="41">
        <v>0</v>
      </c>
      <c r="R536" s="41">
        <v>31879629.629629549</v>
      </c>
      <c r="S536" s="41">
        <v>87962.962962962964</v>
      </c>
      <c r="T536" s="41">
        <v>21648148.148148078</v>
      </c>
      <c r="U536" s="41">
        <v>64814.814814814818</v>
      </c>
      <c r="V536" s="41">
        <v>358554629.62962967</v>
      </c>
      <c r="W536" s="41">
        <v>537962.96296296292</v>
      </c>
      <c r="X536" s="38">
        <f t="shared" si="48"/>
        <v>0.71710925925925939</v>
      </c>
      <c r="Y536" s="39">
        <f t="shared" si="49"/>
        <v>1.0759259259259259E-3</v>
      </c>
      <c r="Z536" s="39">
        <f t="shared" ref="Z536:Z599" si="53">W536/V535</f>
        <v>1.5026198863077964E-3</v>
      </c>
      <c r="AA536" s="41">
        <f t="shared" si="50"/>
        <v>141445370.37037033</v>
      </c>
      <c r="AB536" s="39">
        <f t="shared" si="51"/>
        <v>3.8033267653393215E-3</v>
      </c>
      <c r="AC536" s="38">
        <f t="shared" si="52"/>
        <v>0.26449929630125485</v>
      </c>
      <c r="AD536" s="3"/>
    </row>
    <row r="537" spans="1:30" x14ac:dyDescent="0.25">
      <c r="A537" s="37">
        <v>46173</v>
      </c>
      <c r="B537" s="41">
        <v>12787037.03703703</v>
      </c>
      <c r="C537" s="41">
        <v>35185.185185185182</v>
      </c>
      <c r="D537" s="41">
        <v>46701388.888889126</v>
      </c>
      <c r="E537" s="41">
        <v>131944.44444444441</v>
      </c>
      <c r="F537" s="41">
        <v>50000000</v>
      </c>
      <c r="G537" s="41">
        <v>0</v>
      </c>
      <c r="H537" s="41">
        <v>50000000</v>
      </c>
      <c r="I537" s="41">
        <v>0</v>
      </c>
      <c r="J537" s="41">
        <v>17222222.22222228</v>
      </c>
      <c r="K537" s="41">
        <v>111111.11111111109</v>
      </c>
      <c r="L537" s="41">
        <v>9305555.5555556063</v>
      </c>
      <c r="M537" s="41">
        <v>27777.777777777781</v>
      </c>
      <c r="N537" s="41">
        <v>44395833.333333202</v>
      </c>
      <c r="O537" s="41">
        <v>79166.666666666672</v>
      </c>
      <c r="P537" s="41">
        <v>75000000</v>
      </c>
      <c r="Q537" s="41">
        <v>0</v>
      </c>
      <c r="R537" s="41">
        <v>31967592.592592511</v>
      </c>
      <c r="S537" s="41">
        <v>87962.962962962964</v>
      </c>
      <c r="T537" s="41">
        <v>21712962.962962888</v>
      </c>
      <c r="U537" s="41">
        <v>64814.814814814818</v>
      </c>
      <c r="V537" s="41">
        <v>359092592.59259272</v>
      </c>
      <c r="W537" s="41">
        <v>537962.96296296292</v>
      </c>
      <c r="X537" s="38">
        <f t="shared" si="48"/>
        <v>0.71818518518518548</v>
      </c>
      <c r="Y537" s="39">
        <f t="shared" si="49"/>
        <v>1.0759259259259259E-3</v>
      </c>
      <c r="Z537" s="39">
        <f t="shared" si="53"/>
        <v>1.5003654074098938E-3</v>
      </c>
      <c r="AA537" s="41">
        <f t="shared" si="50"/>
        <v>140907407.40740728</v>
      </c>
      <c r="AB537" s="39">
        <f t="shared" si="51"/>
        <v>3.8178472861085588E-3</v>
      </c>
      <c r="AC537" s="38">
        <f t="shared" si="52"/>
        <v>0.26399843556482616</v>
      </c>
      <c r="AD537" s="3"/>
    </row>
    <row r="538" spans="1:30" x14ac:dyDescent="0.25">
      <c r="A538" s="37">
        <v>46174</v>
      </c>
      <c r="B538" s="41">
        <v>12822222.222222211</v>
      </c>
      <c r="C538" s="41">
        <v>35185.185185185182</v>
      </c>
      <c r="D538" s="41">
        <v>46833333.333333567</v>
      </c>
      <c r="E538" s="41">
        <v>131944.44444444441</v>
      </c>
      <c r="F538" s="41">
        <v>50000000</v>
      </c>
      <c r="G538" s="41">
        <v>0</v>
      </c>
      <c r="H538" s="41">
        <v>50000000</v>
      </c>
      <c r="I538" s="41">
        <v>0</v>
      </c>
      <c r="J538" s="41">
        <v>17333333.333333392</v>
      </c>
      <c r="K538" s="41">
        <v>111111.11111111109</v>
      </c>
      <c r="L538" s="41">
        <v>9333333.3333333842</v>
      </c>
      <c r="M538" s="41">
        <v>27777.777777777781</v>
      </c>
      <c r="N538" s="41">
        <v>44474999.999999873</v>
      </c>
      <c r="O538" s="41">
        <v>79166.666666666672</v>
      </c>
      <c r="P538" s="41">
        <v>75000000</v>
      </c>
      <c r="Q538" s="41">
        <v>0</v>
      </c>
      <c r="R538" s="41">
        <v>32055555.55555547</v>
      </c>
      <c r="S538" s="41">
        <v>87962.962962962964</v>
      </c>
      <c r="T538" s="41">
        <v>21777777.777777709</v>
      </c>
      <c r="U538" s="41">
        <v>64814.814814814818</v>
      </c>
      <c r="V538" s="41">
        <v>359630555.55555558</v>
      </c>
      <c r="W538" s="41">
        <v>537962.96296296292</v>
      </c>
      <c r="X538" s="38">
        <f t="shared" si="48"/>
        <v>0.71926111111111113</v>
      </c>
      <c r="Y538" s="39">
        <f t="shared" si="49"/>
        <v>1.0759259259259259E-3</v>
      </c>
      <c r="Z538" s="39">
        <f t="shared" si="53"/>
        <v>1.498117683461399E-3</v>
      </c>
      <c r="AA538" s="41">
        <f t="shared" si="50"/>
        <v>140369444.44444442</v>
      </c>
      <c r="AB538" s="39">
        <f t="shared" si="51"/>
        <v>3.8324791060627052E-3</v>
      </c>
      <c r="AC538" s="38">
        <f t="shared" si="52"/>
        <v>0.26349946812144392</v>
      </c>
      <c r="AD538" s="3"/>
    </row>
    <row r="539" spans="1:30" x14ac:dyDescent="0.25">
      <c r="A539" s="37">
        <v>46175</v>
      </c>
      <c r="B539" s="41">
        <v>12857407.407407399</v>
      </c>
      <c r="C539" s="41">
        <v>35185.185185185182</v>
      </c>
      <c r="D539" s="41">
        <v>46965277.777778022</v>
      </c>
      <c r="E539" s="41">
        <v>131944.44444444441</v>
      </c>
      <c r="F539" s="41">
        <v>50000000</v>
      </c>
      <c r="G539" s="41">
        <v>0</v>
      </c>
      <c r="H539" s="41">
        <v>50000000</v>
      </c>
      <c r="I539" s="41">
        <v>0</v>
      </c>
      <c r="J539" s="41">
        <v>17444444.4444445</v>
      </c>
      <c r="K539" s="41">
        <v>111111.11111111109</v>
      </c>
      <c r="L539" s="41">
        <v>9361111.1111111622</v>
      </c>
      <c r="M539" s="41">
        <v>27777.777777777781</v>
      </c>
      <c r="N539" s="41">
        <v>44554166.66666653</v>
      </c>
      <c r="O539" s="41">
        <v>79166.666666666672</v>
      </c>
      <c r="P539" s="41">
        <v>75000000</v>
      </c>
      <c r="Q539" s="41">
        <v>0</v>
      </c>
      <c r="R539" s="41">
        <v>32143518.51851844</v>
      </c>
      <c r="S539" s="41">
        <v>87962.962962962964</v>
      </c>
      <c r="T539" s="41">
        <v>21842592.592592519</v>
      </c>
      <c r="U539" s="41">
        <v>64814.814814814818</v>
      </c>
      <c r="V539" s="41">
        <v>360168518.51851863</v>
      </c>
      <c r="W539" s="41">
        <v>537962.96296296292</v>
      </c>
      <c r="X539" s="38">
        <f t="shared" si="48"/>
        <v>0.72033703703703722</v>
      </c>
      <c r="Y539" s="39">
        <f t="shared" si="49"/>
        <v>1.0759259259259259E-3</v>
      </c>
      <c r="Z539" s="39">
        <f t="shared" si="53"/>
        <v>1.4958766841485988E-3</v>
      </c>
      <c r="AA539" s="41">
        <f t="shared" si="50"/>
        <v>139831481.48148137</v>
      </c>
      <c r="AB539" s="39">
        <f t="shared" si="51"/>
        <v>3.8472235097802938E-3</v>
      </c>
      <c r="AC539" s="38">
        <f t="shared" si="52"/>
        <v>0.26300238325616421</v>
      </c>
      <c r="AD539" s="3"/>
    </row>
    <row r="540" spans="1:30" x14ac:dyDescent="0.25">
      <c r="A540" s="37">
        <v>46176</v>
      </c>
      <c r="B540" s="41">
        <v>12892592.59259258</v>
      </c>
      <c r="C540" s="41">
        <v>35185.185185185182</v>
      </c>
      <c r="D540" s="41">
        <v>47097222.22222247</v>
      </c>
      <c r="E540" s="41">
        <v>131944.44444444441</v>
      </c>
      <c r="F540" s="41">
        <v>50000000</v>
      </c>
      <c r="G540" s="41">
        <v>0</v>
      </c>
      <c r="H540" s="41">
        <v>50000000</v>
      </c>
      <c r="I540" s="41">
        <v>0</v>
      </c>
      <c r="J540" s="41">
        <v>17555555.555555619</v>
      </c>
      <c r="K540" s="41">
        <v>111111.11111111109</v>
      </c>
      <c r="L540" s="41">
        <v>9388888.8888889402</v>
      </c>
      <c r="M540" s="41">
        <v>27777.777777777781</v>
      </c>
      <c r="N540" s="41">
        <v>44633333.333333187</v>
      </c>
      <c r="O540" s="41">
        <v>79166.666666666672</v>
      </c>
      <c r="P540" s="41">
        <v>75000000</v>
      </c>
      <c r="Q540" s="41">
        <v>0</v>
      </c>
      <c r="R540" s="41">
        <v>32231481.481481399</v>
      </c>
      <c r="S540" s="41">
        <v>87962.962962962964</v>
      </c>
      <c r="T540" s="41">
        <v>21907407.407407328</v>
      </c>
      <c r="U540" s="41">
        <v>64814.814814814818</v>
      </c>
      <c r="V540" s="41">
        <v>360706481.48148149</v>
      </c>
      <c r="W540" s="41">
        <v>537962.96296296292</v>
      </c>
      <c r="X540" s="38">
        <f t="shared" si="48"/>
        <v>0.72141296296296298</v>
      </c>
      <c r="Y540" s="39">
        <f t="shared" si="49"/>
        <v>1.0759259259259259E-3</v>
      </c>
      <c r="Z540" s="39">
        <f t="shared" si="53"/>
        <v>1.4936423793388892E-3</v>
      </c>
      <c r="AA540" s="41">
        <f t="shared" si="50"/>
        <v>139293518.51851851</v>
      </c>
      <c r="AB540" s="39">
        <f t="shared" si="51"/>
        <v>3.8620818016844262E-3</v>
      </c>
      <c r="AC540" s="38">
        <f t="shared" si="52"/>
        <v>0.26250717033474524</v>
      </c>
      <c r="AD540" s="3"/>
    </row>
    <row r="541" spans="1:30" x14ac:dyDescent="0.25">
      <c r="A541" s="37">
        <v>46177</v>
      </c>
      <c r="B541" s="41">
        <v>12927777.777777771</v>
      </c>
      <c r="C541" s="41">
        <v>35185.185185185182</v>
      </c>
      <c r="D541" s="41">
        <v>47229166.666666918</v>
      </c>
      <c r="E541" s="41">
        <v>131944.44444444441</v>
      </c>
      <c r="F541" s="41">
        <v>50000000</v>
      </c>
      <c r="G541" s="41">
        <v>0</v>
      </c>
      <c r="H541" s="41">
        <v>50000000</v>
      </c>
      <c r="I541" s="41">
        <v>0</v>
      </c>
      <c r="J541" s="41">
        <v>17666666.666666731</v>
      </c>
      <c r="K541" s="41">
        <v>111111.11111111109</v>
      </c>
      <c r="L541" s="41">
        <v>9416666.6666667182</v>
      </c>
      <c r="M541" s="41">
        <v>27777.777777777781</v>
      </c>
      <c r="N541" s="41">
        <v>44712499.999999858</v>
      </c>
      <c r="O541" s="41">
        <v>79166.666666666672</v>
      </c>
      <c r="P541" s="41">
        <v>75000000</v>
      </c>
      <c r="Q541" s="41">
        <v>0</v>
      </c>
      <c r="R541" s="41">
        <v>32319444.444444358</v>
      </c>
      <c r="S541" s="41">
        <v>87962.962962962964</v>
      </c>
      <c r="T541" s="41">
        <v>21972222.222222149</v>
      </c>
      <c r="U541" s="41">
        <v>64814.814814814818</v>
      </c>
      <c r="V541" s="41">
        <v>361244444.44444448</v>
      </c>
      <c r="W541" s="41">
        <v>537962.96296296292</v>
      </c>
      <c r="X541" s="38">
        <f t="shared" si="48"/>
        <v>0.72248888888888896</v>
      </c>
      <c r="Y541" s="39">
        <f t="shared" si="49"/>
        <v>1.0759259259259259E-3</v>
      </c>
      <c r="Z541" s="39">
        <f t="shared" si="53"/>
        <v>1.49141473907943E-3</v>
      </c>
      <c r="AA541" s="41">
        <f t="shared" si="50"/>
        <v>138755555.55555552</v>
      </c>
      <c r="AB541" s="39">
        <f t="shared" si="51"/>
        <v>3.8770553064275044E-3</v>
      </c>
      <c r="AC541" s="38">
        <f t="shared" si="52"/>
        <v>0.26201381880288793</v>
      </c>
      <c r="AD541" s="3"/>
    </row>
    <row r="542" spans="1:30" x14ac:dyDescent="0.25">
      <c r="A542" s="37">
        <v>46178</v>
      </c>
      <c r="B542" s="41">
        <v>12962962.96296295</v>
      </c>
      <c r="C542" s="41">
        <v>35185.185185185182</v>
      </c>
      <c r="D542" s="41">
        <v>47361111.111111373</v>
      </c>
      <c r="E542" s="41">
        <v>131944.44444444441</v>
      </c>
      <c r="F542" s="41">
        <v>50000000</v>
      </c>
      <c r="G542" s="41">
        <v>0</v>
      </c>
      <c r="H542" s="41">
        <v>50000000</v>
      </c>
      <c r="I542" s="41">
        <v>0</v>
      </c>
      <c r="J542" s="41">
        <v>17777777.777777839</v>
      </c>
      <c r="K542" s="41">
        <v>111111.11111111109</v>
      </c>
      <c r="L542" s="41">
        <v>9444444.4444444962</v>
      </c>
      <c r="M542" s="41">
        <v>27777.777777777781</v>
      </c>
      <c r="N542" s="41">
        <v>44791666.666666523</v>
      </c>
      <c r="O542" s="41">
        <v>79166.666666666672</v>
      </c>
      <c r="P542" s="41">
        <v>75000000</v>
      </c>
      <c r="Q542" s="41">
        <v>0</v>
      </c>
      <c r="R542" s="41">
        <v>32407407.407407321</v>
      </c>
      <c r="S542" s="41">
        <v>87962.962962962964</v>
      </c>
      <c r="T542" s="41">
        <v>22037037.037036959</v>
      </c>
      <c r="U542" s="41">
        <v>64814.814814814818</v>
      </c>
      <c r="V542" s="41">
        <v>361782407.40740752</v>
      </c>
      <c r="W542" s="41">
        <v>537962.96296296292</v>
      </c>
      <c r="X542" s="38">
        <f t="shared" si="48"/>
        <v>0.72356481481481505</v>
      </c>
      <c r="Y542" s="39">
        <f t="shared" si="49"/>
        <v>1.0759259259259259E-3</v>
      </c>
      <c r="Z542" s="39">
        <f t="shared" si="53"/>
        <v>1.4891937335958002E-3</v>
      </c>
      <c r="AA542" s="41">
        <f t="shared" si="50"/>
        <v>138217592.59259248</v>
      </c>
      <c r="AB542" s="39">
        <f t="shared" si="51"/>
        <v>3.8921453692848797E-3</v>
      </c>
      <c r="AC542" s="38">
        <f t="shared" si="52"/>
        <v>0.26152231818548705</v>
      </c>
      <c r="AD542" s="3"/>
    </row>
    <row r="543" spans="1:30" x14ac:dyDescent="0.25">
      <c r="A543" s="37">
        <v>46179</v>
      </c>
      <c r="B543" s="41">
        <v>12998148.14814814</v>
      </c>
      <c r="C543" s="41">
        <v>35185.185185185182</v>
      </c>
      <c r="D543" s="41">
        <v>47493055.555555813</v>
      </c>
      <c r="E543" s="41">
        <v>131944.44444444441</v>
      </c>
      <c r="F543" s="41">
        <v>50000000</v>
      </c>
      <c r="G543" s="41">
        <v>0</v>
      </c>
      <c r="H543" s="41">
        <v>50000000</v>
      </c>
      <c r="I543" s="41">
        <v>0</v>
      </c>
      <c r="J543" s="41">
        <v>17888888.888888951</v>
      </c>
      <c r="K543" s="41">
        <v>111111.11111111109</v>
      </c>
      <c r="L543" s="41">
        <v>9472222.2222222742</v>
      </c>
      <c r="M543" s="41">
        <v>27777.777777777781</v>
      </c>
      <c r="N543" s="41">
        <v>44870833.333333187</v>
      </c>
      <c r="O543" s="41">
        <v>79166.666666666672</v>
      </c>
      <c r="P543" s="41">
        <v>75000000</v>
      </c>
      <c r="Q543" s="41">
        <v>0</v>
      </c>
      <c r="R543" s="41">
        <v>32495370.370370291</v>
      </c>
      <c r="S543" s="41">
        <v>87962.962962962964</v>
      </c>
      <c r="T543" s="41">
        <v>22101851.851851769</v>
      </c>
      <c r="U543" s="41">
        <v>64814.814814814818</v>
      </c>
      <c r="V543" s="41">
        <v>362320370.37037039</v>
      </c>
      <c r="W543" s="41">
        <v>537962.96296296292</v>
      </c>
      <c r="X543" s="38">
        <f t="shared" si="48"/>
        <v>0.72464074074074081</v>
      </c>
      <c r="Y543" s="39">
        <f t="shared" si="49"/>
        <v>1.0759259259259259E-3</v>
      </c>
      <c r="Z543" s="39">
        <f t="shared" si="53"/>
        <v>1.486979333290677E-3</v>
      </c>
      <c r="AA543" s="41">
        <f t="shared" si="50"/>
        <v>137679629.62962961</v>
      </c>
      <c r="AB543" s="39">
        <f t="shared" si="51"/>
        <v>3.907353356557763E-3</v>
      </c>
      <c r="AC543" s="38">
        <f t="shared" si="52"/>
        <v>0.26103265808588938</v>
      </c>
      <c r="AD543" s="3"/>
    </row>
    <row r="544" spans="1:30" x14ac:dyDescent="0.25">
      <c r="A544" s="37">
        <v>46180</v>
      </c>
      <c r="B544" s="41">
        <v>13033333.333333321</v>
      </c>
      <c r="C544" s="41">
        <v>35185.185185185182</v>
      </c>
      <c r="D544" s="41">
        <v>47625000.000000261</v>
      </c>
      <c r="E544" s="41">
        <v>131944.44444444441</v>
      </c>
      <c r="F544" s="41">
        <v>50000000</v>
      </c>
      <c r="G544" s="41">
        <v>0</v>
      </c>
      <c r="H544" s="41">
        <v>50000000</v>
      </c>
      <c r="I544" s="41">
        <v>0</v>
      </c>
      <c r="J544" s="41">
        <v>18000000.00000006</v>
      </c>
      <c r="K544" s="41">
        <v>111111.11111111109</v>
      </c>
      <c r="L544" s="41">
        <v>9500000.0000000522</v>
      </c>
      <c r="M544" s="41">
        <v>27777.777777777781</v>
      </c>
      <c r="N544" s="41">
        <v>44949999.999999851</v>
      </c>
      <c r="O544" s="41">
        <v>79166.666666666672</v>
      </c>
      <c r="P544" s="41">
        <v>75000000</v>
      </c>
      <c r="Q544" s="41">
        <v>0</v>
      </c>
      <c r="R544" s="41">
        <v>32583333.33333325</v>
      </c>
      <c r="S544" s="41">
        <v>87962.962962962964</v>
      </c>
      <c r="T544" s="41">
        <v>22166666.66666659</v>
      </c>
      <c r="U544" s="41">
        <v>64814.814814814818</v>
      </c>
      <c r="V544" s="41">
        <v>362858333.33333337</v>
      </c>
      <c r="W544" s="41">
        <v>537962.96296296292</v>
      </c>
      <c r="X544" s="38">
        <f t="shared" si="48"/>
        <v>0.72571666666666679</v>
      </c>
      <c r="Y544" s="39">
        <f t="shared" si="49"/>
        <v>1.0759259259259259E-3</v>
      </c>
      <c r="Z544" s="39">
        <f t="shared" si="53"/>
        <v>1.4847715087425183E-3</v>
      </c>
      <c r="AA544" s="41">
        <f t="shared" si="50"/>
        <v>137141666.66666663</v>
      </c>
      <c r="AB544" s="39">
        <f t="shared" si="51"/>
        <v>3.9226806559856334E-3</v>
      </c>
      <c r="AC544" s="38">
        <f t="shared" si="52"/>
        <v>0.2605448281851605</v>
      </c>
      <c r="AD544" s="3"/>
    </row>
    <row r="545" spans="1:30" x14ac:dyDescent="0.25">
      <c r="A545" s="37">
        <v>46181</v>
      </c>
      <c r="B545" s="41">
        <v>13068518.518518509</v>
      </c>
      <c r="C545" s="41">
        <v>35185.185185185182</v>
      </c>
      <c r="D545" s="41">
        <v>47756944.444444709</v>
      </c>
      <c r="E545" s="41">
        <v>131944.44444444441</v>
      </c>
      <c r="F545" s="41">
        <v>50000000</v>
      </c>
      <c r="G545" s="41">
        <v>0</v>
      </c>
      <c r="H545" s="41">
        <v>50000000</v>
      </c>
      <c r="I545" s="41">
        <v>0</v>
      </c>
      <c r="J545" s="41">
        <v>18111111.111111179</v>
      </c>
      <c r="K545" s="41">
        <v>111111.11111111109</v>
      </c>
      <c r="L545" s="41">
        <v>9527777.7777778301</v>
      </c>
      <c r="M545" s="41">
        <v>27777.777777777781</v>
      </c>
      <c r="N545" s="41">
        <v>45029166.666666523</v>
      </c>
      <c r="O545" s="41">
        <v>79166.666666666672</v>
      </c>
      <c r="P545" s="41">
        <v>75000000</v>
      </c>
      <c r="Q545" s="41">
        <v>0</v>
      </c>
      <c r="R545" s="41">
        <v>32671296.296296209</v>
      </c>
      <c r="S545" s="41">
        <v>87962.962962962964</v>
      </c>
      <c r="T545" s="41">
        <v>22231481.481481399</v>
      </c>
      <c r="U545" s="41">
        <v>64814.814814814818</v>
      </c>
      <c r="V545" s="41">
        <v>363396296.2962963</v>
      </c>
      <c r="W545" s="41">
        <v>537962.96296296292</v>
      </c>
      <c r="X545" s="38">
        <f t="shared" si="48"/>
        <v>0.72679259259259255</v>
      </c>
      <c r="Y545" s="39">
        <f t="shared" si="49"/>
        <v>1.0759259259259259E-3</v>
      </c>
      <c r="Z545" s="39">
        <f t="shared" si="53"/>
        <v>1.4825702307042588E-3</v>
      </c>
      <c r="AA545" s="41">
        <f t="shared" si="50"/>
        <v>136603703.7037037</v>
      </c>
      <c r="AB545" s="39">
        <f t="shared" si="51"/>
        <v>3.938128677168343E-3</v>
      </c>
      <c r="AC545" s="38">
        <f t="shared" si="52"/>
        <v>0.26005881824136029</v>
      </c>
      <c r="AD545" s="3"/>
    </row>
    <row r="546" spans="1:30" x14ac:dyDescent="0.25">
      <c r="A546" s="37">
        <v>46182</v>
      </c>
      <c r="B546" s="41">
        <v>13103703.70370369</v>
      </c>
      <c r="C546" s="41">
        <v>35185.185185185182</v>
      </c>
      <c r="D546" s="41">
        <v>47888888.888889156</v>
      </c>
      <c r="E546" s="41">
        <v>131944.44444444441</v>
      </c>
      <c r="F546" s="41">
        <v>50000000</v>
      </c>
      <c r="G546" s="41">
        <v>0</v>
      </c>
      <c r="H546" s="41">
        <v>50000000</v>
      </c>
      <c r="I546" s="41">
        <v>0</v>
      </c>
      <c r="J546" s="41">
        <v>18222222.222222291</v>
      </c>
      <c r="K546" s="41">
        <v>111111.11111111109</v>
      </c>
      <c r="L546" s="41">
        <v>9555555.5555556081</v>
      </c>
      <c r="M546" s="41">
        <v>27777.777777777781</v>
      </c>
      <c r="N546" s="41">
        <v>45108333.333333179</v>
      </c>
      <c r="O546" s="41">
        <v>79166.666666666672</v>
      </c>
      <c r="P546" s="41">
        <v>75000000</v>
      </c>
      <c r="Q546" s="41">
        <v>0</v>
      </c>
      <c r="R546" s="41">
        <v>32759259.259259179</v>
      </c>
      <c r="S546" s="41">
        <v>87962.962962962964</v>
      </c>
      <c r="T546" s="41">
        <v>22296296.296296209</v>
      </c>
      <c r="U546" s="41">
        <v>64814.814814814818</v>
      </c>
      <c r="V546" s="41">
        <v>363934259.25925928</v>
      </c>
      <c r="W546" s="41">
        <v>537962.96296296292</v>
      </c>
      <c r="X546" s="38">
        <f t="shared" si="48"/>
        <v>0.72786851851851853</v>
      </c>
      <c r="Y546" s="39">
        <f t="shared" si="49"/>
        <v>1.0759259259259259E-3</v>
      </c>
      <c r="Z546" s="39">
        <f t="shared" si="53"/>
        <v>1.480375470102021E-3</v>
      </c>
      <c r="AA546" s="41">
        <f t="shared" si="50"/>
        <v>136065740.74074072</v>
      </c>
      <c r="AB546" s="39">
        <f t="shared" si="51"/>
        <v>3.9536988519982856E-3</v>
      </c>
      <c r="AC546" s="38">
        <f t="shared" si="52"/>
        <v>0.25957461808882576</v>
      </c>
      <c r="AD546" s="3"/>
    </row>
    <row r="547" spans="1:30" x14ac:dyDescent="0.25">
      <c r="A547" s="37">
        <v>46183</v>
      </c>
      <c r="B547" s="41">
        <v>13138888.888888881</v>
      </c>
      <c r="C547" s="41">
        <v>35185.185185185182</v>
      </c>
      <c r="D547" s="41">
        <v>48020833.333333597</v>
      </c>
      <c r="E547" s="41">
        <v>131944.44444444441</v>
      </c>
      <c r="F547" s="41">
        <v>50000000</v>
      </c>
      <c r="G547" s="41">
        <v>0</v>
      </c>
      <c r="H547" s="41">
        <v>50000000</v>
      </c>
      <c r="I547" s="41">
        <v>0</v>
      </c>
      <c r="J547" s="41">
        <v>18333333.333333399</v>
      </c>
      <c r="K547" s="41">
        <v>111111.11111111109</v>
      </c>
      <c r="L547" s="41">
        <v>9583333.3333333861</v>
      </c>
      <c r="M547" s="41">
        <v>27777.777777777781</v>
      </c>
      <c r="N547" s="41">
        <v>45187499.999999844</v>
      </c>
      <c r="O547" s="41">
        <v>79166.666666666672</v>
      </c>
      <c r="P547" s="41">
        <v>75000000</v>
      </c>
      <c r="Q547" s="41">
        <v>0</v>
      </c>
      <c r="R547" s="41">
        <v>32847222.222222138</v>
      </c>
      <c r="S547" s="41">
        <v>87962.962962962964</v>
      </c>
      <c r="T547" s="41">
        <v>22361111.11111103</v>
      </c>
      <c r="U547" s="41">
        <v>64814.814814814818</v>
      </c>
      <c r="V547" s="41">
        <v>364472222.22222233</v>
      </c>
      <c r="W547" s="41">
        <v>537962.96296296292</v>
      </c>
      <c r="X547" s="38">
        <f t="shared" si="48"/>
        <v>0.72894444444444462</v>
      </c>
      <c r="Y547" s="39">
        <f t="shared" si="49"/>
        <v>1.0759259259259259E-3</v>
      </c>
      <c r="Z547" s="39">
        <f t="shared" si="53"/>
        <v>1.4781871980338328E-3</v>
      </c>
      <c r="AA547" s="41">
        <f t="shared" si="50"/>
        <v>135527777.77777767</v>
      </c>
      <c r="AB547" s="39">
        <f t="shared" si="51"/>
        <v>3.969392635102824E-3</v>
      </c>
      <c r="AC547" s="38">
        <f t="shared" si="52"/>
        <v>0.25909221763746271</v>
      </c>
      <c r="AD547" s="3"/>
    </row>
    <row r="548" spans="1:30" x14ac:dyDescent="0.25">
      <c r="A548" s="37">
        <v>46184</v>
      </c>
      <c r="B548" s="41">
        <v>13174074.07407406</v>
      </c>
      <c r="C548" s="41">
        <v>35185.185185185182</v>
      </c>
      <c r="D548" s="41">
        <v>48152777.777778052</v>
      </c>
      <c r="E548" s="41">
        <v>131944.44444444441</v>
      </c>
      <c r="F548" s="41">
        <v>50000000</v>
      </c>
      <c r="G548" s="41">
        <v>0</v>
      </c>
      <c r="H548" s="41">
        <v>50000000</v>
      </c>
      <c r="I548" s="41">
        <v>0</v>
      </c>
      <c r="J548" s="41">
        <v>18444444.444444511</v>
      </c>
      <c r="K548" s="41">
        <v>111111.11111111109</v>
      </c>
      <c r="L548" s="41">
        <v>9611111.1111111641</v>
      </c>
      <c r="M548" s="41">
        <v>27777.777777777781</v>
      </c>
      <c r="N548" s="41">
        <v>45266666.666666508</v>
      </c>
      <c r="O548" s="41">
        <v>79166.666666666672</v>
      </c>
      <c r="P548" s="41">
        <v>75000000</v>
      </c>
      <c r="Q548" s="41">
        <v>0</v>
      </c>
      <c r="R548" s="41">
        <v>32935185.185185101</v>
      </c>
      <c r="S548" s="41">
        <v>87962.962962962964</v>
      </c>
      <c r="T548" s="41">
        <v>22425925.92592584</v>
      </c>
      <c r="U548" s="41">
        <v>64814.814814814818</v>
      </c>
      <c r="V548" s="41">
        <v>365010185.18518519</v>
      </c>
      <c r="W548" s="41">
        <v>537962.96296296292</v>
      </c>
      <c r="X548" s="38">
        <f t="shared" si="48"/>
        <v>0.73002037037037038</v>
      </c>
      <c r="Y548" s="39">
        <f t="shared" si="49"/>
        <v>1.0759259259259259E-3</v>
      </c>
      <c r="Z548" s="39">
        <f t="shared" si="53"/>
        <v>1.4760053857683607E-3</v>
      </c>
      <c r="AA548" s="41">
        <f t="shared" si="50"/>
        <v>134989814.81481481</v>
      </c>
      <c r="AB548" s="39">
        <f t="shared" si="51"/>
        <v>3.985211504297306E-3</v>
      </c>
      <c r="AC548" s="38">
        <f t="shared" si="52"/>
        <v>0.25861160687204471</v>
      </c>
      <c r="AD548" s="3"/>
    </row>
    <row r="549" spans="1:30" x14ac:dyDescent="0.25">
      <c r="A549" s="37">
        <v>46185</v>
      </c>
      <c r="B549" s="41">
        <v>13209259.259259241</v>
      </c>
      <c r="C549" s="41">
        <v>35185.185185185182</v>
      </c>
      <c r="D549" s="41">
        <v>48284722.2222225</v>
      </c>
      <c r="E549" s="41">
        <v>131944.44444444441</v>
      </c>
      <c r="F549" s="41">
        <v>50000000</v>
      </c>
      <c r="G549" s="41">
        <v>0</v>
      </c>
      <c r="H549" s="41">
        <v>50000000</v>
      </c>
      <c r="I549" s="41">
        <v>0</v>
      </c>
      <c r="J549" s="41">
        <v>18555555.555555619</v>
      </c>
      <c r="K549" s="41">
        <v>111111.11111111109</v>
      </c>
      <c r="L549" s="41">
        <v>9638888.8888889421</v>
      </c>
      <c r="M549" s="41">
        <v>27777.777777777781</v>
      </c>
      <c r="N549" s="41">
        <v>45345833.333333172</v>
      </c>
      <c r="O549" s="41">
        <v>79166.666666666672</v>
      </c>
      <c r="P549" s="41">
        <v>75000000</v>
      </c>
      <c r="Q549" s="41">
        <v>0</v>
      </c>
      <c r="R549" s="41">
        <v>33023148.14814806</v>
      </c>
      <c r="S549" s="41">
        <v>87962.962962962964</v>
      </c>
      <c r="T549" s="41">
        <v>22490740.740740649</v>
      </c>
      <c r="U549" s="41">
        <v>64814.814814814818</v>
      </c>
      <c r="V549" s="41">
        <v>365548148.14814818</v>
      </c>
      <c r="W549" s="41">
        <v>537962.96296296292</v>
      </c>
      <c r="X549" s="38">
        <f t="shared" si="48"/>
        <v>0.73109629629629636</v>
      </c>
      <c r="Y549" s="39">
        <f t="shared" si="49"/>
        <v>1.0759259259259259E-3</v>
      </c>
      <c r="Z549" s="39">
        <f t="shared" si="53"/>
        <v>1.4738300047436523E-3</v>
      </c>
      <c r="AA549" s="41">
        <f t="shared" si="50"/>
        <v>134451851.85185182</v>
      </c>
      <c r="AB549" s="39">
        <f t="shared" si="51"/>
        <v>4.0011569610489787E-3</v>
      </c>
      <c r="AC549" s="38">
        <f t="shared" si="52"/>
        <v>0.25813277585151945</v>
      </c>
      <c r="AD549" s="3"/>
    </row>
    <row r="550" spans="1:30" x14ac:dyDescent="0.25">
      <c r="A550" s="37">
        <v>46186</v>
      </c>
      <c r="B550" s="41">
        <v>13244444.444444429</v>
      </c>
      <c r="C550" s="41">
        <v>35185.185185185182</v>
      </c>
      <c r="D550" s="41">
        <v>48416666.666666947</v>
      </c>
      <c r="E550" s="41">
        <v>131944.44444444441</v>
      </c>
      <c r="F550" s="41">
        <v>50000000</v>
      </c>
      <c r="G550" s="41">
        <v>0</v>
      </c>
      <c r="H550" s="41">
        <v>50000000</v>
      </c>
      <c r="I550" s="41">
        <v>0</v>
      </c>
      <c r="J550" s="41">
        <v>18666666.666666731</v>
      </c>
      <c r="K550" s="41">
        <v>111111.11111111109</v>
      </c>
      <c r="L550" s="41">
        <v>9666666.6666667201</v>
      </c>
      <c r="M550" s="41">
        <v>27777.777777777781</v>
      </c>
      <c r="N550" s="41">
        <v>45424999.999999844</v>
      </c>
      <c r="O550" s="41">
        <v>79166.666666666672</v>
      </c>
      <c r="P550" s="41">
        <v>75000000</v>
      </c>
      <c r="Q550" s="41">
        <v>0</v>
      </c>
      <c r="R550" s="41">
        <v>33111111.11111103</v>
      </c>
      <c r="S550" s="41">
        <v>87962.962962962964</v>
      </c>
      <c r="T550" s="41">
        <v>22555555.55555547</v>
      </c>
      <c r="U550" s="41">
        <v>64814.814814814818</v>
      </c>
      <c r="V550" s="41">
        <v>366086111.11111122</v>
      </c>
      <c r="W550" s="41">
        <v>537962.96296296292</v>
      </c>
      <c r="X550" s="38">
        <f t="shared" si="48"/>
        <v>0.73217222222222245</v>
      </c>
      <c r="Y550" s="39">
        <f t="shared" si="49"/>
        <v>1.0759259259259259E-3</v>
      </c>
      <c r="Z550" s="39">
        <f t="shared" si="53"/>
        <v>1.4716610265658877E-3</v>
      </c>
      <c r="AA550" s="41">
        <f t="shared" si="50"/>
        <v>133913888.88888878</v>
      </c>
      <c r="AB550" s="39">
        <f t="shared" si="51"/>
        <v>4.0172305309520385E-3</v>
      </c>
      <c r="AC550" s="38">
        <f t="shared" si="52"/>
        <v>0.2576557147083241</v>
      </c>
      <c r="AD550" s="3"/>
    </row>
    <row r="551" spans="1:30" x14ac:dyDescent="0.25">
      <c r="A551" s="37">
        <v>46187</v>
      </c>
      <c r="B551" s="41">
        <v>13279629.62962961</v>
      </c>
      <c r="C551" s="41">
        <v>35185.185185185182</v>
      </c>
      <c r="D551" s="41">
        <v>48548611.111111403</v>
      </c>
      <c r="E551" s="41">
        <v>131944.44444444441</v>
      </c>
      <c r="F551" s="41">
        <v>50000000</v>
      </c>
      <c r="G551" s="41">
        <v>0</v>
      </c>
      <c r="H551" s="41">
        <v>50000000</v>
      </c>
      <c r="I551" s="41">
        <v>0</v>
      </c>
      <c r="J551" s="41">
        <v>18777777.777777851</v>
      </c>
      <c r="K551" s="41">
        <v>111111.11111111109</v>
      </c>
      <c r="L551" s="41">
        <v>9694444.444444498</v>
      </c>
      <c r="M551" s="41">
        <v>27777.777777777781</v>
      </c>
      <c r="N551" s="41">
        <v>45504166.6666665</v>
      </c>
      <c r="O551" s="41">
        <v>79166.666666666672</v>
      </c>
      <c r="P551" s="41">
        <v>75000000</v>
      </c>
      <c r="Q551" s="41">
        <v>0</v>
      </c>
      <c r="R551" s="41">
        <v>33199074.074073989</v>
      </c>
      <c r="S551" s="41">
        <v>87962.962962962964</v>
      </c>
      <c r="T551" s="41">
        <v>22620370.37037028</v>
      </c>
      <c r="U551" s="41">
        <v>64814.814814814818</v>
      </c>
      <c r="V551" s="41">
        <v>366624074.07407409</v>
      </c>
      <c r="W551" s="41">
        <v>537962.96296296292</v>
      </c>
      <c r="X551" s="38">
        <f t="shared" si="48"/>
        <v>0.7332481481481482</v>
      </c>
      <c r="Y551" s="39">
        <f t="shared" si="49"/>
        <v>1.0759259259259259E-3</v>
      </c>
      <c r="Z551" s="39">
        <f t="shared" si="53"/>
        <v>1.4694984230081462E-3</v>
      </c>
      <c r="AA551" s="41">
        <f t="shared" si="50"/>
        <v>133375925.92592591</v>
      </c>
      <c r="AB551" s="39">
        <f t="shared" si="51"/>
        <v>4.0334337642142096E-3</v>
      </c>
      <c r="AC551" s="38">
        <f t="shared" si="52"/>
        <v>0.25718041364770727</v>
      </c>
      <c r="AD551" s="3"/>
    </row>
    <row r="552" spans="1:30" x14ac:dyDescent="0.25">
      <c r="A552" s="37">
        <v>46188</v>
      </c>
      <c r="B552" s="41">
        <v>13314814.8148148</v>
      </c>
      <c r="C552" s="41">
        <v>35185.185185185182</v>
      </c>
      <c r="D552" s="41">
        <v>48680555.555555843</v>
      </c>
      <c r="E552" s="41">
        <v>131944.44444444441</v>
      </c>
      <c r="F552" s="41">
        <v>50000000</v>
      </c>
      <c r="G552" s="41">
        <v>0</v>
      </c>
      <c r="H552" s="41">
        <v>50000000</v>
      </c>
      <c r="I552" s="41">
        <v>0</v>
      </c>
      <c r="J552" s="41">
        <v>18888888.888888959</v>
      </c>
      <c r="K552" s="41">
        <v>111111.11111111109</v>
      </c>
      <c r="L552" s="41">
        <v>9722222.222222276</v>
      </c>
      <c r="M552" s="41">
        <v>27777.777777777781</v>
      </c>
      <c r="N552" s="41">
        <v>45583333.333333157</v>
      </c>
      <c r="O552" s="41">
        <v>79166.666666666672</v>
      </c>
      <c r="P552" s="41">
        <v>75000000</v>
      </c>
      <c r="Q552" s="41">
        <v>0</v>
      </c>
      <c r="R552" s="41">
        <v>33287037.037036952</v>
      </c>
      <c r="S552" s="41">
        <v>87962.962962962964</v>
      </c>
      <c r="T552" s="41">
        <v>22685185.18518509</v>
      </c>
      <c r="U552" s="41">
        <v>64814.814814814818</v>
      </c>
      <c r="V552" s="41">
        <v>367162037.03703707</v>
      </c>
      <c r="W552" s="41">
        <v>537962.96296296292</v>
      </c>
      <c r="X552" s="38">
        <f t="shared" si="48"/>
        <v>0.73432407407407418</v>
      </c>
      <c r="Y552" s="39">
        <f t="shared" si="49"/>
        <v>1.0759259259259259E-3</v>
      </c>
      <c r="Z552" s="39">
        <f t="shared" si="53"/>
        <v>1.4673421660091827E-3</v>
      </c>
      <c r="AA552" s="41">
        <f t="shared" si="50"/>
        <v>132837962.96296293</v>
      </c>
      <c r="AB552" s="39">
        <f t="shared" si="51"/>
        <v>4.049768236155161E-3</v>
      </c>
      <c r="AC552" s="38">
        <f t="shared" si="52"/>
        <v>0.25670686294705813</v>
      </c>
      <c r="AD552" s="3"/>
    </row>
    <row r="553" spans="1:30" x14ac:dyDescent="0.25">
      <c r="A553" s="37">
        <v>46189</v>
      </c>
      <c r="B553" s="41">
        <v>13349999.99999998</v>
      </c>
      <c r="C553" s="41">
        <v>35185.185185185182</v>
      </c>
      <c r="D553" s="41">
        <v>48812500.000000291</v>
      </c>
      <c r="E553" s="41">
        <v>131944.44444444441</v>
      </c>
      <c r="F553" s="41">
        <v>50000000</v>
      </c>
      <c r="G553" s="41">
        <v>0</v>
      </c>
      <c r="H553" s="41">
        <v>50000000</v>
      </c>
      <c r="I553" s="41">
        <v>0</v>
      </c>
      <c r="J553" s="41">
        <v>19000000.000000071</v>
      </c>
      <c r="K553" s="41">
        <v>111111.11111111109</v>
      </c>
      <c r="L553" s="41">
        <v>9750000.000000054</v>
      </c>
      <c r="M553" s="41">
        <v>27777.777777777781</v>
      </c>
      <c r="N553" s="41">
        <v>45662499.999999829</v>
      </c>
      <c r="O553" s="41">
        <v>79166.666666666672</v>
      </c>
      <c r="P553" s="41">
        <v>75000000</v>
      </c>
      <c r="Q553" s="41">
        <v>0</v>
      </c>
      <c r="R553" s="41">
        <v>33374999.999999911</v>
      </c>
      <c r="S553" s="41">
        <v>87962.962962962964</v>
      </c>
      <c r="T553" s="41">
        <v>22749999.999999911</v>
      </c>
      <c r="U553" s="41">
        <v>64814.814814814818</v>
      </c>
      <c r="V553" s="41">
        <v>367700000.00000012</v>
      </c>
      <c r="W553" s="41">
        <v>537962.96296296292</v>
      </c>
      <c r="X553" s="38">
        <f t="shared" si="48"/>
        <v>0.73540000000000028</v>
      </c>
      <c r="Y553" s="39">
        <f t="shared" si="49"/>
        <v>1.0759259259259259E-3</v>
      </c>
      <c r="Z553" s="39">
        <f t="shared" si="53"/>
        <v>1.4651922276722102E-3</v>
      </c>
      <c r="AA553" s="41">
        <f t="shared" si="50"/>
        <v>132299999.99999988</v>
      </c>
      <c r="AB553" s="39">
        <f t="shared" si="51"/>
        <v>4.0662355477170328E-3</v>
      </c>
      <c r="AC553" s="38">
        <f t="shared" si="52"/>
        <v>0.25623505295524418</v>
      </c>
      <c r="AD553" s="3"/>
    </row>
    <row r="554" spans="1:30" x14ac:dyDescent="0.25">
      <c r="A554" s="37">
        <v>46190</v>
      </c>
      <c r="B554" s="41">
        <v>13385185.18518517</v>
      </c>
      <c r="C554" s="41">
        <v>35185.185185185182</v>
      </c>
      <c r="D554" s="41">
        <v>48944444.444444738</v>
      </c>
      <c r="E554" s="41">
        <v>131944.44444444441</v>
      </c>
      <c r="F554" s="41">
        <v>50000000</v>
      </c>
      <c r="G554" s="41">
        <v>0</v>
      </c>
      <c r="H554" s="41">
        <v>50000000</v>
      </c>
      <c r="I554" s="41">
        <v>0</v>
      </c>
      <c r="J554" s="41">
        <v>19111111.111111179</v>
      </c>
      <c r="K554" s="41">
        <v>111111.11111111109</v>
      </c>
      <c r="L554" s="41">
        <v>9777777.777777832</v>
      </c>
      <c r="M554" s="41">
        <v>27777.777777777781</v>
      </c>
      <c r="N554" s="41">
        <v>45741666.666666493</v>
      </c>
      <c r="O554" s="41">
        <v>79166.666666666672</v>
      </c>
      <c r="P554" s="41">
        <v>75000000</v>
      </c>
      <c r="Q554" s="41">
        <v>0</v>
      </c>
      <c r="R554" s="41">
        <v>33462962.962962881</v>
      </c>
      <c r="S554" s="41">
        <v>87962.962962962964</v>
      </c>
      <c r="T554" s="41">
        <v>22814814.81481472</v>
      </c>
      <c r="U554" s="41">
        <v>64814.814814814818</v>
      </c>
      <c r="V554" s="41">
        <v>368237962.96296299</v>
      </c>
      <c r="W554" s="41">
        <v>537962.96296296292</v>
      </c>
      <c r="X554" s="38">
        <f t="shared" si="48"/>
        <v>0.73647592592592592</v>
      </c>
      <c r="Y554" s="39">
        <f t="shared" si="49"/>
        <v>1.0759259259259259E-3</v>
      </c>
      <c r="Z554" s="39">
        <f t="shared" si="53"/>
        <v>1.4630485802637008E-3</v>
      </c>
      <c r="AA554" s="41">
        <f t="shared" si="50"/>
        <v>131762037.03703701</v>
      </c>
      <c r="AB554" s="39">
        <f t="shared" si="51"/>
        <v>4.0828373259875058E-3</v>
      </c>
      <c r="AC554" s="38">
        <f t="shared" si="52"/>
        <v>0.25576497409195537</v>
      </c>
      <c r="AD554" s="3"/>
    </row>
    <row r="555" spans="1:30" x14ac:dyDescent="0.25">
      <c r="A555" s="37">
        <v>46191</v>
      </c>
      <c r="B555" s="41">
        <v>13420370.370370351</v>
      </c>
      <c r="C555" s="41">
        <v>35185.185185185182</v>
      </c>
      <c r="D555" s="41">
        <v>49076388.888889194</v>
      </c>
      <c r="E555" s="41">
        <v>131944.44444444441</v>
      </c>
      <c r="F555" s="41">
        <v>50000000</v>
      </c>
      <c r="G555" s="41">
        <v>0</v>
      </c>
      <c r="H555" s="41">
        <v>50000000</v>
      </c>
      <c r="I555" s="41">
        <v>0</v>
      </c>
      <c r="J555" s="41">
        <v>19222222.222222291</v>
      </c>
      <c r="K555" s="41">
        <v>111111.11111111109</v>
      </c>
      <c r="L555" s="41">
        <v>9805555.55555561</v>
      </c>
      <c r="M555" s="41">
        <v>27777.777777777781</v>
      </c>
      <c r="N555" s="41">
        <v>45820833.333333157</v>
      </c>
      <c r="O555" s="41">
        <v>79166.666666666672</v>
      </c>
      <c r="P555" s="41">
        <v>75000000</v>
      </c>
      <c r="Q555" s="41">
        <v>0</v>
      </c>
      <c r="R555" s="41">
        <v>33550925.92592584</v>
      </c>
      <c r="S555" s="41">
        <v>87962.962962962964</v>
      </c>
      <c r="T555" s="41">
        <v>22879629.62962953</v>
      </c>
      <c r="U555" s="41">
        <v>64814.814814814818</v>
      </c>
      <c r="V555" s="41">
        <v>368775925.92592603</v>
      </c>
      <c r="W555" s="41">
        <v>537962.96296296292</v>
      </c>
      <c r="X555" s="38">
        <f t="shared" si="48"/>
        <v>0.73755185185185201</v>
      </c>
      <c r="Y555" s="39">
        <f t="shared" si="49"/>
        <v>1.0759259259259259E-3</v>
      </c>
      <c r="Z555" s="39">
        <f t="shared" si="53"/>
        <v>1.4609111962121915E-3</v>
      </c>
      <c r="AA555" s="41">
        <f t="shared" si="50"/>
        <v>131224074.07407397</v>
      </c>
      <c r="AB555" s="39">
        <f t="shared" si="51"/>
        <v>4.0995752247357528E-3</v>
      </c>
      <c r="AC555" s="38">
        <f t="shared" si="52"/>
        <v>0.25529661684705518</v>
      </c>
      <c r="AD555" s="3"/>
    </row>
    <row r="556" spans="1:30" x14ac:dyDescent="0.25">
      <c r="A556" s="37">
        <v>46192</v>
      </c>
      <c r="B556" s="41">
        <v>13455555.555555539</v>
      </c>
      <c r="C556" s="41">
        <v>35185.185185185182</v>
      </c>
      <c r="D556" s="41">
        <v>49208333.333333626</v>
      </c>
      <c r="E556" s="41">
        <v>131944.44444444441</v>
      </c>
      <c r="F556" s="41">
        <v>50000000</v>
      </c>
      <c r="G556" s="41">
        <v>0</v>
      </c>
      <c r="H556" s="41">
        <v>50000000</v>
      </c>
      <c r="I556" s="41">
        <v>0</v>
      </c>
      <c r="J556" s="41">
        <v>19333333.33333341</v>
      </c>
      <c r="K556" s="41">
        <v>111111.11111111109</v>
      </c>
      <c r="L556" s="41">
        <v>9833333.333333388</v>
      </c>
      <c r="M556" s="41">
        <v>27777.777777777781</v>
      </c>
      <c r="N556" s="41">
        <v>45899999.999999821</v>
      </c>
      <c r="O556" s="41">
        <v>79166.666666666672</v>
      </c>
      <c r="P556" s="41">
        <v>75000000</v>
      </c>
      <c r="Q556" s="41">
        <v>0</v>
      </c>
      <c r="R556" s="41">
        <v>33638888.888888814</v>
      </c>
      <c r="S556" s="41">
        <v>87962.962962962964</v>
      </c>
      <c r="T556" s="41">
        <v>22944444.444444351</v>
      </c>
      <c r="U556" s="41">
        <v>64814.814814814818</v>
      </c>
      <c r="V556" s="41">
        <v>369313888.8888889</v>
      </c>
      <c r="W556" s="41">
        <v>537962.96296296292</v>
      </c>
      <c r="X556" s="38">
        <f t="shared" si="48"/>
        <v>0.73862777777777777</v>
      </c>
      <c r="Y556" s="39">
        <f t="shared" si="49"/>
        <v>1.0759259259259259E-3</v>
      </c>
      <c r="Z556" s="39">
        <f t="shared" si="53"/>
        <v>1.4587800481071006E-3</v>
      </c>
      <c r="AA556" s="41">
        <f t="shared" si="50"/>
        <v>130686111.1111111</v>
      </c>
      <c r="AB556" s="39">
        <f t="shared" si="51"/>
        <v>4.1164509249615629E-3</v>
      </c>
      <c r="AC556" s="38">
        <f t="shared" si="52"/>
        <v>0.25482997177994016</v>
      </c>
      <c r="AD556" s="3"/>
    </row>
    <row r="557" spans="1:30" x14ac:dyDescent="0.25">
      <c r="A557" s="37">
        <v>46193</v>
      </c>
      <c r="B557" s="41">
        <v>13490740.74074072</v>
      </c>
      <c r="C557" s="41">
        <v>35185.185185185182</v>
      </c>
      <c r="D557" s="41">
        <v>49340277.777778082</v>
      </c>
      <c r="E557" s="41">
        <v>131944.44444444441</v>
      </c>
      <c r="F557" s="41">
        <v>50000000</v>
      </c>
      <c r="G557" s="41">
        <v>0</v>
      </c>
      <c r="H557" s="41">
        <v>50000000</v>
      </c>
      <c r="I557" s="41">
        <v>0</v>
      </c>
      <c r="J557" s="41">
        <v>19444444.444444519</v>
      </c>
      <c r="K557" s="41">
        <v>111111.11111111109</v>
      </c>
      <c r="L557" s="41">
        <v>9861111.111111166</v>
      </c>
      <c r="M557" s="41">
        <v>27777.777777777781</v>
      </c>
      <c r="N557" s="41">
        <v>45979166.666666493</v>
      </c>
      <c r="O557" s="41">
        <v>79166.666666666672</v>
      </c>
      <c r="P557" s="41">
        <v>75000000</v>
      </c>
      <c r="Q557" s="41">
        <v>0</v>
      </c>
      <c r="R557" s="41">
        <v>33726851.851851769</v>
      </c>
      <c r="S557" s="41">
        <v>87962.962962962964</v>
      </c>
      <c r="T557" s="41">
        <v>23009259.259259161</v>
      </c>
      <c r="U557" s="41">
        <v>64814.814814814818</v>
      </c>
      <c r="V557" s="41">
        <v>369851851.85185188</v>
      </c>
      <c r="W557" s="41">
        <v>537962.96296296292</v>
      </c>
      <c r="X557" s="38">
        <f t="shared" si="48"/>
        <v>0.73970370370370375</v>
      </c>
      <c r="Y557" s="39">
        <f t="shared" si="49"/>
        <v>1.0759259259259259E-3</v>
      </c>
      <c r="Z557" s="39">
        <f t="shared" si="53"/>
        <v>1.4566551086975597E-3</v>
      </c>
      <c r="AA557" s="41">
        <f t="shared" si="50"/>
        <v>130148148.14814812</v>
      </c>
      <c r="AB557" s="39">
        <f t="shared" si="51"/>
        <v>4.1334661354581678E-3</v>
      </c>
      <c r="AC557" s="38">
        <f t="shared" si="52"/>
        <v>0.25436502951890466</v>
      </c>
      <c r="AD557" s="3"/>
    </row>
    <row r="558" spans="1:30" x14ac:dyDescent="0.25">
      <c r="A558" s="37">
        <v>46194</v>
      </c>
      <c r="B558" s="41">
        <v>13525925.92592591</v>
      </c>
      <c r="C558" s="41">
        <v>35185.185185185182</v>
      </c>
      <c r="D558" s="41">
        <v>49472222.222222529</v>
      </c>
      <c r="E558" s="41">
        <v>131944.44444444441</v>
      </c>
      <c r="F558" s="41">
        <v>50000000</v>
      </c>
      <c r="G558" s="41">
        <v>0</v>
      </c>
      <c r="H558" s="41">
        <v>50000000</v>
      </c>
      <c r="I558" s="41">
        <v>0</v>
      </c>
      <c r="J558" s="41">
        <v>19555555.55555563</v>
      </c>
      <c r="K558" s="41">
        <v>111111.11111111109</v>
      </c>
      <c r="L558" s="41">
        <v>9888888.8888889439</v>
      </c>
      <c r="M558" s="41">
        <v>27777.777777777781</v>
      </c>
      <c r="N558" s="41">
        <v>46058333.33333315</v>
      </c>
      <c r="O558" s="41">
        <v>79166.666666666672</v>
      </c>
      <c r="P558" s="41">
        <v>75000000</v>
      </c>
      <c r="Q558" s="41">
        <v>0</v>
      </c>
      <c r="R558" s="41">
        <v>33814814.814814731</v>
      </c>
      <c r="S558" s="41">
        <v>87962.962962962964</v>
      </c>
      <c r="T558" s="41">
        <v>23074074.07407397</v>
      </c>
      <c r="U558" s="41">
        <v>64814.814814814818</v>
      </c>
      <c r="V558" s="41">
        <v>370389814.81481493</v>
      </c>
      <c r="W558" s="41">
        <v>537962.96296296292</v>
      </c>
      <c r="X558" s="38">
        <f t="shared" si="48"/>
        <v>0.74077962962962984</v>
      </c>
      <c r="Y558" s="39">
        <f t="shared" si="49"/>
        <v>1.0759259259259259E-3</v>
      </c>
      <c r="Z558" s="39">
        <f t="shared" si="53"/>
        <v>1.4545363508912475E-3</v>
      </c>
      <c r="AA558" s="41">
        <f t="shared" si="50"/>
        <v>129610185.18518507</v>
      </c>
      <c r="AB558" s="39">
        <f t="shared" si="51"/>
        <v>4.1506225933890112E-3</v>
      </c>
      <c r="AC558" s="38">
        <f t="shared" si="52"/>
        <v>0.25390178076051412</v>
      </c>
      <c r="AD558" s="3"/>
    </row>
    <row r="559" spans="1:30" x14ac:dyDescent="0.25">
      <c r="A559" s="37">
        <v>46195</v>
      </c>
      <c r="B559" s="41">
        <v>13561111.11111109</v>
      </c>
      <c r="C559" s="41">
        <v>35185.185185185182</v>
      </c>
      <c r="D559" s="41">
        <v>49604166.666666977</v>
      </c>
      <c r="E559" s="41">
        <v>131944.44444444441</v>
      </c>
      <c r="F559" s="41">
        <v>50000000</v>
      </c>
      <c r="G559" s="41">
        <v>0</v>
      </c>
      <c r="H559" s="41">
        <v>50000000</v>
      </c>
      <c r="I559" s="41">
        <v>0</v>
      </c>
      <c r="J559" s="41">
        <v>19666666.666666739</v>
      </c>
      <c r="K559" s="41">
        <v>111111.11111111109</v>
      </c>
      <c r="L559" s="41">
        <v>9916666.6666667219</v>
      </c>
      <c r="M559" s="41">
        <v>27777.777777777781</v>
      </c>
      <c r="N559" s="41">
        <v>46137499.999999806</v>
      </c>
      <c r="O559" s="41">
        <v>79166.666666666672</v>
      </c>
      <c r="P559" s="41">
        <v>75000000</v>
      </c>
      <c r="Q559" s="41">
        <v>0</v>
      </c>
      <c r="R559" s="41">
        <v>33902777.777777687</v>
      </c>
      <c r="S559" s="41">
        <v>87962.962962962964</v>
      </c>
      <c r="T559" s="41">
        <v>23138888.888888791</v>
      </c>
      <c r="U559" s="41">
        <v>64814.814814814818</v>
      </c>
      <c r="V559" s="41">
        <v>370927777.77777779</v>
      </c>
      <c r="W559" s="41">
        <v>537962.96296296292</v>
      </c>
      <c r="X559" s="38">
        <f t="shared" si="48"/>
        <v>0.7418555555555556</v>
      </c>
      <c r="Y559" s="39">
        <f t="shared" si="49"/>
        <v>1.0759259259259259E-3</v>
      </c>
      <c r="Z559" s="39">
        <f t="shared" si="53"/>
        <v>1.4524237477532423E-3</v>
      </c>
      <c r="AA559" s="41">
        <f t="shared" si="50"/>
        <v>129072222.22222221</v>
      </c>
      <c r="AB559" s="39">
        <f t="shared" si="51"/>
        <v>4.1679220648789799E-3</v>
      </c>
      <c r="AC559" s="38">
        <f t="shared" si="52"/>
        <v>0.25344021626898455</v>
      </c>
      <c r="AD559" s="3"/>
    </row>
    <row r="560" spans="1:30" x14ac:dyDescent="0.25">
      <c r="A560" s="37">
        <v>46196</v>
      </c>
      <c r="B560" s="41">
        <v>13596296.29629628</v>
      </c>
      <c r="C560" s="41">
        <v>35185.185185185182</v>
      </c>
      <c r="D560" s="41">
        <v>49736111.111111417</v>
      </c>
      <c r="E560" s="41">
        <v>131944.44444444441</v>
      </c>
      <c r="F560" s="41">
        <v>50000000</v>
      </c>
      <c r="G560" s="41">
        <v>0</v>
      </c>
      <c r="H560" s="41">
        <v>50000000</v>
      </c>
      <c r="I560" s="41">
        <v>0</v>
      </c>
      <c r="J560" s="41">
        <v>19777777.777777851</v>
      </c>
      <c r="K560" s="41">
        <v>111111.11111111109</v>
      </c>
      <c r="L560" s="41">
        <v>9944444.4444444999</v>
      </c>
      <c r="M560" s="41">
        <v>27777.777777777781</v>
      </c>
      <c r="N560" s="41">
        <v>46216666.666666478</v>
      </c>
      <c r="O560" s="41">
        <v>79166.666666666672</v>
      </c>
      <c r="P560" s="41">
        <v>75000000</v>
      </c>
      <c r="Q560" s="41">
        <v>0</v>
      </c>
      <c r="R560" s="41">
        <v>33990740.740740657</v>
      </c>
      <c r="S560" s="41">
        <v>87962.962962962964</v>
      </c>
      <c r="T560" s="41">
        <v>23203703.703703601</v>
      </c>
      <c r="U560" s="41">
        <v>64814.814814814818</v>
      </c>
      <c r="V560" s="41">
        <v>371465740.74074078</v>
      </c>
      <c r="W560" s="41">
        <v>537962.96296296292</v>
      </c>
      <c r="X560" s="38">
        <f t="shared" si="48"/>
        <v>0.74293148148148158</v>
      </c>
      <c r="Y560" s="39">
        <f t="shared" si="49"/>
        <v>1.0759259259259259E-3</v>
      </c>
      <c r="Z560" s="39">
        <f t="shared" si="53"/>
        <v>1.45031727250488E-3</v>
      </c>
      <c r="AA560" s="41">
        <f t="shared" si="50"/>
        <v>128534259.25925922</v>
      </c>
      <c r="AB560" s="39">
        <f t="shared" si="51"/>
        <v>4.1853663456204943E-3</v>
      </c>
      <c r="AC560" s="38">
        <f t="shared" si="52"/>
        <v>0.25298032687556798</v>
      </c>
      <c r="AD560" s="3"/>
    </row>
    <row r="561" spans="1:30" x14ac:dyDescent="0.25">
      <c r="A561" s="37">
        <v>46197</v>
      </c>
      <c r="B561" s="41">
        <v>13631481.481481461</v>
      </c>
      <c r="C561" s="41">
        <v>35185.185185185182</v>
      </c>
      <c r="D561" s="41">
        <v>49868055.555555873</v>
      </c>
      <c r="E561" s="41">
        <v>131944.44444444441</v>
      </c>
      <c r="F561" s="41">
        <v>50000000</v>
      </c>
      <c r="G561" s="41">
        <v>0</v>
      </c>
      <c r="H561" s="41">
        <v>50000000</v>
      </c>
      <c r="I561" s="41">
        <v>0</v>
      </c>
      <c r="J561" s="41">
        <v>19888888.88888897</v>
      </c>
      <c r="K561" s="41">
        <v>111111.11111111109</v>
      </c>
      <c r="L561" s="41">
        <v>9972222.2222222779</v>
      </c>
      <c r="M561" s="41">
        <v>27777.777777777781</v>
      </c>
      <c r="N561" s="41">
        <v>46295833.333333142</v>
      </c>
      <c r="O561" s="41">
        <v>79166.666666666672</v>
      </c>
      <c r="P561" s="41">
        <v>75000000</v>
      </c>
      <c r="Q561" s="41">
        <v>0</v>
      </c>
      <c r="R561" s="41">
        <v>34078703.70370362</v>
      </c>
      <c r="S561" s="41">
        <v>87962.962962962964</v>
      </c>
      <c r="T561" s="41">
        <v>23268518.518518411</v>
      </c>
      <c r="U561" s="41">
        <v>64814.814814814818</v>
      </c>
      <c r="V561" s="41">
        <v>372003703.7037037</v>
      </c>
      <c r="W561" s="41">
        <v>537962.96296296292</v>
      </c>
      <c r="X561" s="38">
        <f t="shared" si="48"/>
        <v>0.74400740740740745</v>
      </c>
      <c r="Y561" s="39">
        <f t="shared" si="49"/>
        <v>1.0759259259259259E-3</v>
      </c>
      <c r="Z561" s="39">
        <f t="shared" si="53"/>
        <v>1.4482168985226192E-3</v>
      </c>
      <c r="AA561" s="41">
        <f t="shared" si="50"/>
        <v>127996296.2962963</v>
      </c>
      <c r="AB561" s="39">
        <f t="shared" si="51"/>
        <v>4.2029572614948347E-3</v>
      </c>
      <c r="AC561" s="38">
        <f t="shared" si="52"/>
        <v>0.2525221034779464</v>
      </c>
      <c r="AD561" s="3"/>
    </row>
    <row r="562" spans="1:30" x14ac:dyDescent="0.25">
      <c r="A562" s="37">
        <v>46198</v>
      </c>
      <c r="B562" s="41">
        <v>13666666.666666649</v>
      </c>
      <c r="C562" s="41">
        <v>35185.185185185182</v>
      </c>
      <c r="D562" s="41">
        <v>50000000</v>
      </c>
      <c r="E562" s="41">
        <v>131944.44444444441</v>
      </c>
      <c r="F562" s="41">
        <v>50000000</v>
      </c>
      <c r="G562" s="41">
        <v>0</v>
      </c>
      <c r="H562" s="41">
        <v>50000000</v>
      </c>
      <c r="I562" s="41">
        <v>0</v>
      </c>
      <c r="J562" s="41">
        <v>20000000.000000078</v>
      </c>
      <c r="K562" s="41">
        <v>111111.11111111109</v>
      </c>
      <c r="L562" s="41">
        <v>10000000</v>
      </c>
      <c r="M562" s="41">
        <v>27777.777777777781</v>
      </c>
      <c r="N562" s="41">
        <v>46374999.999999806</v>
      </c>
      <c r="O562" s="41">
        <v>79166.666666666672</v>
      </c>
      <c r="P562" s="41">
        <v>75000000</v>
      </c>
      <c r="Q562" s="41">
        <v>0</v>
      </c>
      <c r="R562" s="41">
        <v>34166666.666666582</v>
      </c>
      <c r="S562" s="41">
        <v>87962.962962962964</v>
      </c>
      <c r="T562" s="41">
        <v>23333333.333333232</v>
      </c>
      <c r="U562" s="41">
        <v>64814.814814814818</v>
      </c>
      <c r="V562" s="41">
        <v>372541666.66666633</v>
      </c>
      <c r="W562" s="41">
        <v>537962.96296296292</v>
      </c>
      <c r="X562" s="38">
        <f t="shared" si="48"/>
        <v>0.74508333333333265</v>
      </c>
      <c r="Y562" s="39">
        <f t="shared" si="49"/>
        <v>1.0759259259259259E-3</v>
      </c>
      <c r="Z562" s="39">
        <f t="shared" si="53"/>
        <v>1.446122599336924E-3</v>
      </c>
      <c r="AA562" s="41">
        <f t="shared" si="50"/>
        <v>127458333.33333367</v>
      </c>
      <c r="AB562" s="39">
        <f t="shared" si="51"/>
        <v>4.2206966692092439E-3</v>
      </c>
      <c r="AC562" s="38">
        <f t="shared" si="52"/>
        <v>0.25206553703963058</v>
      </c>
      <c r="AD562" s="3"/>
    </row>
    <row r="563" spans="1:30" x14ac:dyDescent="0.25">
      <c r="A563" s="37">
        <v>46199</v>
      </c>
      <c r="B563" s="41">
        <v>13701851.85185183</v>
      </c>
      <c r="C563" s="41">
        <v>35185.185185185182</v>
      </c>
      <c r="D563" s="41">
        <v>50000000</v>
      </c>
      <c r="E563" s="41">
        <v>0</v>
      </c>
      <c r="F563" s="41">
        <v>50000000</v>
      </c>
      <c r="G563" s="41">
        <v>0</v>
      </c>
      <c r="H563" s="41">
        <v>50000000</v>
      </c>
      <c r="I563" s="41">
        <v>0</v>
      </c>
      <c r="J563" s="41">
        <v>20111111.11111119</v>
      </c>
      <c r="K563" s="41">
        <v>111111.11111111109</v>
      </c>
      <c r="L563" s="41">
        <v>10000000</v>
      </c>
      <c r="M563" s="41">
        <v>0</v>
      </c>
      <c r="N563" s="41">
        <v>46454166.66666647</v>
      </c>
      <c r="O563" s="41">
        <v>79166.666666666672</v>
      </c>
      <c r="P563" s="41">
        <v>75000000</v>
      </c>
      <c r="Q563" s="41">
        <v>0</v>
      </c>
      <c r="R563" s="41">
        <v>34254629.629629537</v>
      </c>
      <c r="S563" s="41">
        <v>87962.962962962964</v>
      </c>
      <c r="T563" s="41">
        <v>23398148.148148041</v>
      </c>
      <c r="U563" s="41">
        <v>64814.814814814818</v>
      </c>
      <c r="V563" s="41">
        <v>372919907.4074071</v>
      </c>
      <c r="W563" s="41">
        <v>378240.74074074079</v>
      </c>
      <c r="X563" s="38">
        <f t="shared" si="48"/>
        <v>0.74583981481481421</v>
      </c>
      <c r="Y563" s="39">
        <f t="shared" si="49"/>
        <v>7.5648148148148157E-4</v>
      </c>
      <c r="Z563" s="39">
        <f t="shared" si="53"/>
        <v>1.0152978165504738E-3</v>
      </c>
      <c r="AA563" s="41">
        <f t="shared" si="50"/>
        <v>127080092.5925929</v>
      </c>
      <c r="AB563" s="39">
        <f t="shared" si="51"/>
        <v>2.976396483699031E-3</v>
      </c>
      <c r="AC563" s="38">
        <f t="shared" si="52"/>
        <v>0.2517455132578203</v>
      </c>
      <c r="AD563" s="3"/>
    </row>
    <row r="564" spans="1:30" x14ac:dyDescent="0.25">
      <c r="A564" s="37">
        <v>46200</v>
      </c>
      <c r="B564" s="41">
        <v>13737037.037037009</v>
      </c>
      <c r="C564" s="41">
        <v>35185.185185185182</v>
      </c>
      <c r="D564" s="41">
        <v>50000000</v>
      </c>
      <c r="E564" s="41">
        <v>0</v>
      </c>
      <c r="F564" s="41">
        <v>50000000</v>
      </c>
      <c r="G564" s="41">
        <v>0</v>
      </c>
      <c r="H564" s="41">
        <v>50000000</v>
      </c>
      <c r="I564" s="41">
        <v>0</v>
      </c>
      <c r="J564" s="41">
        <v>20222222.222222298</v>
      </c>
      <c r="K564" s="41">
        <v>111111.11111111109</v>
      </c>
      <c r="L564" s="41">
        <v>10000000</v>
      </c>
      <c r="M564" s="41">
        <v>0</v>
      </c>
      <c r="N564" s="41">
        <v>46533333.333333127</v>
      </c>
      <c r="O564" s="41">
        <v>79166.666666666672</v>
      </c>
      <c r="P564" s="41">
        <v>75000000</v>
      </c>
      <c r="Q564" s="41">
        <v>0</v>
      </c>
      <c r="R564" s="41">
        <v>34342592.592592508</v>
      </c>
      <c r="S564" s="41">
        <v>87962.962962962964</v>
      </c>
      <c r="T564" s="41">
        <v>23462962.962962851</v>
      </c>
      <c r="U564" s="41">
        <v>64814.814814814818</v>
      </c>
      <c r="V564" s="41">
        <v>373298148.14814782</v>
      </c>
      <c r="W564" s="41">
        <v>378240.74074074079</v>
      </c>
      <c r="X564" s="38">
        <f t="shared" si="48"/>
        <v>0.74659629629629565</v>
      </c>
      <c r="Y564" s="39">
        <f t="shared" si="49"/>
        <v>7.5648148148148157E-4</v>
      </c>
      <c r="Z564" s="39">
        <f t="shared" si="53"/>
        <v>1.0142680324317489E-3</v>
      </c>
      <c r="AA564" s="41">
        <f t="shared" si="50"/>
        <v>126701851.85185218</v>
      </c>
      <c r="AB564" s="39">
        <f t="shared" si="51"/>
        <v>2.9852818661482848E-3</v>
      </c>
      <c r="AC564" s="38">
        <f t="shared" si="52"/>
        <v>0.25142630105350749</v>
      </c>
      <c r="AD564" s="3"/>
    </row>
    <row r="565" spans="1:30" x14ac:dyDescent="0.25">
      <c r="A565" s="37">
        <v>46201</v>
      </c>
      <c r="B565" s="41">
        <v>13772222.2222222</v>
      </c>
      <c r="C565" s="41">
        <v>35185.185185185182</v>
      </c>
      <c r="D565" s="41">
        <v>50000000</v>
      </c>
      <c r="E565" s="41">
        <v>0</v>
      </c>
      <c r="F565" s="41">
        <v>50000000</v>
      </c>
      <c r="G565" s="41">
        <v>0</v>
      </c>
      <c r="H565" s="41">
        <v>50000000</v>
      </c>
      <c r="I565" s="41">
        <v>0</v>
      </c>
      <c r="J565" s="41">
        <v>20333333.33333341</v>
      </c>
      <c r="K565" s="41">
        <v>111111.11111111109</v>
      </c>
      <c r="L565" s="41">
        <v>10000000</v>
      </c>
      <c r="M565" s="41">
        <v>0</v>
      </c>
      <c r="N565" s="41">
        <v>46612499.999999799</v>
      </c>
      <c r="O565" s="41">
        <v>79166.666666666672</v>
      </c>
      <c r="P565" s="41">
        <v>75000000</v>
      </c>
      <c r="Q565" s="41">
        <v>0</v>
      </c>
      <c r="R565" s="41">
        <v>34430555.55555547</v>
      </c>
      <c r="S565" s="41">
        <v>87962.962962962964</v>
      </c>
      <c r="T565" s="41">
        <v>23527777.777777672</v>
      </c>
      <c r="U565" s="41">
        <v>64814.814814814818</v>
      </c>
      <c r="V565" s="41">
        <v>373676388.88888848</v>
      </c>
      <c r="W565" s="41">
        <v>378240.74074074079</v>
      </c>
      <c r="X565" s="38">
        <f t="shared" si="48"/>
        <v>0.74735277777777698</v>
      </c>
      <c r="Y565" s="39">
        <f t="shared" si="49"/>
        <v>7.5648148148148157E-4</v>
      </c>
      <c r="Z565" s="39">
        <f t="shared" si="53"/>
        <v>1.0132403351506352E-3</v>
      </c>
      <c r="AA565" s="41">
        <f t="shared" si="50"/>
        <v>126323611.11111152</v>
      </c>
      <c r="AB565" s="39">
        <f t="shared" si="51"/>
        <v>2.9942204581853539E-3</v>
      </c>
      <c r="AC565" s="38">
        <f t="shared" si="52"/>
        <v>0.2511078973433718</v>
      </c>
      <c r="AD565" s="3"/>
    </row>
    <row r="566" spans="1:30" x14ac:dyDescent="0.25">
      <c r="A566" s="37">
        <v>46202</v>
      </c>
      <c r="B566" s="41">
        <v>13807407.407407381</v>
      </c>
      <c r="C566" s="41">
        <v>35185.185185185182</v>
      </c>
      <c r="D566" s="41">
        <v>50000000</v>
      </c>
      <c r="E566" s="41">
        <v>0</v>
      </c>
      <c r="F566" s="41">
        <v>50000000</v>
      </c>
      <c r="G566" s="41">
        <v>0</v>
      </c>
      <c r="H566" s="41">
        <v>50000000</v>
      </c>
      <c r="I566" s="41">
        <v>0</v>
      </c>
      <c r="J566" s="41">
        <v>20444444.44444453</v>
      </c>
      <c r="K566" s="41">
        <v>111111.11111111109</v>
      </c>
      <c r="L566" s="41">
        <v>10000000</v>
      </c>
      <c r="M566" s="41">
        <v>0</v>
      </c>
      <c r="N566" s="41">
        <v>46691666.666666463</v>
      </c>
      <c r="O566" s="41">
        <v>79166.666666666672</v>
      </c>
      <c r="P566" s="41">
        <v>75000000</v>
      </c>
      <c r="Q566" s="41">
        <v>0</v>
      </c>
      <c r="R566" s="41">
        <v>34518518.518518433</v>
      </c>
      <c r="S566" s="41">
        <v>87962.962962962964</v>
      </c>
      <c r="T566" s="41">
        <v>23592592.592592482</v>
      </c>
      <c r="U566" s="41">
        <v>64814.814814814818</v>
      </c>
      <c r="V566" s="41">
        <v>374054629.62962931</v>
      </c>
      <c r="W566" s="41">
        <v>378240.74074074079</v>
      </c>
      <c r="X566" s="38">
        <f t="shared" si="48"/>
        <v>0.74810925925925864</v>
      </c>
      <c r="Y566" s="39">
        <f t="shared" si="49"/>
        <v>7.5648148148148157E-4</v>
      </c>
      <c r="Z566" s="39">
        <f t="shared" si="53"/>
        <v>1.0122147183701496E-3</v>
      </c>
      <c r="AA566" s="41">
        <f t="shared" si="50"/>
        <v>125945370.37037069</v>
      </c>
      <c r="AB566" s="39">
        <f t="shared" si="51"/>
        <v>3.0032127392093798E-3</v>
      </c>
      <c r="AC566" s="38">
        <f t="shared" si="52"/>
        <v>0.25079029905969147</v>
      </c>
      <c r="AD566" s="3"/>
    </row>
    <row r="567" spans="1:30" x14ac:dyDescent="0.25">
      <c r="A567" s="37">
        <v>46203</v>
      </c>
      <c r="B567" s="41">
        <v>13842592.592592571</v>
      </c>
      <c r="C567" s="41">
        <v>35185.185185185182</v>
      </c>
      <c r="D567" s="41">
        <v>50000000</v>
      </c>
      <c r="E567" s="41">
        <v>0</v>
      </c>
      <c r="F567" s="41">
        <v>50000000</v>
      </c>
      <c r="G567" s="41">
        <v>0</v>
      </c>
      <c r="H567" s="41">
        <v>50000000</v>
      </c>
      <c r="I567" s="41">
        <v>0</v>
      </c>
      <c r="J567" s="41">
        <v>20555555.555555642</v>
      </c>
      <c r="K567" s="41">
        <v>111111.11111111109</v>
      </c>
      <c r="L567" s="41">
        <v>10000000</v>
      </c>
      <c r="M567" s="41">
        <v>0</v>
      </c>
      <c r="N567" s="41">
        <v>46770833.333333127</v>
      </c>
      <c r="O567" s="41">
        <v>79166.666666666672</v>
      </c>
      <c r="P567" s="41">
        <v>75000000</v>
      </c>
      <c r="Q567" s="41">
        <v>0</v>
      </c>
      <c r="R567" s="41">
        <v>34606481.481481403</v>
      </c>
      <c r="S567" s="41">
        <v>87962.962962962964</v>
      </c>
      <c r="T567" s="41">
        <v>23657407.407407291</v>
      </c>
      <c r="U567" s="41">
        <v>64814.814814814818</v>
      </c>
      <c r="V567" s="41">
        <v>374432870.37036997</v>
      </c>
      <c r="W567" s="41">
        <v>378240.74074074079</v>
      </c>
      <c r="X567" s="38">
        <f t="shared" si="48"/>
        <v>0.74886574074073997</v>
      </c>
      <c r="Y567" s="39">
        <f t="shared" si="49"/>
        <v>7.5648148148148157E-4</v>
      </c>
      <c r="Z567" s="39">
        <f t="shared" si="53"/>
        <v>1.0111911757789401E-3</v>
      </c>
      <c r="AA567" s="41">
        <f t="shared" si="50"/>
        <v>125567129.62963003</v>
      </c>
      <c r="AB567" s="39">
        <f t="shared" si="51"/>
        <v>3.0122591943957874E-3</v>
      </c>
      <c r="AC567" s="38">
        <f t="shared" si="52"/>
        <v>0.2504735031502458</v>
      </c>
      <c r="AD567" s="3"/>
    </row>
    <row r="568" spans="1:30" x14ac:dyDescent="0.25">
      <c r="A568" s="37">
        <v>46204</v>
      </c>
      <c r="B568" s="41">
        <v>13877777.77777775</v>
      </c>
      <c r="C568" s="41">
        <v>35185.185185185182</v>
      </c>
      <c r="D568" s="41">
        <v>50000000</v>
      </c>
      <c r="E568" s="41">
        <v>0</v>
      </c>
      <c r="F568" s="41">
        <v>50000000</v>
      </c>
      <c r="G568" s="41">
        <v>0</v>
      </c>
      <c r="H568" s="41">
        <v>50000000</v>
      </c>
      <c r="I568" s="41">
        <v>0</v>
      </c>
      <c r="J568" s="41">
        <v>20666666.66666675</v>
      </c>
      <c r="K568" s="41">
        <v>111111.11111111109</v>
      </c>
      <c r="L568" s="41">
        <v>10000000</v>
      </c>
      <c r="M568" s="41">
        <v>0</v>
      </c>
      <c r="N568" s="41">
        <v>46849999.999999791</v>
      </c>
      <c r="O568" s="41">
        <v>79166.666666666672</v>
      </c>
      <c r="P568" s="41">
        <v>75000000</v>
      </c>
      <c r="Q568" s="41">
        <v>0</v>
      </c>
      <c r="R568" s="41">
        <v>34694444.444444358</v>
      </c>
      <c r="S568" s="41">
        <v>87962.962962962964</v>
      </c>
      <c r="T568" s="41">
        <v>23722222.222222108</v>
      </c>
      <c r="U568" s="41">
        <v>64814.814814814818</v>
      </c>
      <c r="V568" s="41">
        <v>374811111.11111069</v>
      </c>
      <c r="W568" s="41">
        <v>378240.74074074079</v>
      </c>
      <c r="X568" s="38">
        <f t="shared" si="48"/>
        <v>0.74962222222222141</v>
      </c>
      <c r="Y568" s="39">
        <f t="shared" si="49"/>
        <v>7.5648148148148157E-4</v>
      </c>
      <c r="Z568" s="39">
        <f t="shared" si="53"/>
        <v>1.0101697010911576E-3</v>
      </c>
      <c r="AA568" s="41">
        <f t="shared" si="50"/>
        <v>125188888.88888931</v>
      </c>
      <c r="AB568" s="39">
        <f t="shared" si="51"/>
        <v>3.0213603147835762E-3</v>
      </c>
      <c r="AC568" s="38">
        <f t="shared" si="52"/>
        <v>0.25015750657821628</v>
      </c>
      <c r="AD568" s="3"/>
    </row>
    <row r="569" spans="1:30" x14ac:dyDescent="0.25">
      <c r="A569" s="37">
        <v>46205</v>
      </c>
      <c r="B569" s="41">
        <v>13912962.96296294</v>
      </c>
      <c r="C569" s="41">
        <v>35185.185185185182</v>
      </c>
      <c r="D569" s="41">
        <v>50000000</v>
      </c>
      <c r="E569" s="41">
        <v>0</v>
      </c>
      <c r="F569" s="41">
        <v>50000000</v>
      </c>
      <c r="G569" s="41">
        <v>0</v>
      </c>
      <c r="H569" s="41">
        <v>50000000</v>
      </c>
      <c r="I569" s="41">
        <v>0</v>
      </c>
      <c r="J569" s="41">
        <v>20777777.777777862</v>
      </c>
      <c r="K569" s="41">
        <v>111111.11111111109</v>
      </c>
      <c r="L569" s="41">
        <v>10000000</v>
      </c>
      <c r="M569" s="41">
        <v>0</v>
      </c>
      <c r="N569" s="41">
        <v>46929166.666666463</v>
      </c>
      <c r="O569" s="41">
        <v>79166.666666666672</v>
      </c>
      <c r="P569" s="41">
        <v>75000000</v>
      </c>
      <c r="Q569" s="41">
        <v>0</v>
      </c>
      <c r="R569" s="41">
        <v>34782407.407407321</v>
      </c>
      <c r="S569" s="41">
        <v>87962.962962962964</v>
      </c>
      <c r="T569" s="41">
        <v>23787037.037036922</v>
      </c>
      <c r="U569" s="41">
        <v>64814.814814814818</v>
      </c>
      <c r="V569" s="41">
        <v>375189351.85185152</v>
      </c>
      <c r="W569" s="41">
        <v>378240.74074074079</v>
      </c>
      <c r="X569" s="38">
        <f t="shared" si="48"/>
        <v>0.75037870370370308</v>
      </c>
      <c r="Y569" s="39">
        <f t="shared" si="49"/>
        <v>7.5648148148148157E-4</v>
      </c>
      <c r="Z569" s="39">
        <f t="shared" si="53"/>
        <v>1.0091502880463258E-3</v>
      </c>
      <c r="AA569" s="41">
        <f t="shared" si="50"/>
        <v>124810648.14814848</v>
      </c>
      <c r="AB569" s="39">
        <f t="shared" si="51"/>
        <v>3.0305165973641478E-3</v>
      </c>
      <c r="AC569" s="38">
        <f t="shared" si="52"/>
        <v>0.2498423063220902</v>
      </c>
      <c r="AD569" s="3"/>
    </row>
    <row r="570" spans="1:30" x14ac:dyDescent="0.25">
      <c r="A570" s="37">
        <v>46206</v>
      </c>
      <c r="B570" s="41">
        <v>13948148.148148119</v>
      </c>
      <c r="C570" s="41">
        <v>35185.185185185182</v>
      </c>
      <c r="D570" s="41">
        <v>50000000</v>
      </c>
      <c r="E570" s="41">
        <v>0</v>
      </c>
      <c r="F570" s="41">
        <v>50000000</v>
      </c>
      <c r="G570" s="41">
        <v>0</v>
      </c>
      <c r="H570" s="41">
        <v>50000000</v>
      </c>
      <c r="I570" s="41">
        <v>0</v>
      </c>
      <c r="J570" s="41">
        <v>20888888.88888897</v>
      </c>
      <c r="K570" s="41">
        <v>111111.11111111109</v>
      </c>
      <c r="L570" s="41">
        <v>10000000</v>
      </c>
      <c r="M570" s="41">
        <v>0</v>
      </c>
      <c r="N570" s="41">
        <v>47008333.33333312</v>
      </c>
      <c r="O570" s="41">
        <v>79166.666666666672</v>
      </c>
      <c r="P570" s="41">
        <v>75000000</v>
      </c>
      <c r="Q570" s="41">
        <v>0</v>
      </c>
      <c r="R570" s="41">
        <v>34870370.370370284</v>
      </c>
      <c r="S570" s="41">
        <v>87962.962962962964</v>
      </c>
      <c r="T570" s="41">
        <v>23851851.851851739</v>
      </c>
      <c r="U570" s="41">
        <v>64814.814814814818</v>
      </c>
      <c r="V570" s="41">
        <v>375567592.59259218</v>
      </c>
      <c r="W570" s="41">
        <v>378240.74074074079</v>
      </c>
      <c r="X570" s="38">
        <f t="shared" si="48"/>
        <v>0.75113518518518441</v>
      </c>
      <c r="Y570" s="39">
        <f t="shared" si="49"/>
        <v>7.5648148148148157E-4</v>
      </c>
      <c r="Z570" s="39">
        <f t="shared" si="53"/>
        <v>1.0081329304092142E-3</v>
      </c>
      <c r="AA570" s="41">
        <f t="shared" si="50"/>
        <v>124432407.40740782</v>
      </c>
      <c r="AB570" s="39">
        <f t="shared" si="51"/>
        <v>3.0397285451717704E-3</v>
      </c>
      <c r="AC570" s="38">
        <f t="shared" si="52"/>
        <v>0.24952789937556447</v>
      </c>
      <c r="AD570" s="3"/>
    </row>
    <row r="571" spans="1:30" x14ac:dyDescent="0.25">
      <c r="A571" s="37">
        <v>46207</v>
      </c>
      <c r="B571" s="41">
        <v>13983333.33333331</v>
      </c>
      <c r="C571" s="41">
        <v>35185.185185185182</v>
      </c>
      <c r="D571" s="41">
        <v>50000000</v>
      </c>
      <c r="E571" s="41">
        <v>0</v>
      </c>
      <c r="F571" s="41">
        <v>50000000</v>
      </c>
      <c r="G571" s="41">
        <v>0</v>
      </c>
      <c r="H571" s="41">
        <v>50000000</v>
      </c>
      <c r="I571" s="41">
        <v>0</v>
      </c>
      <c r="J571" s="41">
        <v>21000000.000000089</v>
      </c>
      <c r="K571" s="41">
        <v>111111.11111111109</v>
      </c>
      <c r="L571" s="41">
        <v>10000000</v>
      </c>
      <c r="M571" s="41">
        <v>0</v>
      </c>
      <c r="N571" s="41">
        <v>47087499.999999776</v>
      </c>
      <c r="O571" s="41">
        <v>79166.666666666672</v>
      </c>
      <c r="P571" s="41">
        <v>75000000</v>
      </c>
      <c r="Q571" s="41">
        <v>0</v>
      </c>
      <c r="R571" s="41">
        <v>34958333.333333246</v>
      </c>
      <c r="S571" s="41">
        <v>87962.962962962964</v>
      </c>
      <c r="T571" s="41">
        <v>23916666.666666549</v>
      </c>
      <c r="U571" s="41">
        <v>64814.814814814818</v>
      </c>
      <c r="V571" s="41">
        <v>375945833.33333302</v>
      </c>
      <c r="W571" s="41">
        <v>378240.74074074079</v>
      </c>
      <c r="X571" s="38">
        <f t="shared" si="48"/>
        <v>0.75189166666666607</v>
      </c>
      <c r="Y571" s="39">
        <f t="shared" si="49"/>
        <v>7.5648148148148157E-4</v>
      </c>
      <c r="Z571" s="39">
        <f t="shared" si="53"/>
        <v>1.0071176219697113E-3</v>
      </c>
      <c r="AA571" s="41">
        <f t="shared" si="50"/>
        <v>124054166.66666698</v>
      </c>
      <c r="AB571" s="39">
        <f t="shared" si="51"/>
        <v>3.048996667375728E-3</v>
      </c>
      <c r="AC571" s="38">
        <f t="shared" si="52"/>
        <v>0.24921428274744928</v>
      </c>
      <c r="AD571" s="3"/>
    </row>
    <row r="572" spans="1:30" x14ac:dyDescent="0.25">
      <c r="A572" s="37">
        <v>46208</v>
      </c>
      <c r="B572" s="41">
        <v>14018518.518518491</v>
      </c>
      <c r="C572" s="41">
        <v>35185.185185185182</v>
      </c>
      <c r="D572" s="41">
        <v>50000000</v>
      </c>
      <c r="E572" s="41">
        <v>0</v>
      </c>
      <c r="F572" s="41">
        <v>50000000</v>
      </c>
      <c r="G572" s="41">
        <v>0</v>
      </c>
      <c r="H572" s="41">
        <v>50000000</v>
      </c>
      <c r="I572" s="41">
        <v>0</v>
      </c>
      <c r="J572" s="41">
        <v>21111111.111111201</v>
      </c>
      <c r="K572" s="41">
        <v>111111.11111111109</v>
      </c>
      <c r="L572" s="41">
        <v>10000000</v>
      </c>
      <c r="M572" s="41">
        <v>0</v>
      </c>
      <c r="N572" s="41">
        <v>47166666.666666448</v>
      </c>
      <c r="O572" s="41">
        <v>79166.666666666672</v>
      </c>
      <c r="P572" s="41">
        <v>75000000</v>
      </c>
      <c r="Q572" s="41">
        <v>0</v>
      </c>
      <c r="R572" s="41">
        <v>35046296.296296209</v>
      </c>
      <c r="S572" s="41">
        <v>87962.962962962964</v>
      </c>
      <c r="T572" s="41">
        <v>23981481.481481358</v>
      </c>
      <c r="U572" s="41">
        <v>64814.814814814818</v>
      </c>
      <c r="V572" s="41">
        <v>376324074.07407367</v>
      </c>
      <c r="W572" s="41">
        <v>378240.74074074079</v>
      </c>
      <c r="X572" s="38">
        <f t="shared" si="48"/>
        <v>0.7526481481481474</v>
      </c>
      <c r="Y572" s="39">
        <f t="shared" si="49"/>
        <v>7.5648148148148157E-4</v>
      </c>
      <c r="Z572" s="39">
        <f t="shared" si="53"/>
        <v>1.0061043565426965E-3</v>
      </c>
      <c r="AA572" s="41">
        <f t="shared" si="50"/>
        <v>123675925.92592633</v>
      </c>
      <c r="AB572" s="39">
        <f t="shared" si="51"/>
        <v>3.0583214793741013E-3</v>
      </c>
      <c r="AC572" s="38">
        <f t="shared" si="52"/>
        <v>0.24890145346157425</v>
      </c>
      <c r="AD572" s="3"/>
    </row>
    <row r="573" spans="1:30" x14ac:dyDescent="0.25">
      <c r="A573" s="37">
        <v>46209</v>
      </c>
      <c r="B573" s="41">
        <v>14053703.703703679</v>
      </c>
      <c r="C573" s="41">
        <v>35185.185185185182</v>
      </c>
      <c r="D573" s="41">
        <v>50000000</v>
      </c>
      <c r="E573" s="41">
        <v>0</v>
      </c>
      <c r="F573" s="41">
        <v>50000000</v>
      </c>
      <c r="G573" s="41">
        <v>0</v>
      </c>
      <c r="H573" s="41">
        <v>50000000</v>
      </c>
      <c r="I573" s="41">
        <v>0</v>
      </c>
      <c r="J573" s="41">
        <v>21222222.22222231</v>
      </c>
      <c r="K573" s="41">
        <v>111111.11111111109</v>
      </c>
      <c r="L573" s="41">
        <v>10000000</v>
      </c>
      <c r="M573" s="41">
        <v>0</v>
      </c>
      <c r="N573" s="41">
        <v>47245833.333333112</v>
      </c>
      <c r="O573" s="41">
        <v>79166.666666666672</v>
      </c>
      <c r="P573" s="41">
        <v>75000000</v>
      </c>
      <c r="Q573" s="41">
        <v>0</v>
      </c>
      <c r="R573" s="41">
        <v>35134259.259259172</v>
      </c>
      <c r="S573" s="41">
        <v>87962.962962962964</v>
      </c>
      <c r="T573" s="41">
        <v>24046296.296296179</v>
      </c>
      <c r="U573" s="41">
        <v>64814.814814814818</v>
      </c>
      <c r="V573" s="41">
        <v>376702314.81481439</v>
      </c>
      <c r="W573" s="41">
        <v>378240.74074074079</v>
      </c>
      <c r="X573" s="38">
        <f t="shared" si="48"/>
        <v>0.75340462962962873</v>
      </c>
      <c r="Y573" s="39">
        <f t="shared" si="49"/>
        <v>7.5648148148148157E-4</v>
      </c>
      <c r="Z573" s="39">
        <f t="shared" si="53"/>
        <v>1.005093127967917E-3</v>
      </c>
      <c r="AA573" s="41">
        <f t="shared" si="50"/>
        <v>123297685.18518561</v>
      </c>
      <c r="AB573" s="39">
        <f t="shared" si="51"/>
        <v>3.0677035028893384E-3</v>
      </c>
      <c r="AC573" s="38">
        <f t="shared" si="52"/>
        <v>0.24858940855669331</v>
      </c>
      <c r="AD573" s="3"/>
    </row>
    <row r="574" spans="1:30" x14ac:dyDescent="0.25">
      <c r="A574" s="37">
        <v>46210</v>
      </c>
      <c r="B574" s="41">
        <v>14088888.88888886</v>
      </c>
      <c r="C574" s="41">
        <v>35185.185185185182</v>
      </c>
      <c r="D574" s="41">
        <v>50000000</v>
      </c>
      <c r="E574" s="41">
        <v>0</v>
      </c>
      <c r="F574" s="41">
        <v>50000000</v>
      </c>
      <c r="G574" s="41">
        <v>0</v>
      </c>
      <c r="H574" s="41">
        <v>50000000</v>
      </c>
      <c r="I574" s="41">
        <v>0</v>
      </c>
      <c r="J574" s="41">
        <v>21333333.333333421</v>
      </c>
      <c r="K574" s="41">
        <v>111111.11111111109</v>
      </c>
      <c r="L574" s="41">
        <v>10000000</v>
      </c>
      <c r="M574" s="41">
        <v>0</v>
      </c>
      <c r="N574" s="41">
        <v>47324999.999999776</v>
      </c>
      <c r="O574" s="41">
        <v>79166.666666666672</v>
      </c>
      <c r="P574" s="41">
        <v>75000000</v>
      </c>
      <c r="Q574" s="41">
        <v>0</v>
      </c>
      <c r="R574" s="41">
        <v>35222222.222222127</v>
      </c>
      <c r="S574" s="41">
        <v>87962.962962962964</v>
      </c>
      <c r="T574" s="41">
        <v>24111111.111110989</v>
      </c>
      <c r="U574" s="41">
        <v>64814.814814814818</v>
      </c>
      <c r="V574" s="41">
        <v>377080555.55555522</v>
      </c>
      <c r="W574" s="41">
        <v>378240.74074074079</v>
      </c>
      <c r="X574" s="38">
        <f t="shared" si="48"/>
        <v>0.75416111111111039</v>
      </c>
      <c r="Y574" s="39">
        <f t="shared" si="49"/>
        <v>7.5648148148148157E-4</v>
      </c>
      <c r="Z574" s="39">
        <f t="shared" si="53"/>
        <v>1.0040839301098607E-3</v>
      </c>
      <c r="AA574" s="41">
        <f t="shared" si="50"/>
        <v>122919444.44444478</v>
      </c>
      <c r="AB574" s="39">
        <f t="shared" si="51"/>
        <v>3.0771432660655425E-3</v>
      </c>
      <c r="AC574" s="38">
        <f t="shared" si="52"/>
        <v>0.24827814508639187</v>
      </c>
      <c r="AD574" s="3"/>
    </row>
    <row r="575" spans="1:30" x14ac:dyDescent="0.25">
      <c r="A575" s="37">
        <v>46211</v>
      </c>
      <c r="B575" s="41">
        <v>14124074.07407405</v>
      </c>
      <c r="C575" s="41">
        <v>35185.185185185182</v>
      </c>
      <c r="D575" s="41">
        <v>50000000</v>
      </c>
      <c r="E575" s="41">
        <v>0</v>
      </c>
      <c r="F575" s="41">
        <v>50000000</v>
      </c>
      <c r="G575" s="41">
        <v>0</v>
      </c>
      <c r="H575" s="41">
        <v>50000000</v>
      </c>
      <c r="I575" s="41">
        <v>0</v>
      </c>
      <c r="J575" s="41">
        <v>21444444.44444453</v>
      </c>
      <c r="K575" s="41">
        <v>111111.11111111109</v>
      </c>
      <c r="L575" s="41">
        <v>10000000</v>
      </c>
      <c r="M575" s="41">
        <v>0</v>
      </c>
      <c r="N575" s="41">
        <v>47404166.666666441</v>
      </c>
      <c r="O575" s="41">
        <v>79166.666666666672</v>
      </c>
      <c r="P575" s="41">
        <v>75000000</v>
      </c>
      <c r="Q575" s="41">
        <v>0</v>
      </c>
      <c r="R575" s="41">
        <v>35310185.185185097</v>
      </c>
      <c r="S575" s="41">
        <v>87962.962962962964</v>
      </c>
      <c r="T575" s="41">
        <v>24175925.925925799</v>
      </c>
      <c r="U575" s="41">
        <v>64814.814814814818</v>
      </c>
      <c r="V575" s="41">
        <v>377458796.29629588</v>
      </c>
      <c r="W575" s="41">
        <v>378240.74074074079</v>
      </c>
      <c r="X575" s="38">
        <f t="shared" si="48"/>
        <v>0.75491759259259172</v>
      </c>
      <c r="Y575" s="39">
        <f t="shared" si="49"/>
        <v>7.5648148148148157E-4</v>
      </c>
      <c r="Z575" s="39">
        <f t="shared" si="53"/>
        <v>1.0030767568576329E-3</v>
      </c>
      <c r="AA575" s="41">
        <f t="shared" si="50"/>
        <v>122541203.70370412</v>
      </c>
      <c r="AB575" s="39">
        <f t="shared" si="51"/>
        <v>3.0866413035675732E-3</v>
      </c>
      <c r="AC575" s="38">
        <f t="shared" si="52"/>
        <v>0.24796766011899421</v>
      </c>
      <c r="AD575" s="3"/>
    </row>
    <row r="576" spans="1:30" x14ac:dyDescent="0.25">
      <c r="A576" s="37">
        <v>46212</v>
      </c>
      <c r="B576" s="41">
        <v>14159259.25925923</v>
      </c>
      <c r="C576" s="41">
        <v>35185.185185185182</v>
      </c>
      <c r="D576" s="41">
        <v>50000000</v>
      </c>
      <c r="E576" s="41">
        <v>0</v>
      </c>
      <c r="F576" s="41">
        <v>50000000</v>
      </c>
      <c r="G576" s="41">
        <v>0</v>
      </c>
      <c r="H576" s="41">
        <v>50000000</v>
      </c>
      <c r="I576" s="41">
        <v>0</v>
      </c>
      <c r="J576" s="41">
        <v>21555555.555555649</v>
      </c>
      <c r="K576" s="41">
        <v>111111.11111111109</v>
      </c>
      <c r="L576" s="41">
        <v>10000000</v>
      </c>
      <c r="M576" s="41">
        <v>0</v>
      </c>
      <c r="N576" s="41">
        <v>47483333.333333097</v>
      </c>
      <c r="O576" s="41">
        <v>79166.666666666672</v>
      </c>
      <c r="P576" s="41">
        <v>75000000</v>
      </c>
      <c r="Q576" s="41">
        <v>0</v>
      </c>
      <c r="R576" s="41">
        <v>35398148.14814806</v>
      </c>
      <c r="S576" s="41">
        <v>87962.962962962964</v>
      </c>
      <c r="T576" s="41">
        <v>24240740.74074062</v>
      </c>
      <c r="U576" s="41">
        <v>64814.814814814818</v>
      </c>
      <c r="V576" s="41">
        <v>377837037.0370366</v>
      </c>
      <c r="W576" s="41">
        <v>378240.74074074079</v>
      </c>
      <c r="X576" s="38">
        <f t="shared" si="48"/>
        <v>0.75567407407407317</v>
      </c>
      <c r="Y576" s="39">
        <f t="shared" si="49"/>
        <v>7.5648148148148157E-4</v>
      </c>
      <c r="Z576" s="39">
        <f t="shared" si="53"/>
        <v>1.0020716021248346E-3</v>
      </c>
      <c r="AA576" s="41">
        <f t="shared" si="50"/>
        <v>122162962.9629634</v>
      </c>
      <c r="AB576" s="39">
        <f t="shared" si="51"/>
        <v>3.0961981566820168E-3</v>
      </c>
      <c r="AC576" s="38">
        <f t="shared" si="52"/>
        <v>0.24765795073747071</v>
      </c>
      <c r="AD576" s="3"/>
    </row>
    <row r="577" spans="1:30" x14ac:dyDescent="0.25">
      <c r="A577" s="37">
        <v>46213</v>
      </c>
      <c r="B577" s="41">
        <v>14194444.44444442</v>
      </c>
      <c r="C577" s="41">
        <v>35185.185185185182</v>
      </c>
      <c r="D577" s="41">
        <v>50000000</v>
      </c>
      <c r="E577" s="41">
        <v>0</v>
      </c>
      <c r="F577" s="41">
        <v>50000000</v>
      </c>
      <c r="G577" s="41">
        <v>0</v>
      </c>
      <c r="H577" s="41">
        <v>50000000</v>
      </c>
      <c r="I577" s="41">
        <v>0</v>
      </c>
      <c r="J577" s="41">
        <v>21666666.666666761</v>
      </c>
      <c r="K577" s="41">
        <v>111111.11111111109</v>
      </c>
      <c r="L577" s="41">
        <v>10000000</v>
      </c>
      <c r="M577" s="41">
        <v>0</v>
      </c>
      <c r="N577" s="41">
        <v>47562499.999999769</v>
      </c>
      <c r="O577" s="41">
        <v>79166.666666666672</v>
      </c>
      <c r="P577" s="41">
        <v>75000000</v>
      </c>
      <c r="Q577" s="41">
        <v>0</v>
      </c>
      <c r="R577" s="41">
        <v>35486111.111111023</v>
      </c>
      <c r="S577" s="41">
        <v>87962.962962962964</v>
      </c>
      <c r="T577" s="41">
        <v>24305555.555555429</v>
      </c>
      <c r="U577" s="41">
        <v>64814.814814814818</v>
      </c>
      <c r="V577" s="41">
        <v>378215277.77777737</v>
      </c>
      <c r="W577" s="41">
        <v>378240.74074074079</v>
      </c>
      <c r="X577" s="38">
        <f t="shared" si="48"/>
        <v>0.75643055555555472</v>
      </c>
      <c r="Y577" s="39">
        <f t="shared" si="49"/>
        <v>7.5648148148148157E-4</v>
      </c>
      <c r="Z577" s="39">
        <f t="shared" si="53"/>
        <v>1.0010684598494367E-3</v>
      </c>
      <c r="AA577" s="41">
        <f t="shared" si="50"/>
        <v>121784722.22222263</v>
      </c>
      <c r="AB577" s="39">
        <f t="shared" si="51"/>
        <v>3.1058143734199973E-3</v>
      </c>
      <c r="AC577" s="38">
        <f t="shared" si="52"/>
        <v>0.24734901403934714</v>
      </c>
      <c r="AD577" s="3"/>
    </row>
    <row r="578" spans="1:30" x14ac:dyDescent="0.25">
      <c r="A578" s="37">
        <v>46214</v>
      </c>
      <c r="B578" s="41">
        <v>14229629.629629601</v>
      </c>
      <c r="C578" s="41">
        <v>35185.185185185182</v>
      </c>
      <c r="D578" s="41">
        <v>50000000</v>
      </c>
      <c r="E578" s="41">
        <v>0</v>
      </c>
      <c r="F578" s="41">
        <v>50000000</v>
      </c>
      <c r="G578" s="41">
        <v>0</v>
      </c>
      <c r="H578" s="41">
        <v>50000000</v>
      </c>
      <c r="I578" s="41">
        <v>0</v>
      </c>
      <c r="J578" s="41">
        <v>21777777.777777869</v>
      </c>
      <c r="K578" s="41">
        <v>111111.11111111109</v>
      </c>
      <c r="L578" s="41">
        <v>10000000</v>
      </c>
      <c r="M578" s="41">
        <v>0</v>
      </c>
      <c r="N578" s="41">
        <v>47641666.666666433</v>
      </c>
      <c r="O578" s="41">
        <v>79166.666666666672</v>
      </c>
      <c r="P578" s="41">
        <v>75000000</v>
      </c>
      <c r="Q578" s="41">
        <v>0</v>
      </c>
      <c r="R578" s="41">
        <v>35574074.074073993</v>
      </c>
      <c r="S578" s="41">
        <v>87962.962962962964</v>
      </c>
      <c r="T578" s="41">
        <v>24370370.370370239</v>
      </c>
      <c r="U578" s="41">
        <v>64814.814814814818</v>
      </c>
      <c r="V578" s="41">
        <v>378593518.51851809</v>
      </c>
      <c r="W578" s="41">
        <v>378240.74074074079</v>
      </c>
      <c r="X578" s="38">
        <f t="shared" si="48"/>
        <v>0.75718703703703616</v>
      </c>
      <c r="Y578" s="39">
        <f t="shared" si="49"/>
        <v>7.5648148148148157E-4</v>
      </c>
      <c r="Z578" s="39">
        <f t="shared" si="53"/>
        <v>1.0000673239936606E-3</v>
      </c>
      <c r="AA578" s="41">
        <f t="shared" si="50"/>
        <v>121406481.48148191</v>
      </c>
      <c r="AB578" s="39">
        <f t="shared" si="51"/>
        <v>3.1154905086219283E-3</v>
      </c>
      <c r="AC578" s="38">
        <f t="shared" si="52"/>
        <v>0.24704084713661395</v>
      </c>
      <c r="AD578" s="3"/>
    </row>
    <row r="579" spans="1:30" x14ac:dyDescent="0.25">
      <c r="A579" s="37">
        <v>46215</v>
      </c>
      <c r="B579" s="41">
        <v>14264814.814814789</v>
      </c>
      <c r="C579" s="41">
        <v>35185.185185185182</v>
      </c>
      <c r="D579" s="41">
        <v>50000000</v>
      </c>
      <c r="E579" s="41">
        <v>0</v>
      </c>
      <c r="F579" s="41">
        <v>50000000</v>
      </c>
      <c r="G579" s="41">
        <v>0</v>
      </c>
      <c r="H579" s="41">
        <v>50000000</v>
      </c>
      <c r="I579" s="41">
        <v>0</v>
      </c>
      <c r="J579" s="41">
        <v>21888888.888888981</v>
      </c>
      <c r="K579" s="41">
        <v>111111.11111111109</v>
      </c>
      <c r="L579" s="41">
        <v>10000000</v>
      </c>
      <c r="M579" s="41">
        <v>0</v>
      </c>
      <c r="N579" s="41">
        <v>47720833.333333097</v>
      </c>
      <c r="O579" s="41">
        <v>79166.666666666672</v>
      </c>
      <c r="P579" s="41">
        <v>75000000</v>
      </c>
      <c r="Q579" s="41">
        <v>0</v>
      </c>
      <c r="R579" s="41">
        <v>35662037.037036948</v>
      </c>
      <c r="S579" s="41">
        <v>87962.962962962964</v>
      </c>
      <c r="T579" s="41">
        <v>24435185.18518506</v>
      </c>
      <c r="U579" s="41">
        <v>64814.814814814818</v>
      </c>
      <c r="V579" s="41">
        <v>378971759.25925893</v>
      </c>
      <c r="W579" s="41">
        <v>378240.74074074079</v>
      </c>
      <c r="X579" s="38">
        <f t="shared" si="48"/>
        <v>0.75794351851851782</v>
      </c>
      <c r="Y579" s="39">
        <f t="shared" si="49"/>
        <v>7.5648148148148157E-4</v>
      </c>
      <c r="Z579" s="39">
        <f t="shared" si="53"/>
        <v>9.990681885438564E-4</v>
      </c>
      <c r="AA579" s="41">
        <f t="shared" si="50"/>
        <v>121028240.74074107</v>
      </c>
      <c r="AB579" s="39">
        <f t="shared" si="51"/>
        <v>3.1252271240642406E-3</v>
      </c>
      <c r="AC579" s="38">
        <f t="shared" si="52"/>
        <v>0.24673344715563578</v>
      </c>
      <c r="AD579" s="3"/>
    </row>
    <row r="580" spans="1:30" x14ac:dyDescent="0.25">
      <c r="A580" s="37">
        <v>46216</v>
      </c>
      <c r="B580" s="41">
        <v>14299999.99999997</v>
      </c>
      <c r="C580" s="41">
        <v>35185.185185185182</v>
      </c>
      <c r="D580" s="41">
        <v>50000000</v>
      </c>
      <c r="E580" s="41">
        <v>0</v>
      </c>
      <c r="F580" s="41">
        <v>50000000</v>
      </c>
      <c r="G580" s="41">
        <v>0</v>
      </c>
      <c r="H580" s="41">
        <v>50000000</v>
      </c>
      <c r="I580" s="41">
        <v>0</v>
      </c>
      <c r="J580" s="41">
        <v>22000000.000000089</v>
      </c>
      <c r="K580" s="41">
        <v>111111.11111111109</v>
      </c>
      <c r="L580" s="41">
        <v>10000000</v>
      </c>
      <c r="M580" s="41">
        <v>0</v>
      </c>
      <c r="N580" s="41">
        <v>47799999.999999762</v>
      </c>
      <c r="O580" s="41">
        <v>79166.666666666672</v>
      </c>
      <c r="P580" s="41">
        <v>75000000</v>
      </c>
      <c r="Q580" s="41">
        <v>0</v>
      </c>
      <c r="R580" s="41">
        <v>35749999.999999911</v>
      </c>
      <c r="S580" s="41">
        <v>87962.962962962964</v>
      </c>
      <c r="T580" s="41">
        <v>24499999.99999987</v>
      </c>
      <c r="U580" s="41">
        <v>64814.814814814818</v>
      </c>
      <c r="V580" s="41">
        <v>379349999.99999958</v>
      </c>
      <c r="W580" s="41">
        <v>378240.74074074079</v>
      </c>
      <c r="X580" s="38">
        <f t="shared" si="48"/>
        <v>0.75869999999999915</v>
      </c>
      <c r="Y580" s="39">
        <f t="shared" si="49"/>
        <v>7.5648148148148157E-4</v>
      </c>
      <c r="Z580" s="39">
        <f t="shared" si="53"/>
        <v>9.9807104751038181E-4</v>
      </c>
      <c r="AA580" s="41">
        <f t="shared" si="50"/>
        <v>120650000.00000042</v>
      </c>
      <c r="AB580" s="39">
        <f t="shared" si="51"/>
        <v>3.1350247885680851E-3</v>
      </c>
      <c r="AC580" s="38">
        <f t="shared" si="52"/>
        <v>0.24642681123706292</v>
      </c>
      <c r="AD580" s="3"/>
    </row>
    <row r="581" spans="1:30" x14ac:dyDescent="0.25">
      <c r="A581" s="37">
        <v>46217</v>
      </c>
      <c r="B581" s="41">
        <v>14335185.185185149</v>
      </c>
      <c r="C581" s="41">
        <v>35185.185185185182</v>
      </c>
      <c r="D581" s="41">
        <v>50000000</v>
      </c>
      <c r="E581" s="41">
        <v>0</v>
      </c>
      <c r="F581" s="41">
        <v>50000000</v>
      </c>
      <c r="G581" s="41">
        <v>0</v>
      </c>
      <c r="H581" s="41">
        <v>50000000</v>
      </c>
      <c r="I581" s="41">
        <v>0</v>
      </c>
      <c r="J581" s="41">
        <v>22111111.111111209</v>
      </c>
      <c r="K581" s="41">
        <v>111111.11111111109</v>
      </c>
      <c r="L581" s="41">
        <v>10000000</v>
      </c>
      <c r="M581" s="41">
        <v>0</v>
      </c>
      <c r="N581" s="41">
        <v>47879166.666666433</v>
      </c>
      <c r="O581" s="41">
        <v>79166.666666666672</v>
      </c>
      <c r="P581" s="41">
        <v>75000000</v>
      </c>
      <c r="Q581" s="41">
        <v>0</v>
      </c>
      <c r="R581" s="41">
        <v>35837962.962962873</v>
      </c>
      <c r="S581" s="41">
        <v>87962.962962962964</v>
      </c>
      <c r="T581" s="41">
        <v>24564814.814814679</v>
      </c>
      <c r="U581" s="41">
        <v>64814.814814814818</v>
      </c>
      <c r="V581" s="41">
        <v>379728240.7407403</v>
      </c>
      <c r="W581" s="41">
        <v>378240.74074074079</v>
      </c>
      <c r="X581" s="38">
        <f t="shared" si="48"/>
        <v>0.75945648148148059</v>
      </c>
      <c r="Y581" s="39">
        <f t="shared" si="49"/>
        <v>7.5648148148148157E-4</v>
      </c>
      <c r="Z581" s="39">
        <f t="shared" si="53"/>
        <v>9.9707589492748438E-4</v>
      </c>
      <c r="AA581" s="41">
        <f t="shared" si="50"/>
        <v>120271759.2592597</v>
      </c>
      <c r="AB581" s="39">
        <f t="shared" si="51"/>
        <v>3.1448840781101331E-3</v>
      </c>
      <c r="AC581" s="38">
        <f t="shared" si="52"/>
        <v>0.24612093653574182</v>
      </c>
      <c r="AD581" s="3"/>
    </row>
    <row r="582" spans="1:30" x14ac:dyDescent="0.25">
      <c r="A582" s="37">
        <v>46218</v>
      </c>
      <c r="B582" s="41">
        <v>14370370.37037034</v>
      </c>
      <c r="C582" s="41">
        <v>35185.185185185182</v>
      </c>
      <c r="D582" s="41">
        <v>50000000</v>
      </c>
      <c r="E582" s="41">
        <v>0</v>
      </c>
      <c r="F582" s="41">
        <v>50000000</v>
      </c>
      <c r="G582" s="41">
        <v>0</v>
      </c>
      <c r="H582" s="41">
        <v>50000000</v>
      </c>
      <c r="I582" s="41">
        <v>0</v>
      </c>
      <c r="J582" s="41">
        <v>22222222.222222321</v>
      </c>
      <c r="K582" s="41">
        <v>111111.11111111109</v>
      </c>
      <c r="L582" s="41">
        <v>10000000</v>
      </c>
      <c r="M582" s="41">
        <v>0</v>
      </c>
      <c r="N582" s="41">
        <v>47958333.33333309</v>
      </c>
      <c r="O582" s="41">
        <v>79166.666666666672</v>
      </c>
      <c r="P582" s="41">
        <v>75000000</v>
      </c>
      <c r="Q582" s="41">
        <v>0</v>
      </c>
      <c r="R582" s="41">
        <v>35925925.925925843</v>
      </c>
      <c r="S582" s="41">
        <v>87962.962962962964</v>
      </c>
      <c r="T582" s="41">
        <v>24629629.6296295</v>
      </c>
      <c r="U582" s="41">
        <v>64814.814814814818</v>
      </c>
      <c r="V582" s="41">
        <v>380106481.48148108</v>
      </c>
      <c r="W582" s="41">
        <v>378240.74074074079</v>
      </c>
      <c r="X582" s="38">
        <f t="shared" si="48"/>
        <v>0.76021296296296215</v>
      </c>
      <c r="Y582" s="39">
        <f t="shared" si="49"/>
        <v>7.5648148148148157E-4</v>
      </c>
      <c r="Z582" s="39">
        <f t="shared" si="53"/>
        <v>9.9608272485317956E-4</v>
      </c>
      <c r="AA582" s="41">
        <f t="shared" si="50"/>
        <v>119893518.51851892</v>
      </c>
      <c r="AB582" s="39">
        <f t="shared" si="51"/>
        <v>3.1548055759354262E-3</v>
      </c>
      <c r="AC582" s="38">
        <f t="shared" si="52"/>
        <v>0.24581582022062762</v>
      </c>
      <c r="AD582" s="3"/>
    </row>
    <row r="583" spans="1:30" x14ac:dyDescent="0.25">
      <c r="A583" s="37">
        <v>46219</v>
      </c>
      <c r="B583" s="41">
        <v>14405555.555555521</v>
      </c>
      <c r="C583" s="41">
        <v>35185.185185185182</v>
      </c>
      <c r="D583" s="41">
        <v>50000000</v>
      </c>
      <c r="E583" s="41">
        <v>0</v>
      </c>
      <c r="F583" s="41">
        <v>50000000</v>
      </c>
      <c r="G583" s="41">
        <v>0</v>
      </c>
      <c r="H583" s="41">
        <v>50000000</v>
      </c>
      <c r="I583" s="41">
        <v>0</v>
      </c>
      <c r="J583" s="41">
        <v>22333333.333333429</v>
      </c>
      <c r="K583" s="41">
        <v>111111.11111111109</v>
      </c>
      <c r="L583" s="41">
        <v>10000000</v>
      </c>
      <c r="M583" s="41">
        <v>0</v>
      </c>
      <c r="N583" s="41">
        <v>48037499.999999747</v>
      </c>
      <c r="O583" s="41">
        <v>79166.666666666672</v>
      </c>
      <c r="P583" s="41">
        <v>75000000</v>
      </c>
      <c r="Q583" s="41">
        <v>0</v>
      </c>
      <c r="R583" s="41">
        <v>36013888.888888799</v>
      </c>
      <c r="S583" s="41">
        <v>87962.962962962964</v>
      </c>
      <c r="T583" s="41">
        <v>24694444.44444431</v>
      </c>
      <c r="U583" s="41">
        <v>64814.814814814818</v>
      </c>
      <c r="V583" s="41">
        <v>380484722.22222179</v>
      </c>
      <c r="W583" s="41">
        <v>378240.74074074079</v>
      </c>
      <c r="X583" s="38">
        <f t="shared" si="48"/>
        <v>0.76096944444444359</v>
      </c>
      <c r="Y583" s="39">
        <f t="shared" si="49"/>
        <v>7.5648148148148157E-4</v>
      </c>
      <c r="Z583" s="39">
        <f t="shared" si="53"/>
        <v>9.9509153136913514E-4</v>
      </c>
      <c r="AA583" s="41">
        <f t="shared" si="50"/>
        <v>119515277.77777821</v>
      </c>
      <c r="AB583" s="39">
        <f t="shared" si="51"/>
        <v>3.1647898726723965E-3</v>
      </c>
      <c r="AC583" s="38">
        <f t="shared" si="52"/>
        <v>0.24551145947469674</v>
      </c>
      <c r="AD583" s="3"/>
    </row>
    <row r="584" spans="1:30" x14ac:dyDescent="0.25">
      <c r="A584" s="37">
        <v>46220</v>
      </c>
      <c r="B584" s="41">
        <v>14440740.740740711</v>
      </c>
      <c r="C584" s="41">
        <v>35185.185185185182</v>
      </c>
      <c r="D584" s="41">
        <v>50000000</v>
      </c>
      <c r="E584" s="41">
        <v>0</v>
      </c>
      <c r="F584" s="41">
        <v>50000000</v>
      </c>
      <c r="G584" s="41">
        <v>0</v>
      </c>
      <c r="H584" s="41">
        <v>50000000</v>
      </c>
      <c r="I584" s="41">
        <v>0</v>
      </c>
      <c r="J584" s="41">
        <v>22444444.444444541</v>
      </c>
      <c r="K584" s="41">
        <v>111111.11111111109</v>
      </c>
      <c r="L584" s="41">
        <v>10000000</v>
      </c>
      <c r="M584" s="41">
        <v>0</v>
      </c>
      <c r="N584" s="41">
        <v>48116666.666666418</v>
      </c>
      <c r="O584" s="41">
        <v>79166.666666666672</v>
      </c>
      <c r="P584" s="41">
        <v>75000000</v>
      </c>
      <c r="Q584" s="41">
        <v>0</v>
      </c>
      <c r="R584" s="41">
        <v>36101851.851851761</v>
      </c>
      <c r="S584" s="41">
        <v>87962.962962962964</v>
      </c>
      <c r="T584" s="41">
        <v>24759259.25925912</v>
      </c>
      <c r="U584" s="41">
        <v>64814.814814814818</v>
      </c>
      <c r="V584" s="41">
        <v>380862962.96296263</v>
      </c>
      <c r="W584" s="41">
        <v>378240.74074074079</v>
      </c>
      <c r="X584" s="38">
        <f t="shared" si="48"/>
        <v>0.76172592592592525</v>
      </c>
      <c r="Y584" s="39">
        <f t="shared" si="49"/>
        <v>7.5648148148148157E-4</v>
      </c>
      <c r="Z584" s="39">
        <f t="shared" si="53"/>
        <v>9.9410230858055213E-4</v>
      </c>
      <c r="AA584" s="41">
        <f t="shared" si="50"/>
        <v>119137037.03703737</v>
      </c>
      <c r="AB584" s="39">
        <f t="shared" si="51"/>
        <v>3.1748375664500802E-3</v>
      </c>
      <c r="AC584" s="38">
        <f t="shared" si="52"/>
        <v>0.24520785149485999</v>
      </c>
      <c r="AD584" s="3"/>
    </row>
    <row r="585" spans="1:30" x14ac:dyDescent="0.25">
      <c r="A585" s="37">
        <v>46221</v>
      </c>
      <c r="B585" s="41">
        <v>14475925.92592589</v>
      </c>
      <c r="C585" s="41">
        <v>35185.185185185182</v>
      </c>
      <c r="D585" s="41">
        <v>50000000</v>
      </c>
      <c r="E585" s="41">
        <v>0</v>
      </c>
      <c r="F585" s="41">
        <v>50000000</v>
      </c>
      <c r="G585" s="41">
        <v>0</v>
      </c>
      <c r="H585" s="41">
        <v>50000000</v>
      </c>
      <c r="I585" s="41">
        <v>0</v>
      </c>
      <c r="J585" s="41">
        <v>22555555.555555649</v>
      </c>
      <c r="K585" s="41">
        <v>111111.11111111109</v>
      </c>
      <c r="L585" s="41">
        <v>10000000</v>
      </c>
      <c r="M585" s="41">
        <v>0</v>
      </c>
      <c r="N585" s="41">
        <v>48195833.333333082</v>
      </c>
      <c r="O585" s="41">
        <v>79166.666666666672</v>
      </c>
      <c r="P585" s="41">
        <v>75000000</v>
      </c>
      <c r="Q585" s="41">
        <v>0</v>
      </c>
      <c r="R585" s="41">
        <v>36189814.814814717</v>
      </c>
      <c r="S585" s="41">
        <v>87962.962962962964</v>
      </c>
      <c r="T585" s="41">
        <v>24824074.074073941</v>
      </c>
      <c r="U585" s="41">
        <v>64814.814814814818</v>
      </c>
      <c r="V585" s="41">
        <v>381241203.70370328</v>
      </c>
      <c r="W585" s="41">
        <v>378240.74074074079</v>
      </c>
      <c r="X585" s="38">
        <f t="shared" si="48"/>
        <v>0.76248240740740658</v>
      </c>
      <c r="Y585" s="39">
        <f t="shared" si="49"/>
        <v>7.5648148148148157E-4</v>
      </c>
      <c r="Z585" s="39">
        <f t="shared" si="53"/>
        <v>9.9311505061604839E-4</v>
      </c>
      <c r="AA585" s="41">
        <f t="shared" si="50"/>
        <v>118758796.29629672</v>
      </c>
      <c r="AB585" s="39">
        <f t="shared" si="51"/>
        <v>3.1849492630175434E-3</v>
      </c>
      <c r="AC585" s="38">
        <f t="shared" si="52"/>
        <v>0.24490499349187689</v>
      </c>
      <c r="AD585" s="3"/>
    </row>
    <row r="586" spans="1:30" x14ac:dyDescent="0.25">
      <c r="A586" s="37">
        <v>46222</v>
      </c>
      <c r="B586" s="41">
        <v>14511111.11111108</v>
      </c>
      <c r="C586" s="41">
        <v>35185.185185185182</v>
      </c>
      <c r="D586" s="41">
        <v>50000000</v>
      </c>
      <c r="E586" s="41">
        <v>0</v>
      </c>
      <c r="F586" s="41">
        <v>50000000</v>
      </c>
      <c r="G586" s="41">
        <v>0</v>
      </c>
      <c r="H586" s="41">
        <v>50000000</v>
      </c>
      <c r="I586" s="41">
        <v>0</v>
      </c>
      <c r="J586" s="41">
        <v>22666666.666666761</v>
      </c>
      <c r="K586" s="41">
        <v>111111.11111111109</v>
      </c>
      <c r="L586" s="41">
        <v>10000000</v>
      </c>
      <c r="M586" s="41">
        <v>0</v>
      </c>
      <c r="N586" s="41">
        <v>48274999.999999747</v>
      </c>
      <c r="O586" s="41">
        <v>79166.666666666672</v>
      </c>
      <c r="P586" s="41">
        <v>75000000</v>
      </c>
      <c r="Q586" s="41">
        <v>0</v>
      </c>
      <c r="R586" s="41">
        <v>36277777.777777687</v>
      </c>
      <c r="S586" s="41">
        <v>87962.962962962964</v>
      </c>
      <c r="T586" s="41">
        <v>24888888.88888875</v>
      </c>
      <c r="U586" s="41">
        <v>64814.814814814818</v>
      </c>
      <c r="V586" s="41">
        <v>381619444.44444412</v>
      </c>
      <c r="W586" s="41">
        <v>378240.74074074079</v>
      </c>
      <c r="X586" s="38">
        <f t="shared" si="48"/>
        <v>0.76323888888888824</v>
      </c>
      <c r="Y586" s="39">
        <f t="shared" si="49"/>
        <v>7.5648148148148157E-4</v>
      </c>
      <c r="Z586" s="39">
        <f t="shared" si="53"/>
        <v>9.9212975162754342E-4</v>
      </c>
      <c r="AA586" s="41">
        <f t="shared" si="50"/>
        <v>118380555.55555588</v>
      </c>
      <c r="AB586" s="39">
        <f t="shared" si="51"/>
        <v>3.1951255758656478E-3</v>
      </c>
      <c r="AC586" s="38">
        <f t="shared" si="52"/>
        <v>0.24460288269026959</v>
      </c>
      <c r="AD586" s="3"/>
    </row>
    <row r="587" spans="1:30" x14ac:dyDescent="0.25">
      <c r="A587" s="37">
        <v>46223</v>
      </c>
      <c r="B587" s="41">
        <v>14546296.296296259</v>
      </c>
      <c r="C587" s="41">
        <v>35185.185185185182</v>
      </c>
      <c r="D587" s="41">
        <v>50000000</v>
      </c>
      <c r="E587" s="41">
        <v>0</v>
      </c>
      <c r="F587" s="41">
        <v>50000000</v>
      </c>
      <c r="G587" s="41">
        <v>0</v>
      </c>
      <c r="H587" s="41">
        <v>50000000</v>
      </c>
      <c r="I587" s="41">
        <v>0</v>
      </c>
      <c r="J587" s="41">
        <v>22777777.77777788</v>
      </c>
      <c r="K587" s="41">
        <v>111111.11111111109</v>
      </c>
      <c r="L587" s="41">
        <v>10000000</v>
      </c>
      <c r="M587" s="41">
        <v>0</v>
      </c>
      <c r="N587" s="41">
        <v>48354166.666666411</v>
      </c>
      <c r="O587" s="41">
        <v>79166.666666666672</v>
      </c>
      <c r="P587" s="41">
        <v>75000000</v>
      </c>
      <c r="Q587" s="41">
        <v>0</v>
      </c>
      <c r="R587" s="41">
        <v>36365740.740740649</v>
      </c>
      <c r="S587" s="41">
        <v>87962.962962962964</v>
      </c>
      <c r="T587" s="41">
        <v>24953703.70370356</v>
      </c>
      <c r="U587" s="41">
        <v>64814.814814814818</v>
      </c>
      <c r="V587" s="41">
        <v>381997685.18518478</v>
      </c>
      <c r="W587" s="41">
        <v>378240.74074074079</v>
      </c>
      <c r="X587" s="38">
        <f t="shared" si="48"/>
        <v>0.76399537037036958</v>
      </c>
      <c r="Y587" s="39">
        <f t="shared" si="49"/>
        <v>7.5648148148148157E-4</v>
      </c>
      <c r="Z587" s="39">
        <f t="shared" si="53"/>
        <v>9.9114640579014003E-4</v>
      </c>
      <c r="AA587" s="41">
        <f t="shared" si="50"/>
        <v>118002314.81481522</v>
      </c>
      <c r="AB587" s="39">
        <f t="shared" si="51"/>
        <v>3.2053671263510886E-3</v>
      </c>
      <c r="AC587" s="38">
        <f t="shared" si="52"/>
        <v>0.24430151632823902</v>
      </c>
      <c r="AD587" s="3"/>
    </row>
    <row r="588" spans="1:30" x14ac:dyDescent="0.25">
      <c r="A588" s="37">
        <v>46224</v>
      </c>
      <c r="B588" s="41">
        <v>14581481.48148145</v>
      </c>
      <c r="C588" s="41">
        <v>35185.185185185182</v>
      </c>
      <c r="D588" s="41">
        <v>50000000</v>
      </c>
      <c r="E588" s="41">
        <v>0</v>
      </c>
      <c r="F588" s="41">
        <v>50000000</v>
      </c>
      <c r="G588" s="41">
        <v>0</v>
      </c>
      <c r="H588" s="41">
        <v>50000000</v>
      </c>
      <c r="I588" s="41">
        <v>0</v>
      </c>
      <c r="J588" s="41">
        <v>22888888.888888989</v>
      </c>
      <c r="K588" s="41">
        <v>111111.11111111109</v>
      </c>
      <c r="L588" s="41">
        <v>10000000</v>
      </c>
      <c r="M588" s="41">
        <v>0</v>
      </c>
      <c r="N588" s="41">
        <v>48433333.333333082</v>
      </c>
      <c r="O588" s="41">
        <v>79166.666666666672</v>
      </c>
      <c r="P588" s="41">
        <v>75000000</v>
      </c>
      <c r="Q588" s="41">
        <v>0</v>
      </c>
      <c r="R588" s="41">
        <v>36453703.703703612</v>
      </c>
      <c r="S588" s="41">
        <v>87962.962962962964</v>
      </c>
      <c r="T588" s="41">
        <v>25018518.518518381</v>
      </c>
      <c r="U588" s="41">
        <v>64814.814814814818</v>
      </c>
      <c r="V588" s="41">
        <v>382375925.92592561</v>
      </c>
      <c r="W588" s="41">
        <v>378240.74074074079</v>
      </c>
      <c r="X588" s="38">
        <f t="shared" si="48"/>
        <v>0.76475185185185124</v>
      </c>
      <c r="Y588" s="39">
        <f t="shared" si="49"/>
        <v>7.5648148148148157E-4</v>
      </c>
      <c r="Z588" s="39">
        <f t="shared" si="53"/>
        <v>9.9016500730201369E-4</v>
      </c>
      <c r="AA588" s="41">
        <f t="shared" si="50"/>
        <v>117624074.07407439</v>
      </c>
      <c r="AB588" s="39">
        <f t="shared" si="51"/>
        <v>3.2156745438229055E-3</v>
      </c>
      <c r="AC588" s="38">
        <f t="shared" si="52"/>
        <v>0.24400089165757963</v>
      </c>
      <c r="AD588" s="3"/>
    </row>
    <row r="589" spans="1:30" x14ac:dyDescent="0.25">
      <c r="A589" s="37">
        <v>46225</v>
      </c>
      <c r="B589" s="41">
        <v>14616666.666666631</v>
      </c>
      <c r="C589" s="41">
        <v>35185.185185185182</v>
      </c>
      <c r="D589" s="41">
        <v>50000000</v>
      </c>
      <c r="E589" s="41">
        <v>0</v>
      </c>
      <c r="F589" s="41">
        <v>50000000</v>
      </c>
      <c r="G589" s="41">
        <v>0</v>
      </c>
      <c r="H589" s="41">
        <v>50000000</v>
      </c>
      <c r="I589" s="41">
        <v>0</v>
      </c>
      <c r="J589" s="41">
        <v>23000000.000000101</v>
      </c>
      <c r="K589" s="41">
        <v>111111.11111111109</v>
      </c>
      <c r="L589" s="41">
        <v>10000000</v>
      </c>
      <c r="M589" s="41">
        <v>0</v>
      </c>
      <c r="N589" s="41">
        <v>48512499.999999739</v>
      </c>
      <c r="O589" s="41">
        <v>79166.666666666672</v>
      </c>
      <c r="P589" s="41">
        <v>75000000</v>
      </c>
      <c r="Q589" s="41">
        <v>0</v>
      </c>
      <c r="R589" s="41">
        <v>36541666.666666567</v>
      </c>
      <c r="S589" s="41">
        <v>87962.962962962964</v>
      </c>
      <c r="T589" s="41">
        <v>25083333.333333191</v>
      </c>
      <c r="U589" s="41">
        <v>64814.814814814818</v>
      </c>
      <c r="V589" s="41">
        <v>382754166.66666621</v>
      </c>
      <c r="W589" s="41">
        <v>378240.74074074079</v>
      </c>
      <c r="X589" s="38">
        <f t="shared" si="48"/>
        <v>0.76550833333333246</v>
      </c>
      <c r="Y589" s="39">
        <f t="shared" si="49"/>
        <v>7.5648148148148157E-4</v>
      </c>
      <c r="Z589" s="39">
        <f t="shared" si="53"/>
        <v>9.8918555038429398E-4</v>
      </c>
      <c r="AA589" s="41">
        <f t="shared" si="50"/>
        <v>117245833.33333379</v>
      </c>
      <c r="AB589" s="39">
        <f t="shared" si="51"/>
        <v>3.2260484657513572E-3</v>
      </c>
      <c r="AC589" s="38">
        <f t="shared" si="52"/>
        <v>0.24370100594359712</v>
      </c>
      <c r="AD589" s="3"/>
    </row>
    <row r="590" spans="1:30" x14ac:dyDescent="0.25">
      <c r="A590" s="37">
        <v>46226</v>
      </c>
      <c r="B590" s="41">
        <v>14651851.851851819</v>
      </c>
      <c r="C590" s="41">
        <v>35185.185185185182</v>
      </c>
      <c r="D590" s="41">
        <v>50000000</v>
      </c>
      <c r="E590" s="41">
        <v>0</v>
      </c>
      <c r="F590" s="41">
        <v>50000000</v>
      </c>
      <c r="G590" s="41">
        <v>0</v>
      </c>
      <c r="H590" s="41">
        <v>50000000</v>
      </c>
      <c r="I590" s="41">
        <v>0</v>
      </c>
      <c r="J590" s="41">
        <v>23111111.111111209</v>
      </c>
      <c r="K590" s="41">
        <v>111111.11111111109</v>
      </c>
      <c r="L590" s="41">
        <v>10000000</v>
      </c>
      <c r="M590" s="41">
        <v>0</v>
      </c>
      <c r="N590" s="41">
        <v>48591666.666666403</v>
      </c>
      <c r="O590" s="41">
        <v>79166.666666666672</v>
      </c>
      <c r="P590" s="41">
        <v>75000000</v>
      </c>
      <c r="Q590" s="41">
        <v>0</v>
      </c>
      <c r="R590" s="41">
        <v>36629629.629629537</v>
      </c>
      <c r="S590" s="41">
        <v>87962.962962962964</v>
      </c>
      <c r="T590" s="41">
        <v>25148148.148148</v>
      </c>
      <c r="U590" s="41">
        <v>64814.814814814818</v>
      </c>
      <c r="V590" s="41">
        <v>383132407.40740699</v>
      </c>
      <c r="W590" s="41">
        <v>378240.74074074079</v>
      </c>
      <c r="X590" s="38">
        <f t="shared" si="48"/>
        <v>0.76626481481481401</v>
      </c>
      <c r="Y590" s="39">
        <f t="shared" si="49"/>
        <v>7.5648148148148157E-4</v>
      </c>
      <c r="Z590" s="39">
        <f t="shared" si="53"/>
        <v>9.8820802928095588E-4</v>
      </c>
      <c r="AA590" s="41">
        <f t="shared" si="50"/>
        <v>116867592.59259301</v>
      </c>
      <c r="AB590" s="39">
        <f t="shared" si="51"/>
        <v>3.2364895378593898E-3</v>
      </c>
      <c r="AC590" s="38">
        <f t="shared" si="52"/>
        <v>0.24340185646502407</v>
      </c>
      <c r="AD590" s="3"/>
    </row>
    <row r="591" spans="1:30" x14ac:dyDescent="0.25">
      <c r="A591" s="37">
        <v>46227</v>
      </c>
      <c r="B591" s="41">
        <v>14687037.037037</v>
      </c>
      <c r="C591" s="41">
        <v>35185.185185185182</v>
      </c>
      <c r="D591" s="41">
        <v>50000000</v>
      </c>
      <c r="E591" s="41">
        <v>0</v>
      </c>
      <c r="F591" s="41">
        <v>50000000</v>
      </c>
      <c r="G591" s="41">
        <v>0</v>
      </c>
      <c r="H591" s="41">
        <v>50000000</v>
      </c>
      <c r="I591" s="41">
        <v>0</v>
      </c>
      <c r="J591" s="41">
        <v>23222222.222222321</v>
      </c>
      <c r="K591" s="41">
        <v>111111.11111111109</v>
      </c>
      <c r="L591" s="41">
        <v>10000000</v>
      </c>
      <c r="M591" s="41">
        <v>0</v>
      </c>
      <c r="N591" s="41">
        <v>48670833.333333068</v>
      </c>
      <c r="O591" s="41">
        <v>79166.666666666672</v>
      </c>
      <c r="P591" s="41">
        <v>75000000</v>
      </c>
      <c r="Q591" s="41">
        <v>0</v>
      </c>
      <c r="R591" s="41">
        <v>36717592.5925925</v>
      </c>
      <c r="S591" s="41">
        <v>87962.962962962964</v>
      </c>
      <c r="T591" s="41">
        <v>25212962.962962821</v>
      </c>
      <c r="U591" s="41">
        <v>64814.814814814818</v>
      </c>
      <c r="V591" s="41">
        <v>383510648.1481477</v>
      </c>
      <c r="W591" s="41">
        <v>378240.74074074079</v>
      </c>
      <c r="X591" s="38">
        <f t="shared" si="48"/>
        <v>0.76702129629629545</v>
      </c>
      <c r="Y591" s="39">
        <f t="shared" si="49"/>
        <v>7.5648148148148157E-4</v>
      </c>
      <c r="Z591" s="39">
        <f t="shared" si="53"/>
        <v>9.8723243825870211E-4</v>
      </c>
      <c r="AA591" s="41">
        <f t="shared" si="50"/>
        <v>116489351.8518523</v>
      </c>
      <c r="AB591" s="39">
        <f t="shared" si="51"/>
        <v>3.2469984142565762E-3</v>
      </c>
      <c r="AC591" s="38">
        <f t="shared" si="52"/>
        <v>0.24310344051393903</v>
      </c>
      <c r="AD591" s="3"/>
    </row>
    <row r="592" spans="1:30" x14ac:dyDescent="0.25">
      <c r="A592" s="37">
        <v>46228</v>
      </c>
      <c r="B592" s="41">
        <v>14722222.22222219</v>
      </c>
      <c r="C592" s="41">
        <v>35185.185185185182</v>
      </c>
      <c r="D592" s="41">
        <v>50000000</v>
      </c>
      <c r="E592" s="41">
        <v>0</v>
      </c>
      <c r="F592" s="41">
        <v>50000000</v>
      </c>
      <c r="G592" s="41">
        <v>0</v>
      </c>
      <c r="H592" s="41">
        <v>50000000</v>
      </c>
      <c r="I592" s="41">
        <v>0</v>
      </c>
      <c r="J592" s="41">
        <v>23333333.33333344</v>
      </c>
      <c r="K592" s="41">
        <v>111111.11111111109</v>
      </c>
      <c r="L592" s="41">
        <v>10000000</v>
      </c>
      <c r="M592" s="41">
        <v>0</v>
      </c>
      <c r="N592" s="41">
        <v>48749999.999999732</v>
      </c>
      <c r="O592" s="41">
        <v>79166.666666666672</v>
      </c>
      <c r="P592" s="41">
        <v>75000000</v>
      </c>
      <c r="Q592" s="41">
        <v>0</v>
      </c>
      <c r="R592" s="41">
        <v>36805555.555555463</v>
      </c>
      <c r="S592" s="41">
        <v>87962.962962962964</v>
      </c>
      <c r="T592" s="41">
        <v>25277777.777777631</v>
      </c>
      <c r="U592" s="41">
        <v>64814.814814814818</v>
      </c>
      <c r="V592" s="41">
        <v>383888888.88888842</v>
      </c>
      <c r="W592" s="41">
        <v>378240.74074074079</v>
      </c>
      <c r="X592" s="38">
        <f t="shared" si="48"/>
        <v>0.76777777777777678</v>
      </c>
      <c r="Y592" s="39">
        <f t="shared" si="49"/>
        <v>7.5648148148148157E-4</v>
      </c>
      <c r="Z592" s="39">
        <f t="shared" si="53"/>
        <v>9.8625877160685464E-4</v>
      </c>
      <c r="AA592" s="41">
        <f t="shared" si="50"/>
        <v>116111111.11111158</v>
      </c>
      <c r="AB592" s="39">
        <f t="shared" si="51"/>
        <v>3.2575757575757447E-3</v>
      </c>
      <c r="AC592" s="38">
        <f t="shared" si="52"/>
        <v>0.24280575539568383</v>
      </c>
      <c r="AD592" s="3"/>
    </row>
    <row r="593" spans="1:30" x14ac:dyDescent="0.25">
      <c r="A593" s="37">
        <v>46229</v>
      </c>
      <c r="B593" s="41">
        <v>14757407.407407369</v>
      </c>
      <c r="C593" s="41">
        <v>35185.185185185182</v>
      </c>
      <c r="D593" s="41">
        <v>50000000</v>
      </c>
      <c r="E593" s="41">
        <v>0</v>
      </c>
      <c r="F593" s="41">
        <v>50000000</v>
      </c>
      <c r="G593" s="41">
        <v>0</v>
      </c>
      <c r="H593" s="41">
        <v>50000000</v>
      </c>
      <c r="I593" s="41">
        <v>0</v>
      </c>
      <c r="J593" s="41">
        <v>23444444.444444548</v>
      </c>
      <c r="K593" s="41">
        <v>111111.11111111109</v>
      </c>
      <c r="L593" s="41">
        <v>10000000</v>
      </c>
      <c r="M593" s="41">
        <v>0</v>
      </c>
      <c r="N593" s="41">
        <v>48829166.666666403</v>
      </c>
      <c r="O593" s="41">
        <v>79166.666666666672</v>
      </c>
      <c r="P593" s="41">
        <v>75000000</v>
      </c>
      <c r="Q593" s="41">
        <v>0</v>
      </c>
      <c r="R593" s="41">
        <v>36893518.518518433</v>
      </c>
      <c r="S593" s="41">
        <v>87962.962962962964</v>
      </c>
      <c r="T593" s="41">
        <v>25342592.592592441</v>
      </c>
      <c r="U593" s="41">
        <v>64814.814814814818</v>
      </c>
      <c r="V593" s="41">
        <v>384267129.62962919</v>
      </c>
      <c r="W593" s="41">
        <v>378240.74074074079</v>
      </c>
      <c r="X593" s="38">
        <f t="shared" si="48"/>
        <v>0.76853425925925833</v>
      </c>
      <c r="Y593" s="39">
        <f t="shared" si="49"/>
        <v>7.5648148148148157E-4</v>
      </c>
      <c r="Z593" s="39">
        <f t="shared" si="53"/>
        <v>9.8528702363724196E-4</v>
      </c>
      <c r="AA593" s="41">
        <f t="shared" si="50"/>
        <v>115732870.37037081</v>
      </c>
      <c r="AB593" s="39">
        <f t="shared" si="51"/>
        <v>3.2682222391122477E-3</v>
      </c>
      <c r="AC593" s="38">
        <f t="shared" si="52"/>
        <v>0.24250879842878284</v>
      </c>
      <c r="AD593" s="3"/>
    </row>
    <row r="594" spans="1:30" x14ac:dyDescent="0.25">
      <c r="A594" s="37">
        <v>46230</v>
      </c>
      <c r="B594" s="41">
        <v>14792592.59259256</v>
      </c>
      <c r="C594" s="41">
        <v>35185.185185185182</v>
      </c>
      <c r="D594" s="41">
        <v>50000000</v>
      </c>
      <c r="E594" s="41">
        <v>0</v>
      </c>
      <c r="F594" s="41">
        <v>50000000</v>
      </c>
      <c r="G594" s="41">
        <v>0</v>
      </c>
      <c r="H594" s="41">
        <v>50000000</v>
      </c>
      <c r="I594" s="41">
        <v>0</v>
      </c>
      <c r="J594" s="41">
        <v>23555555.55555566</v>
      </c>
      <c r="K594" s="41">
        <v>111111.11111111109</v>
      </c>
      <c r="L594" s="41">
        <v>10000000</v>
      </c>
      <c r="M594" s="41">
        <v>0</v>
      </c>
      <c r="N594" s="41">
        <v>48908333.33333306</v>
      </c>
      <c r="O594" s="41">
        <v>79166.666666666672</v>
      </c>
      <c r="P594" s="41">
        <v>75000000</v>
      </c>
      <c r="Q594" s="41">
        <v>0</v>
      </c>
      <c r="R594" s="41">
        <v>36981481.481481388</v>
      </c>
      <c r="S594" s="41">
        <v>87962.962962962964</v>
      </c>
      <c r="T594" s="41">
        <v>25407407.407407261</v>
      </c>
      <c r="U594" s="41">
        <v>64814.814814814818</v>
      </c>
      <c r="V594" s="41">
        <v>384645370.37036991</v>
      </c>
      <c r="W594" s="41">
        <v>378240.74074074079</v>
      </c>
      <c r="X594" s="38">
        <f t="shared" si="48"/>
        <v>0.76929074074073978</v>
      </c>
      <c r="Y594" s="39">
        <f t="shared" si="49"/>
        <v>7.5648148148148157E-4</v>
      </c>
      <c r="Z594" s="39">
        <f t="shared" si="53"/>
        <v>9.843171886840885E-4</v>
      </c>
      <c r="AA594" s="41">
        <f t="shared" si="50"/>
        <v>115354629.62963009</v>
      </c>
      <c r="AB594" s="39">
        <f t="shared" si="51"/>
        <v>3.2789385389659781E-3</v>
      </c>
      <c r="AC594" s="38">
        <f t="shared" si="52"/>
        <v>0.24221256694486262</v>
      </c>
      <c r="AD594" s="3"/>
    </row>
    <row r="595" spans="1:30" x14ac:dyDescent="0.25">
      <c r="A595" s="37">
        <v>46231</v>
      </c>
      <c r="B595" s="41">
        <v>14827777.777777741</v>
      </c>
      <c r="C595" s="41">
        <v>35185.185185185182</v>
      </c>
      <c r="D595" s="41">
        <v>50000000</v>
      </c>
      <c r="E595" s="41">
        <v>0</v>
      </c>
      <c r="F595" s="41">
        <v>50000000</v>
      </c>
      <c r="G595" s="41">
        <v>0</v>
      </c>
      <c r="H595" s="41">
        <v>50000000</v>
      </c>
      <c r="I595" s="41">
        <v>0</v>
      </c>
      <c r="J595" s="41">
        <v>23666666.666666768</v>
      </c>
      <c r="K595" s="41">
        <v>111111.11111111109</v>
      </c>
      <c r="L595" s="41">
        <v>10000000</v>
      </c>
      <c r="M595" s="41">
        <v>0</v>
      </c>
      <c r="N595" s="41">
        <v>48987499.999999717</v>
      </c>
      <c r="O595" s="41">
        <v>79166.666666666672</v>
      </c>
      <c r="P595" s="41">
        <v>75000000</v>
      </c>
      <c r="Q595" s="41">
        <v>0</v>
      </c>
      <c r="R595" s="41">
        <v>37069444.444444351</v>
      </c>
      <c r="S595" s="41">
        <v>87962.962962962964</v>
      </c>
      <c r="T595" s="41">
        <v>25472222.222222071</v>
      </c>
      <c r="U595" s="41">
        <v>64814.814814814818</v>
      </c>
      <c r="V595" s="41">
        <v>385023611.11111069</v>
      </c>
      <c r="W595" s="41">
        <v>378240.74074074079</v>
      </c>
      <c r="X595" s="38">
        <f t="shared" si="48"/>
        <v>0.77004722222222133</v>
      </c>
      <c r="Y595" s="39">
        <f t="shared" si="49"/>
        <v>7.5648148148148157E-4</v>
      </c>
      <c r="Z595" s="39">
        <f t="shared" si="53"/>
        <v>9.8334926110390402E-4</v>
      </c>
      <c r="AA595" s="41">
        <f t="shared" si="50"/>
        <v>114976388.88888931</v>
      </c>
      <c r="AB595" s="39">
        <f t="shared" si="51"/>
        <v>3.289725346186202E-3</v>
      </c>
      <c r="AC595" s="38">
        <f t="shared" si="52"/>
        <v>0.24191705828857155</v>
      </c>
      <c r="AD595" s="3"/>
    </row>
    <row r="596" spans="1:30" x14ac:dyDescent="0.25">
      <c r="A596" s="37">
        <v>46232</v>
      </c>
      <c r="B596" s="41">
        <v>14862962.962962929</v>
      </c>
      <c r="C596" s="41">
        <v>35185.185185185182</v>
      </c>
      <c r="D596" s="41">
        <v>50000000</v>
      </c>
      <c r="E596" s="41">
        <v>0</v>
      </c>
      <c r="F596" s="41">
        <v>50000000</v>
      </c>
      <c r="G596" s="41">
        <v>0</v>
      </c>
      <c r="H596" s="41">
        <v>50000000</v>
      </c>
      <c r="I596" s="41">
        <v>0</v>
      </c>
      <c r="J596" s="41">
        <v>23777777.77777788</v>
      </c>
      <c r="K596" s="41">
        <v>111111.11111111109</v>
      </c>
      <c r="L596" s="41">
        <v>10000000</v>
      </c>
      <c r="M596" s="41">
        <v>0</v>
      </c>
      <c r="N596" s="41">
        <v>49066666.666666389</v>
      </c>
      <c r="O596" s="41">
        <v>79166.666666666672</v>
      </c>
      <c r="P596" s="41">
        <v>75000000</v>
      </c>
      <c r="Q596" s="41">
        <v>0</v>
      </c>
      <c r="R596" s="41">
        <v>37157407.407407314</v>
      </c>
      <c r="S596" s="41">
        <v>87962.962962962964</v>
      </c>
      <c r="T596" s="41">
        <v>25537037.037036881</v>
      </c>
      <c r="U596" s="41">
        <v>64814.814814814818</v>
      </c>
      <c r="V596" s="41">
        <v>385401851.85185128</v>
      </c>
      <c r="W596" s="41">
        <v>378240.74074074079</v>
      </c>
      <c r="X596" s="38">
        <f t="shared" si="48"/>
        <v>0.77080370370370255</v>
      </c>
      <c r="Y596" s="39">
        <f t="shared" si="49"/>
        <v>7.5648148148148157E-4</v>
      </c>
      <c r="Z596" s="39">
        <f t="shared" si="53"/>
        <v>9.8238323527537522E-4</v>
      </c>
      <c r="AA596" s="41">
        <f t="shared" si="50"/>
        <v>114598148.14814872</v>
      </c>
      <c r="AB596" s="39">
        <f t="shared" si="51"/>
        <v>3.3005833589192348E-3</v>
      </c>
      <c r="AC596" s="38">
        <f t="shared" si="52"/>
        <v>0.24162226981750104</v>
      </c>
      <c r="AD596" s="3"/>
    </row>
    <row r="597" spans="1:30" x14ac:dyDescent="0.25">
      <c r="A597" s="37">
        <v>46233</v>
      </c>
      <c r="B597" s="41">
        <v>14898148.14814811</v>
      </c>
      <c r="C597" s="41">
        <v>35185.185185185182</v>
      </c>
      <c r="D597" s="41">
        <v>50000000</v>
      </c>
      <c r="E597" s="41">
        <v>0</v>
      </c>
      <c r="F597" s="41">
        <v>50000000</v>
      </c>
      <c r="G597" s="41">
        <v>0</v>
      </c>
      <c r="H597" s="41">
        <v>50000000</v>
      </c>
      <c r="I597" s="41">
        <v>0</v>
      </c>
      <c r="J597" s="41">
        <v>23888888.888889</v>
      </c>
      <c r="K597" s="41">
        <v>111111.11111111109</v>
      </c>
      <c r="L597" s="41">
        <v>10000000</v>
      </c>
      <c r="M597" s="41">
        <v>0</v>
      </c>
      <c r="N597" s="41">
        <v>49145833.333333053</v>
      </c>
      <c r="O597" s="41">
        <v>79166.666666666672</v>
      </c>
      <c r="P597" s="41">
        <v>75000000</v>
      </c>
      <c r="Q597" s="41">
        <v>0</v>
      </c>
      <c r="R597" s="41">
        <v>37245370.370370284</v>
      </c>
      <c r="S597" s="41">
        <v>87962.962962962964</v>
      </c>
      <c r="T597" s="41">
        <v>25601851.851851702</v>
      </c>
      <c r="U597" s="41">
        <v>64814.814814814818</v>
      </c>
      <c r="V597" s="41">
        <v>385780092.59259212</v>
      </c>
      <c r="W597" s="41">
        <v>378240.74074074079</v>
      </c>
      <c r="X597" s="38">
        <f t="shared" si="48"/>
        <v>0.77156018518518421</v>
      </c>
      <c r="Y597" s="39">
        <f t="shared" si="49"/>
        <v>7.5648148148148157E-4</v>
      </c>
      <c r="Z597" s="39">
        <f t="shared" si="53"/>
        <v>9.8141910559925577E-4</v>
      </c>
      <c r="AA597" s="41">
        <f t="shared" si="50"/>
        <v>114219907.40740788</v>
      </c>
      <c r="AB597" s="39">
        <f t="shared" si="51"/>
        <v>3.3115132845590932E-3</v>
      </c>
      <c r="AC597" s="38">
        <f t="shared" si="52"/>
        <v>0.24132819890210602</v>
      </c>
      <c r="AD597" s="3"/>
    </row>
    <row r="598" spans="1:30" x14ac:dyDescent="0.25">
      <c r="A598" s="37">
        <v>46234</v>
      </c>
      <c r="B598" s="41">
        <v>14933333.333333289</v>
      </c>
      <c r="C598" s="41">
        <v>35185.185185185182</v>
      </c>
      <c r="D598" s="41">
        <v>50000000</v>
      </c>
      <c r="E598" s="41">
        <v>0</v>
      </c>
      <c r="F598" s="41">
        <v>50000000</v>
      </c>
      <c r="G598" s="41">
        <v>0</v>
      </c>
      <c r="H598" s="41">
        <v>50000000</v>
      </c>
      <c r="I598" s="41">
        <v>0</v>
      </c>
      <c r="J598" s="41">
        <v>24000000.000000112</v>
      </c>
      <c r="K598" s="41">
        <v>111111.11111111109</v>
      </c>
      <c r="L598" s="41">
        <v>10000000</v>
      </c>
      <c r="M598" s="41">
        <v>0</v>
      </c>
      <c r="N598" s="41">
        <v>49224999.999999717</v>
      </c>
      <c r="O598" s="41">
        <v>79166.666666666672</v>
      </c>
      <c r="P598" s="41">
        <v>75000000</v>
      </c>
      <c r="Q598" s="41">
        <v>0</v>
      </c>
      <c r="R598" s="41">
        <v>37333333.333333239</v>
      </c>
      <c r="S598" s="41">
        <v>87962.962962962964</v>
      </c>
      <c r="T598" s="41">
        <v>25666666.666666511</v>
      </c>
      <c r="U598" s="41">
        <v>64814.814814814818</v>
      </c>
      <c r="V598" s="41">
        <v>386158333.3333329</v>
      </c>
      <c r="W598" s="41">
        <v>378240.74074074079</v>
      </c>
      <c r="X598" s="38">
        <f t="shared" si="48"/>
        <v>0.77231666666666576</v>
      </c>
      <c r="Y598" s="39">
        <f t="shared" si="49"/>
        <v>7.5648148148148157E-4</v>
      </c>
      <c r="Z598" s="39">
        <f t="shared" si="53"/>
        <v>9.8045686649825812E-4</v>
      </c>
      <c r="AA598" s="41">
        <f t="shared" si="50"/>
        <v>113841666.6666671</v>
      </c>
      <c r="AB598" s="39">
        <f t="shared" si="51"/>
        <v>3.3225158399010847E-3</v>
      </c>
      <c r="AC598" s="38">
        <f t="shared" si="52"/>
        <v>0.24103484292562771</v>
      </c>
      <c r="AD598" s="3"/>
    </row>
    <row r="599" spans="1:30" x14ac:dyDescent="0.25">
      <c r="A599" s="37">
        <v>46235</v>
      </c>
      <c r="B599" s="41">
        <v>14968518.51851848</v>
      </c>
      <c r="C599" s="41">
        <v>35185.185185185182</v>
      </c>
      <c r="D599" s="41">
        <v>50000000</v>
      </c>
      <c r="E599" s="41">
        <v>0</v>
      </c>
      <c r="F599" s="41">
        <v>50000000</v>
      </c>
      <c r="G599" s="41">
        <v>0</v>
      </c>
      <c r="H599" s="41">
        <v>50000000</v>
      </c>
      <c r="I599" s="41">
        <v>0</v>
      </c>
      <c r="J599" s="41">
        <v>24111111.11111122</v>
      </c>
      <c r="K599" s="41">
        <v>111111.11111111109</v>
      </c>
      <c r="L599" s="41">
        <v>10000000</v>
      </c>
      <c r="M599" s="41">
        <v>0</v>
      </c>
      <c r="N599" s="41">
        <v>49304166.666666381</v>
      </c>
      <c r="O599" s="41">
        <v>79166.666666666672</v>
      </c>
      <c r="P599" s="41">
        <v>75000000</v>
      </c>
      <c r="Q599" s="41">
        <v>0</v>
      </c>
      <c r="R599" s="41">
        <v>37421296.296296202</v>
      </c>
      <c r="S599" s="41">
        <v>87962.962962962964</v>
      </c>
      <c r="T599" s="41">
        <v>25731481.481481321</v>
      </c>
      <c r="U599" s="41">
        <v>64814.814814814818</v>
      </c>
      <c r="V599" s="41">
        <v>386536574.07407361</v>
      </c>
      <c r="W599" s="41">
        <v>378240.74074074079</v>
      </c>
      <c r="X599" s="38">
        <f t="shared" ref="X599:X662" si="54">V599/$B$6</f>
        <v>0.7730731481481472</v>
      </c>
      <c r="Y599" s="39">
        <f t="shared" ref="Y599:Y662" si="55">W599/$B$6</f>
        <v>7.5648148148148157E-4</v>
      </c>
      <c r="Z599" s="39">
        <f t="shared" si="53"/>
        <v>9.794965124169479E-4</v>
      </c>
      <c r="AA599" s="41">
        <f t="shared" ref="AA599:AA662" si="56">$B$6-V599</f>
        <v>113463425.92592639</v>
      </c>
      <c r="AB599" s="39">
        <f t="shared" ref="AB599:AB662" si="57">W599/AA599</f>
        <v>3.3335917512985372E-3</v>
      </c>
      <c r="AC599" s="38">
        <f t="shared" ref="AC599:AC662" si="58" xml:space="preserve"> P599/(V599-P599)</f>
        <v>0.24074219928401522</v>
      </c>
      <c r="AD599" s="3"/>
    </row>
    <row r="600" spans="1:30" x14ac:dyDescent="0.25">
      <c r="A600" s="37">
        <v>46236</v>
      </c>
      <c r="B600" s="41">
        <v>15003703.703703661</v>
      </c>
      <c r="C600" s="41">
        <v>35185.185185185182</v>
      </c>
      <c r="D600" s="41">
        <v>50000000</v>
      </c>
      <c r="E600" s="41">
        <v>0</v>
      </c>
      <c r="F600" s="41">
        <v>50000000</v>
      </c>
      <c r="G600" s="41">
        <v>0</v>
      </c>
      <c r="H600" s="41">
        <v>50000000</v>
      </c>
      <c r="I600" s="41">
        <v>0</v>
      </c>
      <c r="J600" s="41">
        <v>24222222.222222328</v>
      </c>
      <c r="K600" s="41">
        <v>111111.11111111109</v>
      </c>
      <c r="L600" s="41">
        <v>10000000</v>
      </c>
      <c r="M600" s="41">
        <v>0</v>
      </c>
      <c r="N600" s="41">
        <v>49383333.333333053</v>
      </c>
      <c r="O600" s="41">
        <v>79166.666666666672</v>
      </c>
      <c r="P600" s="41">
        <v>75000000</v>
      </c>
      <c r="Q600" s="41">
        <v>0</v>
      </c>
      <c r="R600" s="41">
        <v>37509259.259259157</v>
      </c>
      <c r="S600" s="41">
        <v>87962.962962962964</v>
      </c>
      <c r="T600" s="41">
        <v>25796296.296296138</v>
      </c>
      <c r="U600" s="41">
        <v>64814.814814814818</v>
      </c>
      <c r="V600" s="41">
        <v>386914814.81481433</v>
      </c>
      <c r="W600" s="41">
        <v>378240.74074074079</v>
      </c>
      <c r="X600" s="38">
        <f t="shared" si="54"/>
        <v>0.77382962962962865</v>
      </c>
      <c r="Y600" s="39">
        <f t="shared" si="55"/>
        <v>7.5648148148148157E-4</v>
      </c>
      <c r="Z600" s="39">
        <f t="shared" ref="Z600:Z663" si="59">W600/V599</f>
        <v>9.7853803782163421E-4</v>
      </c>
      <c r="AA600" s="41">
        <f t="shared" si="56"/>
        <v>113085185.18518567</v>
      </c>
      <c r="AB600" s="39">
        <f t="shared" si="57"/>
        <v>3.3447417548226372E-3</v>
      </c>
      <c r="AC600" s="38">
        <f t="shared" si="58"/>
        <v>0.24045026538584885</v>
      </c>
      <c r="AD600" s="3"/>
    </row>
    <row r="601" spans="1:30" x14ac:dyDescent="0.25">
      <c r="A601" s="37">
        <v>46237</v>
      </c>
      <c r="B601" s="41">
        <v>15038888.888888851</v>
      </c>
      <c r="C601" s="41">
        <v>35185.185185185182</v>
      </c>
      <c r="D601" s="41">
        <v>50000000</v>
      </c>
      <c r="E601" s="41">
        <v>0</v>
      </c>
      <c r="F601" s="41">
        <v>50000000</v>
      </c>
      <c r="G601" s="41">
        <v>0</v>
      </c>
      <c r="H601" s="41">
        <v>50000000</v>
      </c>
      <c r="I601" s="41">
        <v>0</v>
      </c>
      <c r="J601" s="41">
        <v>24333333.33333344</v>
      </c>
      <c r="K601" s="41">
        <v>111111.11111111109</v>
      </c>
      <c r="L601" s="41">
        <v>10000000</v>
      </c>
      <c r="M601" s="41">
        <v>0</v>
      </c>
      <c r="N601" s="41">
        <v>49462499.999999709</v>
      </c>
      <c r="O601" s="41">
        <v>79166.666666666672</v>
      </c>
      <c r="P601" s="41">
        <v>75000000</v>
      </c>
      <c r="Q601" s="41">
        <v>0</v>
      </c>
      <c r="R601" s="41">
        <v>37597222.222222127</v>
      </c>
      <c r="S601" s="41">
        <v>87962.962962962964</v>
      </c>
      <c r="T601" s="41">
        <v>25861111.111110952</v>
      </c>
      <c r="U601" s="41">
        <v>64814.814814814818</v>
      </c>
      <c r="V601" s="41">
        <v>387293055.55555499</v>
      </c>
      <c r="W601" s="41">
        <v>378240.74074074079</v>
      </c>
      <c r="X601" s="38">
        <f t="shared" si="54"/>
        <v>0.77458611111110998</v>
      </c>
      <c r="Y601" s="39">
        <f t="shared" si="55"/>
        <v>7.5648148148148157E-4</v>
      </c>
      <c r="Z601" s="39">
        <f t="shared" si="59"/>
        <v>9.7758143720026551E-4</v>
      </c>
      <c r="AA601" s="41">
        <f t="shared" si="56"/>
        <v>112706944.44444501</v>
      </c>
      <c r="AB601" s="39">
        <f t="shared" si="57"/>
        <v>3.355966596425489E-3</v>
      </c>
      <c r="AC601" s="38">
        <f t="shared" si="58"/>
        <v>0.24015903865226348</v>
      </c>
      <c r="AD601" s="3"/>
    </row>
    <row r="602" spans="1:30" x14ac:dyDescent="0.25">
      <c r="A602" s="37">
        <v>46238</v>
      </c>
      <c r="B602" s="41">
        <v>15074074.07407403</v>
      </c>
      <c r="C602" s="41">
        <v>35185.185185185182</v>
      </c>
      <c r="D602" s="41">
        <v>50000000</v>
      </c>
      <c r="E602" s="41">
        <v>0</v>
      </c>
      <c r="F602" s="41">
        <v>50000000</v>
      </c>
      <c r="G602" s="41">
        <v>0</v>
      </c>
      <c r="H602" s="41">
        <v>50000000</v>
      </c>
      <c r="I602" s="41">
        <v>0</v>
      </c>
      <c r="J602" s="41">
        <v>24444444.44444456</v>
      </c>
      <c r="K602" s="41">
        <v>111111.11111111109</v>
      </c>
      <c r="L602" s="41">
        <v>10000000</v>
      </c>
      <c r="M602" s="41">
        <v>0</v>
      </c>
      <c r="N602" s="41">
        <v>49541666.666666374</v>
      </c>
      <c r="O602" s="41">
        <v>79166.666666666672</v>
      </c>
      <c r="P602" s="41">
        <v>75000000</v>
      </c>
      <c r="Q602" s="41">
        <v>0</v>
      </c>
      <c r="R602" s="41">
        <v>37685185.18518509</v>
      </c>
      <c r="S602" s="41">
        <v>87962.962962962964</v>
      </c>
      <c r="T602" s="41">
        <v>25925925.925925769</v>
      </c>
      <c r="U602" s="41">
        <v>64814.814814814818</v>
      </c>
      <c r="V602" s="41">
        <v>387671296.29629582</v>
      </c>
      <c r="W602" s="41">
        <v>378240.74074074079</v>
      </c>
      <c r="X602" s="38">
        <f t="shared" si="54"/>
        <v>0.77534259259259164</v>
      </c>
      <c r="Y602" s="39">
        <f t="shared" si="55"/>
        <v>7.5648148148148157E-4</v>
      </c>
      <c r="Z602" s="39">
        <f t="shared" si="59"/>
        <v>9.7662670506232273E-4</v>
      </c>
      <c r="AA602" s="41">
        <f t="shared" si="56"/>
        <v>112328703.70370418</v>
      </c>
      <c r="AB602" s="39">
        <f t="shared" si="57"/>
        <v>3.3672670321064856E-3</v>
      </c>
      <c r="AC602" s="38">
        <f t="shared" si="58"/>
        <v>0.2398685165168726</v>
      </c>
      <c r="AD602" s="3"/>
    </row>
    <row r="603" spans="1:30" x14ac:dyDescent="0.25">
      <c r="A603" s="37">
        <v>46239</v>
      </c>
      <c r="B603" s="41">
        <v>15109259.25925922</v>
      </c>
      <c r="C603" s="41">
        <v>35185.185185185182</v>
      </c>
      <c r="D603" s="41">
        <v>50000000</v>
      </c>
      <c r="E603" s="41">
        <v>0</v>
      </c>
      <c r="F603" s="41">
        <v>50000000</v>
      </c>
      <c r="G603" s="41">
        <v>0</v>
      </c>
      <c r="H603" s="41">
        <v>50000000</v>
      </c>
      <c r="I603" s="41">
        <v>0</v>
      </c>
      <c r="J603" s="41">
        <v>24555555.555555671</v>
      </c>
      <c r="K603" s="41">
        <v>111111.11111111109</v>
      </c>
      <c r="L603" s="41">
        <v>10000000</v>
      </c>
      <c r="M603" s="41">
        <v>0</v>
      </c>
      <c r="N603" s="41">
        <v>49620833.333333038</v>
      </c>
      <c r="O603" s="41">
        <v>79166.666666666672</v>
      </c>
      <c r="P603" s="41">
        <v>75000000</v>
      </c>
      <c r="Q603" s="41">
        <v>0</v>
      </c>
      <c r="R603" s="41">
        <v>37773148.148148052</v>
      </c>
      <c r="S603" s="41">
        <v>87962.962962962964</v>
      </c>
      <c r="T603" s="41">
        <v>25990740.740740579</v>
      </c>
      <c r="U603" s="41">
        <v>64814.814814814818</v>
      </c>
      <c r="V603" s="41">
        <v>388049537.0370366</v>
      </c>
      <c r="W603" s="41">
        <v>378240.74074074079</v>
      </c>
      <c r="X603" s="38">
        <f t="shared" si="54"/>
        <v>0.77609907407407319</v>
      </c>
      <c r="Y603" s="39">
        <f t="shared" si="55"/>
        <v>7.5648148148148157E-4</v>
      </c>
      <c r="Z603" s="39">
        <f t="shared" si="59"/>
        <v>9.7567383593871423E-4</v>
      </c>
      <c r="AA603" s="41">
        <f t="shared" si="56"/>
        <v>111950462.9629634</v>
      </c>
      <c r="AB603" s="39">
        <f t="shared" si="57"/>
        <v>3.3786438280820176E-3</v>
      </c>
      <c r="AC603" s="38">
        <f t="shared" si="58"/>
        <v>0.23957869642569324</v>
      </c>
      <c r="AD603" s="3"/>
    </row>
    <row r="604" spans="1:30" x14ac:dyDescent="0.25">
      <c r="A604" s="37">
        <v>46240</v>
      </c>
      <c r="B604" s="41">
        <v>15144444.444444399</v>
      </c>
      <c r="C604" s="41">
        <v>35185.185185185182</v>
      </c>
      <c r="D604" s="41">
        <v>50000000</v>
      </c>
      <c r="E604" s="41">
        <v>0</v>
      </c>
      <c r="F604" s="41">
        <v>50000000</v>
      </c>
      <c r="G604" s="41">
        <v>0</v>
      </c>
      <c r="H604" s="41">
        <v>50000000</v>
      </c>
      <c r="I604" s="41">
        <v>0</v>
      </c>
      <c r="J604" s="41">
        <v>24666666.66666678</v>
      </c>
      <c r="K604" s="41">
        <v>111111.11111111109</v>
      </c>
      <c r="L604" s="41">
        <v>10000000</v>
      </c>
      <c r="M604" s="41">
        <v>0</v>
      </c>
      <c r="N604" s="41">
        <v>49699999.999999702</v>
      </c>
      <c r="O604" s="41">
        <v>79166.666666666672</v>
      </c>
      <c r="P604" s="41">
        <v>75000000</v>
      </c>
      <c r="Q604" s="41">
        <v>0</v>
      </c>
      <c r="R604" s="41">
        <v>37861111.111111023</v>
      </c>
      <c r="S604" s="41">
        <v>87962.962962962964</v>
      </c>
      <c r="T604" s="41">
        <v>26055555.555555388</v>
      </c>
      <c r="U604" s="41">
        <v>64814.814814814818</v>
      </c>
      <c r="V604" s="41">
        <v>388427777.77777737</v>
      </c>
      <c r="W604" s="41">
        <v>378240.74074074079</v>
      </c>
      <c r="X604" s="38">
        <f t="shared" si="54"/>
        <v>0.77685555555555474</v>
      </c>
      <c r="Y604" s="39">
        <f t="shared" si="55"/>
        <v>7.5648148148148157E-4</v>
      </c>
      <c r="Z604" s="39">
        <f t="shared" si="59"/>
        <v>9.7472282438167265E-4</v>
      </c>
      <c r="AA604" s="41">
        <f t="shared" si="56"/>
        <v>111572222.22222263</v>
      </c>
      <c r="AB604" s="39">
        <f t="shared" si="57"/>
        <v>3.3900977609586762E-3</v>
      </c>
      <c r="AC604" s="38">
        <f t="shared" si="58"/>
        <v>0.23928957583707069</v>
      </c>
      <c r="AD604" s="3"/>
    </row>
    <row r="605" spans="1:30" x14ac:dyDescent="0.25">
      <c r="A605" s="37">
        <v>46241</v>
      </c>
      <c r="B605" s="41">
        <v>15179629.62962959</v>
      </c>
      <c r="C605" s="41">
        <v>35185.185185185182</v>
      </c>
      <c r="D605" s="41">
        <v>50000000</v>
      </c>
      <c r="E605" s="41">
        <v>0</v>
      </c>
      <c r="F605" s="41">
        <v>50000000</v>
      </c>
      <c r="G605" s="41">
        <v>0</v>
      </c>
      <c r="H605" s="41">
        <v>50000000</v>
      </c>
      <c r="I605" s="41">
        <v>0</v>
      </c>
      <c r="J605" s="41">
        <v>24777777.777777892</v>
      </c>
      <c r="K605" s="41">
        <v>111111.11111111109</v>
      </c>
      <c r="L605" s="41">
        <v>10000000</v>
      </c>
      <c r="M605" s="41">
        <v>0</v>
      </c>
      <c r="N605" s="41">
        <v>49779166.666666374</v>
      </c>
      <c r="O605" s="41">
        <v>79166.666666666672</v>
      </c>
      <c r="P605" s="41">
        <v>75000000</v>
      </c>
      <c r="Q605" s="41">
        <v>0</v>
      </c>
      <c r="R605" s="41">
        <v>37949074.074073978</v>
      </c>
      <c r="S605" s="41">
        <v>87962.962962962964</v>
      </c>
      <c r="T605" s="41">
        <v>26120370.370370209</v>
      </c>
      <c r="U605" s="41">
        <v>64814.814814814818</v>
      </c>
      <c r="V605" s="41">
        <v>388806018.51851797</v>
      </c>
      <c r="W605" s="41">
        <v>378240.74074074079</v>
      </c>
      <c r="X605" s="38">
        <f t="shared" si="54"/>
        <v>0.77761203703703596</v>
      </c>
      <c r="Y605" s="39">
        <f t="shared" si="55"/>
        <v>7.5648148148148157E-4</v>
      </c>
      <c r="Z605" s="39">
        <f t="shared" si="59"/>
        <v>9.7377366496464968E-4</v>
      </c>
      <c r="AA605" s="41">
        <f t="shared" si="56"/>
        <v>111193981.48148203</v>
      </c>
      <c r="AB605" s="39">
        <f t="shared" si="57"/>
        <v>3.4016296179099591E-3</v>
      </c>
      <c r="AC605" s="38">
        <f t="shared" si="58"/>
        <v>0.23900115222160465</v>
      </c>
      <c r="AD605" s="3"/>
    </row>
    <row r="606" spans="1:30" x14ac:dyDescent="0.25">
      <c r="A606" s="37">
        <v>46242</v>
      </c>
      <c r="B606" s="41">
        <v>15214814.814814771</v>
      </c>
      <c r="C606" s="41">
        <v>35185.185185185182</v>
      </c>
      <c r="D606" s="41">
        <v>50000000</v>
      </c>
      <c r="E606" s="41">
        <v>0</v>
      </c>
      <c r="F606" s="41">
        <v>50000000</v>
      </c>
      <c r="G606" s="41">
        <v>0</v>
      </c>
      <c r="H606" s="41">
        <v>50000000</v>
      </c>
      <c r="I606" s="41">
        <v>0</v>
      </c>
      <c r="J606" s="41">
        <v>24888888.888889</v>
      </c>
      <c r="K606" s="41">
        <v>111111.11111111109</v>
      </c>
      <c r="L606" s="41">
        <v>10000000</v>
      </c>
      <c r="M606" s="41">
        <v>0</v>
      </c>
      <c r="N606" s="41">
        <v>49858333.33333303</v>
      </c>
      <c r="O606" s="41">
        <v>79166.666666666672</v>
      </c>
      <c r="P606" s="41">
        <v>75000000</v>
      </c>
      <c r="Q606" s="41">
        <v>0</v>
      </c>
      <c r="R606" s="41">
        <v>38037037.03703694</v>
      </c>
      <c r="S606" s="41">
        <v>87962.962962962964</v>
      </c>
      <c r="T606" s="41">
        <v>26185185.185185019</v>
      </c>
      <c r="U606" s="41">
        <v>64814.814814814818</v>
      </c>
      <c r="V606" s="41">
        <v>389184259.25925881</v>
      </c>
      <c r="W606" s="41">
        <v>378240.74074074079</v>
      </c>
      <c r="X606" s="38">
        <f t="shared" si="54"/>
        <v>0.77836851851851763</v>
      </c>
      <c r="Y606" s="39">
        <f t="shared" si="55"/>
        <v>7.5648148148148157E-4</v>
      </c>
      <c r="Z606" s="39">
        <f t="shared" si="59"/>
        <v>9.7282635228221402E-4</v>
      </c>
      <c r="AA606" s="41">
        <f t="shared" si="56"/>
        <v>110815740.74074119</v>
      </c>
      <c r="AB606" s="39">
        <f t="shared" si="57"/>
        <v>3.4132401968566305E-3</v>
      </c>
      <c r="AC606" s="38">
        <f t="shared" si="58"/>
        <v>0.23871342306207469</v>
      </c>
      <c r="AD606" s="3"/>
    </row>
    <row r="607" spans="1:30" x14ac:dyDescent="0.25">
      <c r="A607" s="37">
        <v>46243</v>
      </c>
      <c r="B607" s="41">
        <v>15249999.999999961</v>
      </c>
      <c r="C607" s="41">
        <v>35185.185185185182</v>
      </c>
      <c r="D607" s="41">
        <v>50000000</v>
      </c>
      <c r="E607" s="41">
        <v>0</v>
      </c>
      <c r="F607" s="41">
        <v>50000000</v>
      </c>
      <c r="G607" s="41">
        <v>0</v>
      </c>
      <c r="H607" s="41">
        <v>50000000</v>
      </c>
      <c r="I607" s="41">
        <v>0</v>
      </c>
      <c r="J607" s="41">
        <v>25000000.000000119</v>
      </c>
      <c r="K607" s="41">
        <v>111111.11111111109</v>
      </c>
      <c r="L607" s="41">
        <v>10000000</v>
      </c>
      <c r="M607" s="41">
        <v>0</v>
      </c>
      <c r="N607" s="41">
        <v>49937499.999999687</v>
      </c>
      <c r="O607" s="41">
        <v>79166.666666666672</v>
      </c>
      <c r="P607" s="41">
        <v>75000000</v>
      </c>
      <c r="Q607" s="41">
        <v>0</v>
      </c>
      <c r="R607" s="41">
        <v>38124999.999999903</v>
      </c>
      <c r="S607" s="41">
        <v>87962.962962962964</v>
      </c>
      <c r="T607" s="41">
        <v>26249999.999999829</v>
      </c>
      <c r="U607" s="41">
        <v>64814.814814814818</v>
      </c>
      <c r="V607" s="41">
        <v>389562499.99999952</v>
      </c>
      <c r="W607" s="41">
        <v>378240.74074074079</v>
      </c>
      <c r="X607" s="38">
        <f t="shared" si="54"/>
        <v>0.77912499999999907</v>
      </c>
      <c r="Y607" s="39">
        <f t="shared" si="55"/>
        <v>7.5648148148148157E-4</v>
      </c>
      <c r="Z607" s="39">
        <f t="shared" si="59"/>
        <v>9.718808809499464E-4</v>
      </c>
      <c r="AA607" s="41">
        <f t="shared" si="56"/>
        <v>110437500.00000048</v>
      </c>
      <c r="AB607" s="39">
        <f t="shared" si="57"/>
        <v>3.4249303066507223E-3</v>
      </c>
      <c r="AC607" s="38">
        <f t="shared" si="58"/>
        <v>0.23842638585336814</v>
      </c>
      <c r="AD607" s="3"/>
    </row>
    <row r="608" spans="1:30" x14ac:dyDescent="0.25">
      <c r="A608" s="37">
        <v>46244</v>
      </c>
      <c r="B608" s="41">
        <v>15285185.18518514</v>
      </c>
      <c r="C608" s="41">
        <v>35185.185185185182</v>
      </c>
      <c r="D608" s="41">
        <v>50000000</v>
      </c>
      <c r="E608" s="41">
        <v>0</v>
      </c>
      <c r="F608" s="41">
        <v>50000000</v>
      </c>
      <c r="G608" s="41">
        <v>0</v>
      </c>
      <c r="H608" s="41">
        <v>50000000</v>
      </c>
      <c r="I608" s="41">
        <v>0</v>
      </c>
      <c r="J608" s="41">
        <v>25111111.111111231</v>
      </c>
      <c r="K608" s="41">
        <v>111111.11111111109</v>
      </c>
      <c r="L608" s="41">
        <v>10000000</v>
      </c>
      <c r="M608" s="41">
        <v>0</v>
      </c>
      <c r="N608" s="41">
        <v>50016666.666666359</v>
      </c>
      <c r="O608" s="41">
        <v>79166.666666666672</v>
      </c>
      <c r="P608" s="41">
        <v>75000000</v>
      </c>
      <c r="Q608" s="41">
        <v>0</v>
      </c>
      <c r="R608" s="41">
        <v>38212962.962962873</v>
      </c>
      <c r="S608" s="41">
        <v>87962.962962962964</v>
      </c>
      <c r="T608" s="41">
        <v>26314814.81481465</v>
      </c>
      <c r="U608" s="41">
        <v>64814.814814814818</v>
      </c>
      <c r="V608" s="41">
        <v>389940740.74074018</v>
      </c>
      <c r="W608" s="41">
        <v>378240.74074074079</v>
      </c>
      <c r="X608" s="38">
        <f t="shared" si="54"/>
        <v>0.7798814814814804</v>
      </c>
      <c r="Y608" s="39">
        <f t="shared" si="55"/>
        <v>7.5648148148148157E-4</v>
      </c>
      <c r="Z608" s="39">
        <f t="shared" si="59"/>
        <v>9.7093724560434139E-4</v>
      </c>
      <c r="AA608" s="41">
        <f t="shared" si="56"/>
        <v>110059259.25925982</v>
      </c>
      <c r="AB608" s="39">
        <f t="shared" si="57"/>
        <v>3.4367007672634099E-3</v>
      </c>
      <c r="AC608" s="38">
        <f t="shared" si="58"/>
        <v>0.23814003810240653</v>
      </c>
      <c r="AD608" s="3"/>
    </row>
    <row r="609" spans="1:30" x14ac:dyDescent="0.25">
      <c r="A609" s="37">
        <v>46245</v>
      </c>
      <c r="B609" s="41">
        <v>15320370.37037033</v>
      </c>
      <c r="C609" s="41">
        <v>35185.185185185182</v>
      </c>
      <c r="D609" s="41">
        <v>50000000</v>
      </c>
      <c r="E609" s="41">
        <v>0</v>
      </c>
      <c r="F609" s="41">
        <v>50000000</v>
      </c>
      <c r="G609" s="41">
        <v>0</v>
      </c>
      <c r="H609" s="41">
        <v>50000000</v>
      </c>
      <c r="I609" s="41">
        <v>0</v>
      </c>
      <c r="J609" s="41">
        <v>25222222.222222339</v>
      </c>
      <c r="K609" s="41">
        <v>111111.11111111109</v>
      </c>
      <c r="L609" s="41">
        <v>10000000</v>
      </c>
      <c r="M609" s="41">
        <v>0</v>
      </c>
      <c r="N609" s="41">
        <v>50095833.333333023</v>
      </c>
      <c r="O609" s="41">
        <v>79166.666666666672</v>
      </c>
      <c r="P609" s="41">
        <v>75000000</v>
      </c>
      <c r="Q609" s="41">
        <v>0</v>
      </c>
      <c r="R609" s="41">
        <v>38300925.925925829</v>
      </c>
      <c r="S609" s="41">
        <v>87962.962962962964</v>
      </c>
      <c r="T609" s="41">
        <v>26379629.629629459</v>
      </c>
      <c r="U609" s="41">
        <v>64814.814814814818</v>
      </c>
      <c r="V609" s="41">
        <v>390318981.48148102</v>
      </c>
      <c r="W609" s="41">
        <v>378240.74074074079</v>
      </c>
      <c r="X609" s="38">
        <f t="shared" si="54"/>
        <v>0.78063796296296206</v>
      </c>
      <c r="Y609" s="39">
        <f t="shared" si="55"/>
        <v>7.5648148148148157E-4</v>
      </c>
      <c r="Z609" s="39">
        <f t="shared" si="59"/>
        <v>9.6999544090270277E-4</v>
      </c>
      <c r="AA609" s="41">
        <f t="shared" si="56"/>
        <v>109681018.51851898</v>
      </c>
      <c r="AB609" s="39">
        <f t="shared" si="57"/>
        <v>3.448552409976728E-3</v>
      </c>
      <c r="AC609" s="38">
        <f t="shared" si="58"/>
        <v>0.23785437732807349</v>
      </c>
      <c r="AD609" s="3"/>
    </row>
    <row r="610" spans="1:30" x14ac:dyDescent="0.25">
      <c r="A610" s="37">
        <v>46246</v>
      </c>
      <c r="B610" s="41">
        <v>15355555.555555509</v>
      </c>
      <c r="C610" s="41">
        <v>35185.185185185182</v>
      </c>
      <c r="D610" s="41">
        <v>50000000</v>
      </c>
      <c r="E610" s="41">
        <v>0</v>
      </c>
      <c r="F610" s="41">
        <v>50000000</v>
      </c>
      <c r="G610" s="41">
        <v>0</v>
      </c>
      <c r="H610" s="41">
        <v>50000000</v>
      </c>
      <c r="I610" s="41">
        <v>0</v>
      </c>
      <c r="J610" s="41">
        <v>25333333.333333451</v>
      </c>
      <c r="K610" s="41">
        <v>111111.11111111109</v>
      </c>
      <c r="L610" s="41">
        <v>10000000</v>
      </c>
      <c r="M610" s="41">
        <v>0</v>
      </c>
      <c r="N610" s="41">
        <v>50174999.999999687</v>
      </c>
      <c r="O610" s="41">
        <v>79166.666666666672</v>
      </c>
      <c r="P610" s="41">
        <v>75000000</v>
      </c>
      <c r="Q610" s="41">
        <v>0</v>
      </c>
      <c r="R610" s="41">
        <v>38388888.888888791</v>
      </c>
      <c r="S610" s="41">
        <v>87962.962962962964</v>
      </c>
      <c r="T610" s="41">
        <v>26444444.444444269</v>
      </c>
      <c r="U610" s="41">
        <v>64814.814814814818</v>
      </c>
      <c r="V610" s="41">
        <v>390697222.22222167</v>
      </c>
      <c r="W610" s="41">
        <v>378240.74074074079</v>
      </c>
      <c r="X610" s="38">
        <f t="shared" si="54"/>
        <v>0.78139444444444339</v>
      </c>
      <c r="Y610" s="39">
        <f t="shared" si="55"/>
        <v>7.5648148148148157E-4</v>
      </c>
      <c r="Z610" s="39">
        <f t="shared" si="59"/>
        <v>9.6905546152304333E-4</v>
      </c>
      <c r="AA610" s="41">
        <f t="shared" si="56"/>
        <v>109302777.77777833</v>
      </c>
      <c r="AB610" s="39">
        <f t="shared" si="57"/>
        <v>3.4604860775792525E-3</v>
      </c>
      <c r="AC610" s="38">
        <f t="shared" si="58"/>
        <v>0.23756940106114374</v>
      </c>
      <c r="AD610" s="3"/>
    </row>
    <row r="611" spans="1:30" x14ac:dyDescent="0.25">
      <c r="A611" s="37">
        <v>46247</v>
      </c>
      <c r="B611" s="41">
        <v>15390740.7407407</v>
      </c>
      <c r="C611" s="41">
        <v>35185.185185185182</v>
      </c>
      <c r="D611" s="41">
        <v>50000000</v>
      </c>
      <c r="E611" s="41">
        <v>0</v>
      </c>
      <c r="F611" s="41">
        <v>50000000</v>
      </c>
      <c r="G611" s="41">
        <v>0</v>
      </c>
      <c r="H611" s="41">
        <v>50000000</v>
      </c>
      <c r="I611" s="41">
        <v>0</v>
      </c>
      <c r="J611" s="41">
        <v>25444444.44444456</v>
      </c>
      <c r="K611" s="41">
        <v>111111.11111111109</v>
      </c>
      <c r="L611" s="41">
        <v>10000000</v>
      </c>
      <c r="M611" s="41">
        <v>0</v>
      </c>
      <c r="N611" s="41">
        <v>50254166.666666351</v>
      </c>
      <c r="O611" s="41">
        <v>79166.666666666672</v>
      </c>
      <c r="P611" s="41">
        <v>75000000</v>
      </c>
      <c r="Q611" s="41">
        <v>0</v>
      </c>
      <c r="R611" s="41">
        <v>38476851.851851746</v>
      </c>
      <c r="S611" s="41">
        <v>87962.962962962964</v>
      </c>
      <c r="T611" s="41">
        <v>26509259.25925909</v>
      </c>
      <c r="U611" s="41">
        <v>64814.814814814818</v>
      </c>
      <c r="V611" s="41">
        <v>391075462.96296239</v>
      </c>
      <c r="W611" s="41">
        <v>378240.74074074079</v>
      </c>
      <c r="X611" s="38">
        <f t="shared" si="54"/>
        <v>0.78215092592592472</v>
      </c>
      <c r="Y611" s="39">
        <f t="shared" si="55"/>
        <v>7.5648148148148157E-4</v>
      </c>
      <c r="Z611" s="39">
        <f t="shared" si="59"/>
        <v>9.6811730216398654E-4</v>
      </c>
      <c r="AA611" s="41">
        <f t="shared" si="56"/>
        <v>108924537.03703761</v>
      </c>
      <c r="AB611" s="39">
        <f t="shared" si="57"/>
        <v>3.4725026245659195E-3</v>
      </c>
      <c r="AC611" s="38">
        <f t="shared" si="58"/>
        <v>0.23728510684421103</v>
      </c>
      <c r="AD611" s="3"/>
    </row>
    <row r="612" spans="1:30" x14ac:dyDescent="0.25">
      <c r="A612" s="37">
        <v>46248</v>
      </c>
      <c r="B612" s="41">
        <v>15425925.925925881</v>
      </c>
      <c r="C612" s="41">
        <v>35185.185185185182</v>
      </c>
      <c r="D612" s="41">
        <v>50000000</v>
      </c>
      <c r="E612" s="41">
        <v>0</v>
      </c>
      <c r="F612" s="41">
        <v>50000000</v>
      </c>
      <c r="G612" s="41">
        <v>0</v>
      </c>
      <c r="H612" s="41">
        <v>50000000</v>
      </c>
      <c r="I612" s="41">
        <v>0</v>
      </c>
      <c r="J612" s="41">
        <v>25555555.555555679</v>
      </c>
      <c r="K612" s="41">
        <v>111111.11111111109</v>
      </c>
      <c r="L612" s="41">
        <v>10000000</v>
      </c>
      <c r="M612" s="41">
        <v>0</v>
      </c>
      <c r="N612" s="41">
        <v>50333333.333333023</v>
      </c>
      <c r="O612" s="41">
        <v>79166.666666666672</v>
      </c>
      <c r="P612" s="41">
        <v>75000000</v>
      </c>
      <c r="Q612" s="41">
        <v>0</v>
      </c>
      <c r="R612" s="41">
        <v>38564814.814814717</v>
      </c>
      <c r="S612" s="41">
        <v>87962.962962962964</v>
      </c>
      <c r="T612" s="41">
        <v>26574074.0740739</v>
      </c>
      <c r="U612" s="41">
        <v>64814.814814814818</v>
      </c>
      <c r="V612" s="41">
        <v>391453703.70370322</v>
      </c>
      <c r="W612" s="41">
        <v>378240.74074074079</v>
      </c>
      <c r="X612" s="38">
        <f t="shared" si="54"/>
        <v>0.7829074074074065</v>
      </c>
      <c r="Y612" s="39">
        <f t="shared" si="55"/>
        <v>7.5648148148148157E-4</v>
      </c>
      <c r="Z612" s="39">
        <f t="shared" si="59"/>
        <v>9.671809575446641E-4</v>
      </c>
      <c r="AA612" s="41">
        <f t="shared" si="56"/>
        <v>108546296.29629678</v>
      </c>
      <c r="AB612" s="39">
        <f t="shared" si="57"/>
        <v>3.4846029173419622E-3</v>
      </c>
      <c r="AC612" s="38">
        <f t="shared" si="58"/>
        <v>0.23700149223161812</v>
      </c>
      <c r="AD612" s="3"/>
    </row>
    <row r="613" spans="1:30" x14ac:dyDescent="0.25">
      <c r="A613" s="37">
        <v>46249</v>
      </c>
      <c r="B613" s="41">
        <v>15461111.111111069</v>
      </c>
      <c r="C613" s="41">
        <v>35185.185185185182</v>
      </c>
      <c r="D613" s="41">
        <v>50000000</v>
      </c>
      <c r="E613" s="41">
        <v>0</v>
      </c>
      <c r="F613" s="41">
        <v>50000000</v>
      </c>
      <c r="G613" s="41">
        <v>0</v>
      </c>
      <c r="H613" s="41">
        <v>50000000</v>
      </c>
      <c r="I613" s="41">
        <v>0</v>
      </c>
      <c r="J613" s="41">
        <v>25666666.666666791</v>
      </c>
      <c r="K613" s="41">
        <v>111111.11111111109</v>
      </c>
      <c r="L613" s="41">
        <v>10000000</v>
      </c>
      <c r="M613" s="41">
        <v>0</v>
      </c>
      <c r="N613" s="41">
        <v>50412499.99999968</v>
      </c>
      <c r="O613" s="41">
        <v>79166.666666666672</v>
      </c>
      <c r="P613" s="41">
        <v>75000000</v>
      </c>
      <c r="Q613" s="41">
        <v>0</v>
      </c>
      <c r="R613" s="41">
        <v>38652777.777777679</v>
      </c>
      <c r="S613" s="41">
        <v>87962.962962962964</v>
      </c>
      <c r="T613" s="41">
        <v>26638888.888888709</v>
      </c>
      <c r="U613" s="41">
        <v>64814.814814814818</v>
      </c>
      <c r="V613" s="41">
        <v>391831944.44444388</v>
      </c>
      <c r="W613" s="41">
        <v>378240.74074074079</v>
      </c>
      <c r="X613" s="38">
        <f t="shared" si="54"/>
        <v>0.78366388888888772</v>
      </c>
      <c r="Y613" s="39">
        <f t="shared" si="55"/>
        <v>7.5648148148148157E-4</v>
      </c>
      <c r="Z613" s="39">
        <f t="shared" si="59"/>
        <v>9.6624642240461848E-4</v>
      </c>
      <c r="AA613" s="41">
        <f t="shared" si="56"/>
        <v>108168055.55555612</v>
      </c>
      <c r="AB613" s="39">
        <f t="shared" si="57"/>
        <v>3.4967878344311443E-3</v>
      </c>
      <c r="AC613" s="38">
        <f t="shared" si="58"/>
        <v>0.23671855478938666</v>
      </c>
      <c r="AD613" s="3"/>
    </row>
    <row r="614" spans="1:30" x14ac:dyDescent="0.25">
      <c r="A614" s="37">
        <v>46250</v>
      </c>
      <c r="B614" s="41">
        <v>15496296.29629625</v>
      </c>
      <c r="C614" s="41">
        <v>35185.185185185182</v>
      </c>
      <c r="D614" s="41">
        <v>50000000</v>
      </c>
      <c r="E614" s="41">
        <v>0</v>
      </c>
      <c r="F614" s="41">
        <v>50000000</v>
      </c>
      <c r="G614" s="41">
        <v>0</v>
      </c>
      <c r="H614" s="41">
        <v>50000000</v>
      </c>
      <c r="I614" s="41">
        <v>0</v>
      </c>
      <c r="J614" s="41">
        <v>25777777.777777899</v>
      </c>
      <c r="K614" s="41">
        <v>111111.11111111109</v>
      </c>
      <c r="L614" s="41">
        <v>10000000</v>
      </c>
      <c r="M614" s="41">
        <v>0</v>
      </c>
      <c r="N614" s="41">
        <v>50491666.666666336</v>
      </c>
      <c r="O614" s="41">
        <v>79166.666666666672</v>
      </c>
      <c r="P614" s="41">
        <v>75000000</v>
      </c>
      <c r="Q614" s="41">
        <v>0</v>
      </c>
      <c r="R614" s="41">
        <v>38740740.740740642</v>
      </c>
      <c r="S614" s="41">
        <v>87962.962962962964</v>
      </c>
      <c r="T614" s="41">
        <v>26703703.70370353</v>
      </c>
      <c r="U614" s="41">
        <v>64814.814814814818</v>
      </c>
      <c r="V614" s="41">
        <v>392210185.18518472</v>
      </c>
      <c r="W614" s="41">
        <v>378240.74074074079</v>
      </c>
      <c r="X614" s="38">
        <f t="shared" si="54"/>
        <v>0.78442037037036938</v>
      </c>
      <c r="Y614" s="39">
        <f t="shared" si="55"/>
        <v>7.5648148148148157E-4</v>
      </c>
      <c r="Z614" s="39">
        <f t="shared" si="59"/>
        <v>9.6531369150370508E-4</v>
      </c>
      <c r="AA614" s="41">
        <f t="shared" si="56"/>
        <v>107789814.81481528</v>
      </c>
      <c r="AB614" s="39">
        <f t="shared" si="57"/>
        <v>3.5090582666884133E-3</v>
      </c>
      <c r="AC614" s="38">
        <f t="shared" si="58"/>
        <v>0.23643629209514699</v>
      </c>
      <c r="AD614" s="3"/>
    </row>
    <row r="615" spans="1:30" x14ac:dyDescent="0.25">
      <c r="A615" s="37">
        <v>46251</v>
      </c>
      <c r="B615" s="41">
        <v>15531481.481481429</v>
      </c>
      <c r="C615" s="41">
        <v>35185.185185185182</v>
      </c>
      <c r="D615" s="41">
        <v>50000000</v>
      </c>
      <c r="E615" s="41">
        <v>0</v>
      </c>
      <c r="F615" s="41">
        <v>50000000</v>
      </c>
      <c r="G615" s="41">
        <v>0</v>
      </c>
      <c r="H615" s="41">
        <v>50000000</v>
      </c>
      <c r="I615" s="41">
        <v>0</v>
      </c>
      <c r="J615" s="41">
        <v>25888888.888889011</v>
      </c>
      <c r="K615" s="41">
        <v>111111.11111111109</v>
      </c>
      <c r="L615" s="41">
        <v>10000000</v>
      </c>
      <c r="M615" s="41">
        <v>0</v>
      </c>
      <c r="N615" s="41">
        <v>50570833.333333008</v>
      </c>
      <c r="O615" s="41">
        <v>79166.666666666672</v>
      </c>
      <c r="P615" s="41">
        <v>75000000</v>
      </c>
      <c r="Q615" s="41">
        <v>0</v>
      </c>
      <c r="R615" s="41">
        <v>38828703.703703597</v>
      </c>
      <c r="S615" s="41">
        <v>87962.962962962964</v>
      </c>
      <c r="T615" s="41">
        <v>26768518.51851834</v>
      </c>
      <c r="U615" s="41">
        <v>64814.814814814818</v>
      </c>
      <c r="V615" s="41">
        <v>392588425.92592537</v>
      </c>
      <c r="W615" s="41">
        <v>378240.74074074079</v>
      </c>
      <c r="X615" s="38">
        <f t="shared" si="54"/>
        <v>0.78517685185185071</v>
      </c>
      <c r="Y615" s="39">
        <f t="shared" si="55"/>
        <v>7.5648148148148157E-4</v>
      </c>
      <c r="Z615" s="39">
        <f t="shared" si="59"/>
        <v>9.6438275962199157E-4</v>
      </c>
      <c r="AA615" s="41">
        <f t="shared" si="56"/>
        <v>107411574.07407463</v>
      </c>
      <c r="AB615" s="39">
        <f t="shared" si="57"/>
        <v>3.5214151175169753E-3</v>
      </c>
      <c r="AC615" s="38">
        <f t="shared" si="58"/>
        <v>0.23615470173806985</v>
      </c>
      <c r="AD615" s="3"/>
    </row>
    <row r="616" spans="1:30" x14ac:dyDescent="0.25">
      <c r="A616" s="37">
        <v>46252</v>
      </c>
      <c r="B616" s="41">
        <v>15566666.666666619</v>
      </c>
      <c r="C616" s="41">
        <v>35185.185185185182</v>
      </c>
      <c r="D616" s="41">
        <v>50000000</v>
      </c>
      <c r="E616" s="41">
        <v>0</v>
      </c>
      <c r="F616" s="41">
        <v>50000000</v>
      </c>
      <c r="G616" s="41">
        <v>0</v>
      </c>
      <c r="H616" s="41">
        <v>50000000</v>
      </c>
      <c r="I616" s="41">
        <v>0</v>
      </c>
      <c r="J616" s="41">
        <v>26000000.000000119</v>
      </c>
      <c r="K616" s="41">
        <v>111111.11111111109</v>
      </c>
      <c r="L616" s="41">
        <v>10000000</v>
      </c>
      <c r="M616" s="41">
        <v>0</v>
      </c>
      <c r="N616" s="41">
        <v>50649999.999999672</v>
      </c>
      <c r="O616" s="41">
        <v>79166.666666666672</v>
      </c>
      <c r="P616" s="41">
        <v>75000000</v>
      </c>
      <c r="Q616" s="41">
        <v>0</v>
      </c>
      <c r="R616" s="41">
        <v>38916666.666666567</v>
      </c>
      <c r="S616" s="41">
        <v>87962.962962962964</v>
      </c>
      <c r="T616" s="41">
        <v>26833333.33333315</v>
      </c>
      <c r="U616" s="41">
        <v>64814.814814814818</v>
      </c>
      <c r="V616" s="41">
        <v>392966666.66666609</v>
      </c>
      <c r="W616" s="41">
        <v>378240.74074074079</v>
      </c>
      <c r="X616" s="38">
        <f t="shared" si="54"/>
        <v>0.78593333333333215</v>
      </c>
      <c r="Y616" s="39">
        <f t="shared" si="55"/>
        <v>7.5648148148148157E-4</v>
      </c>
      <c r="Z616" s="39">
        <f t="shared" si="59"/>
        <v>9.6345362155966427E-4</v>
      </c>
      <c r="AA616" s="41">
        <f t="shared" si="56"/>
        <v>107033333.33333391</v>
      </c>
      <c r="AB616" s="39">
        <f t="shared" si="57"/>
        <v>3.5338593030900538E-3</v>
      </c>
      <c r="AC616" s="38">
        <f t="shared" si="58"/>
        <v>0.23587378131879694</v>
      </c>
      <c r="AD616" s="3"/>
    </row>
    <row r="617" spans="1:30" x14ac:dyDescent="0.25">
      <c r="A617" s="37">
        <v>46253</v>
      </c>
      <c r="B617" s="41">
        <v>15601851.8518518</v>
      </c>
      <c r="C617" s="41">
        <v>35185.185185185182</v>
      </c>
      <c r="D617" s="41">
        <v>50000000</v>
      </c>
      <c r="E617" s="41">
        <v>0</v>
      </c>
      <c r="F617" s="41">
        <v>50000000</v>
      </c>
      <c r="G617" s="41">
        <v>0</v>
      </c>
      <c r="H617" s="41">
        <v>50000000</v>
      </c>
      <c r="I617" s="41">
        <v>0</v>
      </c>
      <c r="J617" s="41">
        <v>26111111.111111231</v>
      </c>
      <c r="K617" s="41">
        <v>111111.11111111109</v>
      </c>
      <c r="L617" s="41">
        <v>10000000</v>
      </c>
      <c r="M617" s="41">
        <v>0</v>
      </c>
      <c r="N617" s="41">
        <v>50729166.666666336</v>
      </c>
      <c r="O617" s="41">
        <v>79166.666666666672</v>
      </c>
      <c r="P617" s="41">
        <v>75000000</v>
      </c>
      <c r="Q617" s="41">
        <v>0</v>
      </c>
      <c r="R617" s="41">
        <v>39004629.62962953</v>
      </c>
      <c r="S617" s="41">
        <v>87962.962962962964</v>
      </c>
      <c r="T617" s="41">
        <v>26898148.14814797</v>
      </c>
      <c r="U617" s="41">
        <v>64814.814814814818</v>
      </c>
      <c r="V617" s="41">
        <v>393344907.40740693</v>
      </c>
      <c r="W617" s="41">
        <v>378240.74074074079</v>
      </c>
      <c r="X617" s="38">
        <f t="shared" si="54"/>
        <v>0.78668981481481381</v>
      </c>
      <c r="Y617" s="39">
        <f t="shared" si="55"/>
        <v>7.5648148148148157E-4</v>
      </c>
      <c r="Z617" s="39">
        <f t="shared" si="59"/>
        <v>9.6252627213692769E-4</v>
      </c>
      <c r="AA617" s="41">
        <f t="shared" si="56"/>
        <v>106655092.59259307</v>
      </c>
      <c r="AB617" s="39">
        <f t="shared" si="57"/>
        <v>3.5463917525773042E-3</v>
      </c>
      <c r="AC617" s="38">
        <f t="shared" si="58"/>
        <v>0.2355935284493732</v>
      </c>
      <c r="AD617" s="3"/>
    </row>
    <row r="618" spans="1:30" x14ac:dyDescent="0.25">
      <c r="A618" s="37">
        <v>46254</v>
      </c>
      <c r="B618" s="41">
        <v>15637037.037036991</v>
      </c>
      <c r="C618" s="41">
        <v>35185.185185185182</v>
      </c>
      <c r="D618" s="41">
        <v>50000000</v>
      </c>
      <c r="E618" s="41">
        <v>0</v>
      </c>
      <c r="F618" s="41">
        <v>50000000</v>
      </c>
      <c r="G618" s="41">
        <v>0</v>
      </c>
      <c r="H618" s="41">
        <v>50000000</v>
      </c>
      <c r="I618" s="41">
        <v>0</v>
      </c>
      <c r="J618" s="41">
        <v>26222222.222222351</v>
      </c>
      <c r="K618" s="41">
        <v>111111.11111111109</v>
      </c>
      <c r="L618" s="41">
        <v>10000000</v>
      </c>
      <c r="M618" s="41">
        <v>0</v>
      </c>
      <c r="N618" s="41">
        <v>50808333.333333001</v>
      </c>
      <c r="O618" s="41">
        <v>79166.666666666672</v>
      </c>
      <c r="P618" s="41">
        <v>75000000</v>
      </c>
      <c r="Q618" s="41">
        <v>0</v>
      </c>
      <c r="R618" s="41">
        <v>39092592.592592493</v>
      </c>
      <c r="S618" s="41">
        <v>87962.962962962964</v>
      </c>
      <c r="T618" s="41">
        <v>26962962.96296278</v>
      </c>
      <c r="U618" s="41">
        <v>64814.814814814818</v>
      </c>
      <c r="V618" s="41">
        <v>393723148.14814758</v>
      </c>
      <c r="W618" s="41">
        <v>378240.74074074079</v>
      </c>
      <c r="X618" s="38">
        <f t="shared" si="54"/>
        <v>0.78744629629629515</v>
      </c>
      <c r="Y618" s="39">
        <f t="shared" si="55"/>
        <v>7.5648148148148157E-4</v>
      </c>
      <c r="Z618" s="39">
        <f t="shared" si="59"/>
        <v>9.6160070619391038E-4</v>
      </c>
      <c r="AA618" s="41">
        <f t="shared" si="56"/>
        <v>106276851.85185242</v>
      </c>
      <c r="AB618" s="39">
        <f t="shared" si="57"/>
        <v>3.5590134083760784E-3</v>
      </c>
      <c r="AC618" s="38">
        <f t="shared" si="58"/>
        <v>0.23531394075317932</v>
      </c>
      <c r="AD618" s="3"/>
    </row>
    <row r="619" spans="1:30" x14ac:dyDescent="0.25">
      <c r="A619" s="37">
        <v>46255</v>
      </c>
      <c r="B619" s="41">
        <v>15672222.22222217</v>
      </c>
      <c r="C619" s="41">
        <v>35185.185185185182</v>
      </c>
      <c r="D619" s="41">
        <v>50000000</v>
      </c>
      <c r="E619" s="41">
        <v>0</v>
      </c>
      <c r="F619" s="41">
        <v>50000000</v>
      </c>
      <c r="G619" s="41">
        <v>0</v>
      </c>
      <c r="H619" s="41">
        <v>50000000</v>
      </c>
      <c r="I619" s="41">
        <v>0</v>
      </c>
      <c r="J619" s="41">
        <v>26333333.333333459</v>
      </c>
      <c r="K619" s="41">
        <v>111111.11111111109</v>
      </c>
      <c r="L619" s="41">
        <v>10000000</v>
      </c>
      <c r="M619" s="41">
        <v>0</v>
      </c>
      <c r="N619" s="41">
        <v>50887499.999999657</v>
      </c>
      <c r="O619" s="41">
        <v>79166.666666666672</v>
      </c>
      <c r="P619" s="41">
        <v>75000000</v>
      </c>
      <c r="Q619" s="41">
        <v>0</v>
      </c>
      <c r="R619" s="41">
        <v>39180555.555555463</v>
      </c>
      <c r="S619" s="41">
        <v>87962.962962962964</v>
      </c>
      <c r="T619" s="41">
        <v>27027777.77777759</v>
      </c>
      <c r="U619" s="41">
        <v>64814.814814814818</v>
      </c>
      <c r="V619" s="41">
        <v>394101388.88888842</v>
      </c>
      <c r="W619" s="41">
        <v>378240.74074074079</v>
      </c>
      <c r="X619" s="38">
        <f t="shared" si="54"/>
        <v>0.78820277777777681</v>
      </c>
      <c r="Y619" s="39">
        <f t="shared" si="55"/>
        <v>7.5648148148148157E-4</v>
      </c>
      <c r="Z619" s="39">
        <f t="shared" si="59"/>
        <v>9.6067691859056965E-4</v>
      </c>
      <c r="AA619" s="41">
        <f t="shared" si="56"/>
        <v>105898611.11111158</v>
      </c>
      <c r="AB619" s="39">
        <f t="shared" si="57"/>
        <v>3.571725226347688E-3</v>
      </c>
      <c r="AC619" s="38">
        <f t="shared" si="58"/>
        <v>0.23503501586486392</v>
      </c>
      <c r="AD619" s="3"/>
    </row>
    <row r="620" spans="1:30" x14ac:dyDescent="0.25">
      <c r="A620" s="37">
        <v>46256</v>
      </c>
      <c r="B620" s="41">
        <v>15707407.40740736</v>
      </c>
      <c r="C620" s="41">
        <v>35185.185185185182</v>
      </c>
      <c r="D620" s="41">
        <v>50000000</v>
      </c>
      <c r="E620" s="41">
        <v>0</v>
      </c>
      <c r="F620" s="41">
        <v>50000000</v>
      </c>
      <c r="G620" s="41">
        <v>0</v>
      </c>
      <c r="H620" s="41">
        <v>50000000</v>
      </c>
      <c r="I620" s="41">
        <v>0</v>
      </c>
      <c r="J620" s="41">
        <v>26444444.444444571</v>
      </c>
      <c r="K620" s="41">
        <v>111111.11111111109</v>
      </c>
      <c r="L620" s="41">
        <v>10000000</v>
      </c>
      <c r="M620" s="41">
        <v>0</v>
      </c>
      <c r="N620" s="41">
        <v>50966666.666666329</v>
      </c>
      <c r="O620" s="41">
        <v>79166.666666666672</v>
      </c>
      <c r="P620" s="41">
        <v>75000000</v>
      </c>
      <c r="Q620" s="41">
        <v>0</v>
      </c>
      <c r="R620" s="41">
        <v>39268518.518518418</v>
      </c>
      <c r="S620" s="41">
        <v>87962.962962962964</v>
      </c>
      <c r="T620" s="41">
        <v>27092592.592592411</v>
      </c>
      <c r="U620" s="41">
        <v>64814.814814814818</v>
      </c>
      <c r="V620" s="41">
        <v>394479629.62962908</v>
      </c>
      <c r="W620" s="41">
        <v>378240.74074074079</v>
      </c>
      <c r="X620" s="38">
        <f t="shared" si="54"/>
        <v>0.78895925925925814</v>
      </c>
      <c r="Y620" s="39">
        <f t="shared" si="55"/>
        <v>7.5648148148148157E-4</v>
      </c>
      <c r="Z620" s="39">
        <f t="shared" si="59"/>
        <v>9.5975490420659409E-4</v>
      </c>
      <c r="AA620" s="41">
        <f t="shared" si="56"/>
        <v>105520370.37037092</v>
      </c>
      <c r="AB620" s="39">
        <f t="shared" si="57"/>
        <v>3.5845281760586677E-3</v>
      </c>
      <c r="AC620" s="38">
        <f t="shared" si="58"/>
        <v>0.23475675143027766</v>
      </c>
      <c r="AD620" s="3"/>
    </row>
    <row r="621" spans="1:30" x14ac:dyDescent="0.25">
      <c r="A621" s="37">
        <v>46257</v>
      </c>
      <c r="B621" s="41">
        <v>15742592.592592539</v>
      </c>
      <c r="C621" s="41">
        <v>35185.185185185182</v>
      </c>
      <c r="D621" s="41">
        <v>50000000</v>
      </c>
      <c r="E621" s="41">
        <v>0</v>
      </c>
      <c r="F621" s="41">
        <v>50000000</v>
      </c>
      <c r="G621" s="41">
        <v>0</v>
      </c>
      <c r="H621" s="41">
        <v>50000000</v>
      </c>
      <c r="I621" s="41">
        <v>0</v>
      </c>
      <c r="J621" s="41">
        <v>26555555.555555679</v>
      </c>
      <c r="K621" s="41">
        <v>111111.11111111109</v>
      </c>
      <c r="L621" s="41">
        <v>10000000</v>
      </c>
      <c r="M621" s="41">
        <v>0</v>
      </c>
      <c r="N621" s="41">
        <v>51045833.333332993</v>
      </c>
      <c r="O621" s="41">
        <v>79166.666666666672</v>
      </c>
      <c r="P621" s="41">
        <v>75000000</v>
      </c>
      <c r="Q621" s="41">
        <v>0</v>
      </c>
      <c r="R621" s="41">
        <v>39356481.481481381</v>
      </c>
      <c r="S621" s="41">
        <v>87962.962962962964</v>
      </c>
      <c r="T621" s="41">
        <v>27157407.40740722</v>
      </c>
      <c r="U621" s="41">
        <v>64814.814814814818</v>
      </c>
      <c r="V621" s="41">
        <v>394857870.37036979</v>
      </c>
      <c r="W621" s="41">
        <v>378240.74074074079</v>
      </c>
      <c r="X621" s="38">
        <f t="shared" si="54"/>
        <v>0.78971574074073958</v>
      </c>
      <c r="Y621" s="39">
        <f t="shared" si="55"/>
        <v>7.5648148148148157E-4</v>
      </c>
      <c r="Z621" s="39">
        <f t="shared" si="59"/>
        <v>9.5883465794131188E-4</v>
      </c>
      <c r="AA621" s="41">
        <f t="shared" si="56"/>
        <v>105142129.62963021</v>
      </c>
      <c r="AB621" s="39">
        <f t="shared" si="57"/>
        <v>3.5974232410273376E-3</v>
      </c>
      <c r="AC621" s="38">
        <f t="shared" si="58"/>
        <v>0.23447914510640619</v>
      </c>
      <c r="AD621" s="3"/>
    </row>
    <row r="622" spans="1:30" x14ac:dyDescent="0.25">
      <c r="A622" s="37">
        <v>46258</v>
      </c>
      <c r="B622" s="41">
        <v>15777777.77777773</v>
      </c>
      <c r="C622" s="41">
        <v>35185.185185185182</v>
      </c>
      <c r="D622" s="41">
        <v>50000000</v>
      </c>
      <c r="E622" s="41">
        <v>0</v>
      </c>
      <c r="F622" s="41">
        <v>50000000</v>
      </c>
      <c r="G622" s="41">
        <v>0</v>
      </c>
      <c r="H622" s="41">
        <v>50000000</v>
      </c>
      <c r="I622" s="41">
        <v>0</v>
      </c>
      <c r="J622" s="41">
        <v>26666666.666666791</v>
      </c>
      <c r="K622" s="41">
        <v>111111.11111111109</v>
      </c>
      <c r="L622" s="41">
        <v>10000000</v>
      </c>
      <c r="M622" s="41">
        <v>0</v>
      </c>
      <c r="N622" s="41">
        <v>51124999.999999657</v>
      </c>
      <c r="O622" s="41">
        <v>79166.666666666672</v>
      </c>
      <c r="P622" s="41">
        <v>75000000</v>
      </c>
      <c r="Q622" s="41">
        <v>0</v>
      </c>
      <c r="R622" s="41">
        <v>39444444.444444343</v>
      </c>
      <c r="S622" s="41">
        <v>87962.962962962964</v>
      </c>
      <c r="T622" s="41">
        <v>27222222.22222203</v>
      </c>
      <c r="U622" s="41">
        <v>64814.814814814818</v>
      </c>
      <c r="V622" s="41">
        <v>395236111.11111063</v>
      </c>
      <c r="W622" s="41">
        <v>378240.74074074079</v>
      </c>
      <c r="X622" s="38">
        <f t="shared" si="54"/>
        <v>0.79047222222222124</v>
      </c>
      <c r="Y622" s="39">
        <f t="shared" si="55"/>
        <v>7.5648148148148157E-4</v>
      </c>
      <c r="Z622" s="39">
        <f t="shared" si="59"/>
        <v>9.5791617471359392E-4</v>
      </c>
      <c r="AA622" s="41">
        <f t="shared" si="56"/>
        <v>104763888.88888937</v>
      </c>
      <c r="AB622" s="39">
        <f t="shared" si="57"/>
        <v>3.6104114189756346E-3</v>
      </c>
      <c r="AC622" s="38">
        <f t="shared" si="58"/>
        <v>0.23420219456130495</v>
      </c>
      <c r="AD622" s="3"/>
    </row>
    <row r="623" spans="1:30" x14ac:dyDescent="0.25">
      <c r="A623" s="37">
        <v>46259</v>
      </c>
      <c r="B623" s="41">
        <v>15812962.962962911</v>
      </c>
      <c r="C623" s="41">
        <v>35185.185185185182</v>
      </c>
      <c r="D623" s="41">
        <v>50000000</v>
      </c>
      <c r="E623" s="41">
        <v>0</v>
      </c>
      <c r="F623" s="41">
        <v>50000000</v>
      </c>
      <c r="G623" s="41">
        <v>0</v>
      </c>
      <c r="H623" s="41">
        <v>50000000</v>
      </c>
      <c r="I623" s="41">
        <v>0</v>
      </c>
      <c r="J623" s="41">
        <v>26777777.77777791</v>
      </c>
      <c r="K623" s="41">
        <v>111111.11111111109</v>
      </c>
      <c r="L623" s="41">
        <v>10000000</v>
      </c>
      <c r="M623" s="41">
        <v>0</v>
      </c>
      <c r="N623" s="41">
        <v>51204166.666666321</v>
      </c>
      <c r="O623" s="41">
        <v>79166.666666666672</v>
      </c>
      <c r="P623" s="41">
        <v>75000000</v>
      </c>
      <c r="Q623" s="41">
        <v>0</v>
      </c>
      <c r="R623" s="41">
        <v>39532407.407407314</v>
      </c>
      <c r="S623" s="41">
        <v>87962.962962962964</v>
      </c>
      <c r="T623" s="41">
        <v>27287037.037036851</v>
      </c>
      <c r="U623" s="41">
        <v>64814.814814814818</v>
      </c>
      <c r="V623" s="41">
        <v>395614351.85185128</v>
      </c>
      <c r="W623" s="41">
        <v>378240.74074074079</v>
      </c>
      <c r="X623" s="38">
        <f t="shared" si="54"/>
        <v>0.79122870370370257</v>
      </c>
      <c r="Y623" s="39">
        <f t="shared" si="55"/>
        <v>7.5648148148148157E-4</v>
      </c>
      <c r="Z623" s="39">
        <f t="shared" si="59"/>
        <v>9.5699944946176234E-4</v>
      </c>
      <c r="AA623" s="41">
        <f t="shared" si="56"/>
        <v>104385648.14814872</v>
      </c>
      <c r="AB623" s="39">
        <f t="shared" si="57"/>
        <v>3.623493722086439E-3</v>
      </c>
      <c r="AC623" s="38">
        <f t="shared" si="58"/>
        <v>0.23392589747403392</v>
      </c>
      <c r="AD623" s="3"/>
    </row>
    <row r="624" spans="1:30" x14ac:dyDescent="0.25">
      <c r="A624" s="37">
        <v>46260</v>
      </c>
      <c r="B624" s="41">
        <v>15848148.148148101</v>
      </c>
      <c r="C624" s="41">
        <v>35185.185185185182</v>
      </c>
      <c r="D624" s="41">
        <v>50000000</v>
      </c>
      <c r="E624" s="41">
        <v>0</v>
      </c>
      <c r="F624" s="41">
        <v>50000000</v>
      </c>
      <c r="G624" s="41">
        <v>0</v>
      </c>
      <c r="H624" s="41">
        <v>50000000</v>
      </c>
      <c r="I624" s="41">
        <v>0</v>
      </c>
      <c r="J624" s="41">
        <v>26888888.888889018</v>
      </c>
      <c r="K624" s="41">
        <v>111111.11111111109</v>
      </c>
      <c r="L624" s="41">
        <v>10000000</v>
      </c>
      <c r="M624" s="41">
        <v>0</v>
      </c>
      <c r="N624" s="41">
        <v>51283333.333332993</v>
      </c>
      <c r="O624" s="41">
        <v>79166.666666666672</v>
      </c>
      <c r="P624" s="41">
        <v>75000000</v>
      </c>
      <c r="Q624" s="41">
        <v>0</v>
      </c>
      <c r="R624" s="41">
        <v>39620370.370370269</v>
      </c>
      <c r="S624" s="41">
        <v>87962.962962962964</v>
      </c>
      <c r="T624" s="41">
        <v>27351851.851851661</v>
      </c>
      <c r="U624" s="41">
        <v>64814.814814814818</v>
      </c>
      <c r="V624" s="41">
        <v>395992592.592592</v>
      </c>
      <c r="W624" s="41">
        <v>378240.74074074079</v>
      </c>
      <c r="X624" s="38">
        <f t="shared" si="54"/>
        <v>0.79198518518518402</v>
      </c>
      <c r="Y624" s="39">
        <f t="shared" si="55"/>
        <v>7.5648148148148157E-4</v>
      </c>
      <c r="Z624" s="39">
        <f t="shared" si="59"/>
        <v>9.560844771434973E-4</v>
      </c>
      <c r="AA624" s="41">
        <f t="shared" si="56"/>
        <v>104007407.407408</v>
      </c>
      <c r="AB624" s="39">
        <f t="shared" si="57"/>
        <v>3.6366711772665562E-3</v>
      </c>
      <c r="AC624" s="38">
        <f t="shared" si="58"/>
        <v>0.23365025153459221</v>
      </c>
      <c r="AD624" s="3"/>
    </row>
    <row r="625" spans="1:30" x14ac:dyDescent="0.25">
      <c r="A625" s="37">
        <v>46261</v>
      </c>
      <c r="B625" s="41">
        <v>15883333.33333328</v>
      </c>
      <c r="C625" s="41">
        <v>35185.185185185182</v>
      </c>
      <c r="D625" s="41">
        <v>50000000</v>
      </c>
      <c r="E625" s="41">
        <v>0</v>
      </c>
      <c r="F625" s="41">
        <v>50000000</v>
      </c>
      <c r="G625" s="41">
        <v>0</v>
      </c>
      <c r="H625" s="41">
        <v>50000000</v>
      </c>
      <c r="I625" s="41">
        <v>0</v>
      </c>
      <c r="J625" s="41">
        <v>27000000.00000013</v>
      </c>
      <c r="K625" s="41">
        <v>111111.11111111109</v>
      </c>
      <c r="L625" s="41">
        <v>10000000</v>
      </c>
      <c r="M625" s="41">
        <v>0</v>
      </c>
      <c r="N625" s="41">
        <v>51362499.99999965</v>
      </c>
      <c r="O625" s="41">
        <v>79166.666666666672</v>
      </c>
      <c r="P625" s="41">
        <v>75000000</v>
      </c>
      <c r="Q625" s="41">
        <v>0</v>
      </c>
      <c r="R625" s="41">
        <v>39708333.333333232</v>
      </c>
      <c r="S625" s="41">
        <v>87962.962962962964</v>
      </c>
      <c r="T625" s="41">
        <v>27416666.66666647</v>
      </c>
      <c r="U625" s="41">
        <v>64814.814814814818</v>
      </c>
      <c r="V625" s="41">
        <v>396370833.33333272</v>
      </c>
      <c r="W625" s="41">
        <v>378240.74074074079</v>
      </c>
      <c r="X625" s="38">
        <f t="shared" si="54"/>
        <v>0.79274166666666546</v>
      </c>
      <c r="Y625" s="39">
        <f t="shared" si="55"/>
        <v>7.5648148148148157E-4</v>
      </c>
      <c r="Z625" s="39">
        <f t="shared" si="59"/>
        <v>9.5517125273574292E-4</v>
      </c>
      <c r="AA625" s="41">
        <f t="shared" si="56"/>
        <v>103629166.66666728</v>
      </c>
      <c r="AB625" s="39">
        <f t="shared" si="57"/>
        <v>3.6499448264153936E-3</v>
      </c>
      <c r="AC625" s="38">
        <f t="shared" si="58"/>
        <v>0.23337525444385426</v>
      </c>
      <c r="AD625" s="3"/>
    </row>
    <row r="626" spans="1:30" x14ac:dyDescent="0.25">
      <c r="A626" s="37">
        <v>46262</v>
      </c>
      <c r="B626" s="41">
        <v>15918518.51851847</v>
      </c>
      <c r="C626" s="41">
        <v>35185.185185185182</v>
      </c>
      <c r="D626" s="41">
        <v>50000000</v>
      </c>
      <c r="E626" s="41">
        <v>0</v>
      </c>
      <c r="F626" s="41">
        <v>50000000</v>
      </c>
      <c r="G626" s="41">
        <v>0</v>
      </c>
      <c r="H626" s="41">
        <v>50000000</v>
      </c>
      <c r="I626" s="41">
        <v>0</v>
      </c>
      <c r="J626" s="41">
        <v>27111111.111111239</v>
      </c>
      <c r="K626" s="41">
        <v>111111.11111111109</v>
      </c>
      <c r="L626" s="41">
        <v>10000000</v>
      </c>
      <c r="M626" s="41">
        <v>0</v>
      </c>
      <c r="N626" s="41">
        <v>51441666.666666307</v>
      </c>
      <c r="O626" s="41">
        <v>79166.666666666672</v>
      </c>
      <c r="P626" s="41">
        <v>75000000</v>
      </c>
      <c r="Q626" s="41">
        <v>0</v>
      </c>
      <c r="R626" s="41">
        <v>39796296.296296187</v>
      </c>
      <c r="S626" s="41">
        <v>87962.962962962964</v>
      </c>
      <c r="T626" s="41">
        <v>27481481.481481291</v>
      </c>
      <c r="U626" s="41">
        <v>64814.814814814818</v>
      </c>
      <c r="V626" s="41">
        <v>396749074.07407349</v>
      </c>
      <c r="W626" s="41">
        <v>378240.74074074079</v>
      </c>
      <c r="X626" s="38">
        <f t="shared" si="54"/>
        <v>0.79349814814814701</v>
      </c>
      <c r="Y626" s="39">
        <f t="shared" si="55"/>
        <v>7.5648148148148157E-4</v>
      </c>
      <c r="Z626" s="39">
        <f t="shared" si="59"/>
        <v>9.5425977123461756E-4</v>
      </c>
      <c r="AA626" s="41">
        <f t="shared" si="56"/>
        <v>103250925.92592651</v>
      </c>
      <c r="AB626" s="39">
        <f t="shared" si="57"/>
        <v>3.663315726699588E-3</v>
      </c>
      <c r="AC626" s="38">
        <f t="shared" si="58"/>
        <v>0.2331009039135056</v>
      </c>
      <c r="AD626" s="3"/>
    </row>
    <row r="627" spans="1:30" x14ac:dyDescent="0.25">
      <c r="A627" s="37">
        <v>46263</v>
      </c>
      <c r="B627" s="41">
        <v>15953703.703703649</v>
      </c>
      <c r="C627" s="41">
        <v>35185.185185185182</v>
      </c>
      <c r="D627" s="41">
        <v>50000000</v>
      </c>
      <c r="E627" s="41">
        <v>0</v>
      </c>
      <c r="F627" s="41">
        <v>50000000</v>
      </c>
      <c r="G627" s="41">
        <v>0</v>
      </c>
      <c r="H627" s="41">
        <v>50000000</v>
      </c>
      <c r="I627" s="41">
        <v>0</v>
      </c>
      <c r="J627" s="41">
        <v>27222222.222222351</v>
      </c>
      <c r="K627" s="41">
        <v>111111.11111111109</v>
      </c>
      <c r="L627" s="41">
        <v>10000000</v>
      </c>
      <c r="M627" s="41">
        <v>0</v>
      </c>
      <c r="N627" s="41">
        <v>51520833.333332978</v>
      </c>
      <c r="O627" s="41">
        <v>79166.666666666672</v>
      </c>
      <c r="P627" s="41">
        <v>75000000</v>
      </c>
      <c r="Q627" s="41">
        <v>0</v>
      </c>
      <c r="R627" s="41">
        <v>39884259.259259157</v>
      </c>
      <c r="S627" s="41">
        <v>87962.962962962964</v>
      </c>
      <c r="T627" s="41">
        <v>27546296.296296101</v>
      </c>
      <c r="U627" s="41">
        <v>64814.814814814818</v>
      </c>
      <c r="V627" s="41">
        <v>397127314.81481433</v>
      </c>
      <c r="W627" s="41">
        <v>378240.74074074079</v>
      </c>
      <c r="X627" s="38">
        <f t="shared" si="54"/>
        <v>0.79425462962962867</v>
      </c>
      <c r="Y627" s="39">
        <f t="shared" si="55"/>
        <v>7.5648148148148157E-4</v>
      </c>
      <c r="Z627" s="39">
        <f t="shared" si="59"/>
        <v>9.5335002765532058E-4</v>
      </c>
      <c r="AA627" s="41">
        <f t="shared" si="56"/>
        <v>102872685.18518567</v>
      </c>
      <c r="AB627" s="39">
        <f t="shared" si="57"/>
        <v>3.6767849508336729E-3</v>
      </c>
      <c r="AC627" s="38">
        <f t="shared" si="58"/>
        <v>0.23282719766597956</v>
      </c>
      <c r="AD627" s="3"/>
    </row>
    <row r="628" spans="1:30" x14ac:dyDescent="0.25">
      <c r="A628" s="37">
        <v>46264</v>
      </c>
      <c r="B628" s="41">
        <v>15988888.88888884</v>
      </c>
      <c r="C628" s="41">
        <v>35185.185185185182</v>
      </c>
      <c r="D628" s="41">
        <v>50000000</v>
      </c>
      <c r="E628" s="41">
        <v>0</v>
      </c>
      <c r="F628" s="41">
        <v>50000000</v>
      </c>
      <c r="G628" s="41">
        <v>0</v>
      </c>
      <c r="H628" s="41">
        <v>50000000</v>
      </c>
      <c r="I628" s="41">
        <v>0</v>
      </c>
      <c r="J628" s="41">
        <v>27333333.33333347</v>
      </c>
      <c r="K628" s="41">
        <v>111111.11111111109</v>
      </c>
      <c r="L628" s="41">
        <v>10000000</v>
      </c>
      <c r="M628" s="41">
        <v>0</v>
      </c>
      <c r="N628" s="41">
        <v>51599999.999999642</v>
      </c>
      <c r="O628" s="41">
        <v>79166.666666666672</v>
      </c>
      <c r="P628" s="41">
        <v>75000000</v>
      </c>
      <c r="Q628" s="41">
        <v>0</v>
      </c>
      <c r="R628" s="41">
        <v>39972222.22222212</v>
      </c>
      <c r="S628" s="41">
        <v>87962.962962962964</v>
      </c>
      <c r="T628" s="41">
        <v>27611111.111110911</v>
      </c>
      <c r="U628" s="41">
        <v>64814.814814814818</v>
      </c>
      <c r="V628" s="41">
        <v>397505555.55555499</v>
      </c>
      <c r="W628" s="41">
        <v>378240.74074074079</v>
      </c>
      <c r="X628" s="38">
        <f t="shared" si="54"/>
        <v>0.79501111111111</v>
      </c>
      <c r="Y628" s="39">
        <f t="shared" si="55"/>
        <v>7.5648148148148157E-4</v>
      </c>
      <c r="Z628" s="39">
        <f t="shared" si="59"/>
        <v>9.5244201703204273E-4</v>
      </c>
      <c r="AA628" s="41">
        <f t="shared" si="56"/>
        <v>102494444.44444501</v>
      </c>
      <c r="AB628" s="39">
        <f t="shared" si="57"/>
        <v>3.6903535873669554E-3</v>
      </c>
      <c r="AC628" s="38">
        <f t="shared" si="58"/>
        <v>0.23255413343439429</v>
      </c>
      <c r="AD628" s="3"/>
    </row>
    <row r="629" spans="1:30" x14ac:dyDescent="0.25">
      <c r="A629" s="37">
        <v>46265</v>
      </c>
      <c r="B629" s="41">
        <v>16024074.074074021</v>
      </c>
      <c r="C629" s="41">
        <v>35185.185185185182</v>
      </c>
      <c r="D629" s="41">
        <v>50000000</v>
      </c>
      <c r="E629" s="41">
        <v>0</v>
      </c>
      <c r="F629" s="41">
        <v>50000000</v>
      </c>
      <c r="G629" s="41">
        <v>0</v>
      </c>
      <c r="H629" s="41">
        <v>50000000</v>
      </c>
      <c r="I629" s="41">
        <v>0</v>
      </c>
      <c r="J629" s="41">
        <v>27444444.444444578</v>
      </c>
      <c r="K629" s="41">
        <v>111111.11111111109</v>
      </c>
      <c r="L629" s="41">
        <v>10000000</v>
      </c>
      <c r="M629" s="41">
        <v>0</v>
      </c>
      <c r="N629" s="41">
        <v>51679166.666666307</v>
      </c>
      <c r="O629" s="41">
        <v>79166.666666666672</v>
      </c>
      <c r="P629" s="41">
        <v>75000000</v>
      </c>
      <c r="Q629" s="41">
        <v>0</v>
      </c>
      <c r="R629" s="41">
        <v>40060185.185185082</v>
      </c>
      <c r="S629" s="41">
        <v>87962.962962962964</v>
      </c>
      <c r="T629" s="41">
        <v>27675925.925925732</v>
      </c>
      <c r="U629" s="41">
        <v>64814.814814814818</v>
      </c>
      <c r="V629" s="41">
        <v>397883796.2962957</v>
      </c>
      <c r="W629" s="41">
        <v>378240.74074074079</v>
      </c>
      <c r="X629" s="38">
        <f t="shared" si="54"/>
        <v>0.79576759259259144</v>
      </c>
      <c r="Y629" s="39">
        <f t="shared" si="55"/>
        <v>7.5648148148148157E-4</v>
      </c>
      <c r="Z629" s="39">
        <f t="shared" si="59"/>
        <v>9.515357344178759E-4</v>
      </c>
      <c r="AA629" s="41">
        <f t="shared" si="56"/>
        <v>102116203.7037043</v>
      </c>
      <c r="AB629" s="39">
        <f t="shared" si="57"/>
        <v>3.7040227409768072E-3</v>
      </c>
      <c r="AC629" s="38">
        <f t="shared" si="58"/>
        <v>0.23228170896248979</v>
      </c>
      <c r="AD629" s="3"/>
    </row>
    <row r="630" spans="1:30" x14ac:dyDescent="0.25">
      <c r="A630" s="37">
        <v>46266</v>
      </c>
      <c r="B630" s="41">
        <v>16059259.259259211</v>
      </c>
      <c r="C630" s="41">
        <v>35185.185185185182</v>
      </c>
      <c r="D630" s="41">
        <v>50000000</v>
      </c>
      <c r="E630" s="41">
        <v>0</v>
      </c>
      <c r="F630" s="41">
        <v>50000000</v>
      </c>
      <c r="G630" s="41">
        <v>0</v>
      </c>
      <c r="H630" s="41">
        <v>50000000</v>
      </c>
      <c r="I630" s="41">
        <v>0</v>
      </c>
      <c r="J630" s="41">
        <v>27555555.55555569</v>
      </c>
      <c r="K630" s="41">
        <v>111111.11111111109</v>
      </c>
      <c r="L630" s="41">
        <v>10000000</v>
      </c>
      <c r="M630" s="41">
        <v>0</v>
      </c>
      <c r="N630" s="41">
        <v>51758333.333332971</v>
      </c>
      <c r="O630" s="41">
        <v>79166.666666666672</v>
      </c>
      <c r="P630" s="41">
        <v>75000000</v>
      </c>
      <c r="Q630" s="41">
        <v>0</v>
      </c>
      <c r="R630" s="41">
        <v>40148148.148148037</v>
      </c>
      <c r="S630" s="41">
        <v>87962.962962962964</v>
      </c>
      <c r="T630" s="41">
        <v>27740740.740740541</v>
      </c>
      <c r="U630" s="41">
        <v>64814.814814814818</v>
      </c>
      <c r="V630" s="41">
        <v>398262037.03703648</v>
      </c>
      <c r="W630" s="41">
        <v>378240.74074074079</v>
      </c>
      <c r="X630" s="38">
        <f t="shared" si="54"/>
        <v>0.796524074074073</v>
      </c>
      <c r="Y630" s="39">
        <f t="shared" si="55"/>
        <v>7.5648148148148157E-4</v>
      </c>
      <c r="Z630" s="39">
        <f t="shared" si="59"/>
        <v>9.5063117488472146E-4</v>
      </c>
      <c r="AA630" s="41">
        <f t="shared" si="56"/>
        <v>101737962.96296352</v>
      </c>
      <c r="AB630" s="39">
        <f t="shared" si="57"/>
        <v>3.7177935327684392E-3</v>
      </c>
      <c r="AC630" s="38">
        <f t="shared" si="58"/>
        <v>0.23200992200456613</v>
      </c>
      <c r="AD630" s="3"/>
    </row>
    <row r="631" spans="1:30" x14ac:dyDescent="0.25">
      <c r="A631" s="37">
        <v>46267</v>
      </c>
      <c r="B631" s="41">
        <v>16094444.44444439</v>
      </c>
      <c r="C631" s="41">
        <v>35185.185185185182</v>
      </c>
      <c r="D631" s="41">
        <v>50000000</v>
      </c>
      <c r="E631" s="41">
        <v>0</v>
      </c>
      <c r="F631" s="41">
        <v>50000000</v>
      </c>
      <c r="G631" s="41">
        <v>0</v>
      </c>
      <c r="H631" s="41">
        <v>50000000</v>
      </c>
      <c r="I631" s="41">
        <v>0</v>
      </c>
      <c r="J631" s="41">
        <v>27666666.666666798</v>
      </c>
      <c r="K631" s="41">
        <v>111111.11111111109</v>
      </c>
      <c r="L631" s="41">
        <v>10000000</v>
      </c>
      <c r="M631" s="41">
        <v>0</v>
      </c>
      <c r="N631" s="41">
        <v>51837499.999999627</v>
      </c>
      <c r="O631" s="41">
        <v>79166.666666666672</v>
      </c>
      <c r="P631" s="41">
        <v>75000000</v>
      </c>
      <c r="Q631" s="41">
        <v>0</v>
      </c>
      <c r="R631" s="41">
        <v>40236111.111111008</v>
      </c>
      <c r="S631" s="41">
        <v>87962.962962962964</v>
      </c>
      <c r="T631" s="41">
        <v>27805555.555555351</v>
      </c>
      <c r="U631" s="41">
        <v>64814.814814814818</v>
      </c>
      <c r="V631" s="41">
        <v>398640277.77777708</v>
      </c>
      <c r="W631" s="41">
        <v>378240.74074074079</v>
      </c>
      <c r="X631" s="38">
        <f t="shared" si="54"/>
        <v>0.7972805555555541</v>
      </c>
      <c r="Y631" s="39">
        <f t="shared" si="55"/>
        <v>7.5648148148148157E-4</v>
      </c>
      <c r="Z631" s="39">
        <f t="shared" si="59"/>
        <v>9.4972833352320292E-4</v>
      </c>
      <c r="AA631" s="41">
        <f t="shared" si="56"/>
        <v>101359722.22222292</v>
      </c>
      <c r="AB631" s="39">
        <f t="shared" si="57"/>
        <v>3.7316671005814205E-3</v>
      </c>
      <c r="AC631" s="38">
        <f t="shared" si="58"/>
        <v>0.23173877032542181</v>
      </c>
      <c r="AD631" s="3"/>
    </row>
    <row r="632" spans="1:30" x14ac:dyDescent="0.25">
      <c r="A632" s="37">
        <v>46268</v>
      </c>
      <c r="B632" s="41">
        <v>16129629.629629569</v>
      </c>
      <c r="C632" s="41">
        <v>35185.185185185182</v>
      </c>
      <c r="D632" s="41">
        <v>50000000</v>
      </c>
      <c r="E632" s="41">
        <v>0</v>
      </c>
      <c r="F632" s="41">
        <v>50000000</v>
      </c>
      <c r="G632" s="41">
        <v>0</v>
      </c>
      <c r="H632" s="41">
        <v>50000000</v>
      </c>
      <c r="I632" s="41">
        <v>0</v>
      </c>
      <c r="J632" s="41">
        <v>27777777.77777791</v>
      </c>
      <c r="K632" s="41">
        <v>111111.11111111109</v>
      </c>
      <c r="L632" s="41">
        <v>10000000</v>
      </c>
      <c r="M632" s="41">
        <v>0</v>
      </c>
      <c r="N632" s="41">
        <v>51916666.666666299</v>
      </c>
      <c r="O632" s="41">
        <v>79166.666666666672</v>
      </c>
      <c r="P632" s="41">
        <v>75000000</v>
      </c>
      <c r="Q632" s="41">
        <v>0</v>
      </c>
      <c r="R632" s="41">
        <v>40324074.07407397</v>
      </c>
      <c r="S632" s="41">
        <v>87962.962962962964</v>
      </c>
      <c r="T632" s="41">
        <v>27870370.370370168</v>
      </c>
      <c r="U632" s="41">
        <v>64814.814814814818</v>
      </c>
      <c r="V632" s="41">
        <v>399018518.51851791</v>
      </c>
      <c r="W632" s="41">
        <v>378240.74074074079</v>
      </c>
      <c r="X632" s="38">
        <f t="shared" si="54"/>
        <v>0.79803703703703577</v>
      </c>
      <c r="Y632" s="39">
        <f t="shared" si="55"/>
        <v>7.5648148148148157E-4</v>
      </c>
      <c r="Z632" s="39">
        <f t="shared" si="59"/>
        <v>9.4882720544257686E-4</v>
      </c>
      <c r="AA632" s="41">
        <f t="shared" si="56"/>
        <v>100981481.48148209</v>
      </c>
      <c r="AB632" s="39">
        <f t="shared" si="57"/>
        <v>3.7456445993031139E-3</v>
      </c>
      <c r="AC632" s="38">
        <f t="shared" si="58"/>
        <v>0.23146825170029192</v>
      </c>
      <c r="AD632" s="3"/>
    </row>
    <row r="633" spans="1:30" x14ac:dyDescent="0.25">
      <c r="A633" s="37">
        <v>46269</v>
      </c>
      <c r="B633" s="41">
        <v>16164814.814814759</v>
      </c>
      <c r="C633" s="41">
        <v>35185.185185185182</v>
      </c>
      <c r="D633" s="41">
        <v>50000000</v>
      </c>
      <c r="E633" s="41">
        <v>0</v>
      </c>
      <c r="F633" s="41">
        <v>50000000</v>
      </c>
      <c r="G633" s="41">
        <v>0</v>
      </c>
      <c r="H633" s="41">
        <v>50000000</v>
      </c>
      <c r="I633" s="41">
        <v>0</v>
      </c>
      <c r="J633" s="41">
        <v>27888888.88888903</v>
      </c>
      <c r="K633" s="41">
        <v>111111.11111111109</v>
      </c>
      <c r="L633" s="41">
        <v>10000000</v>
      </c>
      <c r="M633" s="41">
        <v>0</v>
      </c>
      <c r="N633" s="41">
        <v>51995833.333332963</v>
      </c>
      <c r="O633" s="41">
        <v>79166.666666666672</v>
      </c>
      <c r="P633" s="41">
        <v>75000000</v>
      </c>
      <c r="Q633" s="41">
        <v>0</v>
      </c>
      <c r="R633" s="41">
        <v>40412037.037036933</v>
      </c>
      <c r="S633" s="41">
        <v>87962.962962962964</v>
      </c>
      <c r="T633" s="41">
        <v>27935185.185184982</v>
      </c>
      <c r="U633" s="41">
        <v>64814.814814814818</v>
      </c>
      <c r="V633" s="41">
        <v>399396759.25925863</v>
      </c>
      <c r="W633" s="41">
        <v>378240.74074074079</v>
      </c>
      <c r="X633" s="38">
        <f t="shared" si="54"/>
        <v>0.79879351851851721</v>
      </c>
      <c r="Y633" s="39">
        <f t="shared" si="55"/>
        <v>7.5648148148148157E-4</v>
      </c>
      <c r="Z633" s="39">
        <f t="shared" si="59"/>
        <v>9.4792778577064245E-4</v>
      </c>
      <c r="AA633" s="41">
        <f t="shared" si="56"/>
        <v>100603240.74074137</v>
      </c>
      <c r="AB633" s="39">
        <f t="shared" si="57"/>
        <v>3.7597272011890997E-3</v>
      </c>
      <c r="AC633" s="38">
        <f t="shared" si="58"/>
        <v>0.23119836391478815</v>
      </c>
      <c r="AD633" s="3"/>
    </row>
    <row r="634" spans="1:30" x14ac:dyDescent="0.25">
      <c r="A634" s="37">
        <v>46270</v>
      </c>
      <c r="B634" s="41">
        <v>16199999.99999994</v>
      </c>
      <c r="C634" s="41">
        <v>35185.185185185182</v>
      </c>
      <c r="D634" s="41">
        <v>50000000</v>
      </c>
      <c r="E634" s="41">
        <v>0</v>
      </c>
      <c r="F634" s="41">
        <v>50000000</v>
      </c>
      <c r="G634" s="41">
        <v>0</v>
      </c>
      <c r="H634" s="41">
        <v>50000000</v>
      </c>
      <c r="I634" s="41">
        <v>0</v>
      </c>
      <c r="J634" s="41">
        <v>28000000.000000142</v>
      </c>
      <c r="K634" s="41">
        <v>111111.11111111109</v>
      </c>
      <c r="L634" s="41">
        <v>10000000</v>
      </c>
      <c r="M634" s="41">
        <v>0</v>
      </c>
      <c r="N634" s="41">
        <v>52074999.999999627</v>
      </c>
      <c r="O634" s="41">
        <v>79166.666666666672</v>
      </c>
      <c r="P634" s="41">
        <v>75000000</v>
      </c>
      <c r="Q634" s="41">
        <v>0</v>
      </c>
      <c r="R634" s="41">
        <v>40499999.999999903</v>
      </c>
      <c r="S634" s="41">
        <v>87962.962962962964</v>
      </c>
      <c r="T634" s="41">
        <v>27999999.999999799</v>
      </c>
      <c r="U634" s="41">
        <v>64814.814814814818</v>
      </c>
      <c r="V634" s="41">
        <v>399774999.9999994</v>
      </c>
      <c r="W634" s="41">
        <v>378240.74074074079</v>
      </c>
      <c r="X634" s="38">
        <f t="shared" si="54"/>
        <v>0.79954999999999876</v>
      </c>
      <c r="Y634" s="39">
        <f t="shared" si="55"/>
        <v>7.5648148148148157E-4</v>
      </c>
      <c r="Z634" s="39">
        <f t="shared" si="59"/>
        <v>9.4703006965365759E-4</v>
      </c>
      <c r="AA634" s="41">
        <f t="shared" si="56"/>
        <v>100225000.0000006</v>
      </c>
      <c r="AB634" s="39">
        <f t="shared" si="57"/>
        <v>3.7739160961909558E-3</v>
      </c>
      <c r="AC634" s="38">
        <f t="shared" si="58"/>
        <v>0.23092910476483761</v>
      </c>
      <c r="AD634" s="3"/>
    </row>
    <row r="635" spans="1:30" x14ac:dyDescent="0.25">
      <c r="A635" s="37">
        <v>46271</v>
      </c>
      <c r="B635" s="41">
        <v>16235185.185185131</v>
      </c>
      <c r="C635" s="41">
        <v>35185.185185185182</v>
      </c>
      <c r="D635" s="41">
        <v>50000000</v>
      </c>
      <c r="E635" s="41">
        <v>0</v>
      </c>
      <c r="F635" s="41">
        <v>50000000</v>
      </c>
      <c r="G635" s="41">
        <v>0</v>
      </c>
      <c r="H635" s="41">
        <v>50000000</v>
      </c>
      <c r="I635" s="41">
        <v>0</v>
      </c>
      <c r="J635" s="41">
        <v>28111111.11111125</v>
      </c>
      <c r="K635" s="41">
        <v>111111.11111111109</v>
      </c>
      <c r="L635" s="41">
        <v>10000000</v>
      </c>
      <c r="M635" s="41">
        <v>0</v>
      </c>
      <c r="N635" s="41">
        <v>52154166.666666292</v>
      </c>
      <c r="O635" s="41">
        <v>79166.666666666672</v>
      </c>
      <c r="P635" s="41">
        <v>75000000</v>
      </c>
      <c r="Q635" s="41">
        <v>0</v>
      </c>
      <c r="R635" s="41">
        <v>40587962.962962858</v>
      </c>
      <c r="S635" s="41">
        <v>87962.962962962964</v>
      </c>
      <c r="T635" s="41">
        <v>28064814.814814609</v>
      </c>
      <c r="U635" s="41">
        <v>64814.814814814818</v>
      </c>
      <c r="V635" s="41">
        <v>400153240.74074018</v>
      </c>
      <c r="W635" s="41">
        <v>378240.74074074079</v>
      </c>
      <c r="X635" s="38">
        <f t="shared" si="54"/>
        <v>0.80030648148148031</v>
      </c>
      <c r="Y635" s="39">
        <f t="shared" si="55"/>
        <v>7.5648148148148157E-4</v>
      </c>
      <c r="Z635" s="39">
        <f t="shared" si="59"/>
        <v>9.4613405225624757E-4</v>
      </c>
      <c r="AA635" s="41">
        <f t="shared" si="56"/>
        <v>99846759.25925982</v>
      </c>
      <c r="AB635" s="39">
        <f t="shared" si="57"/>
        <v>3.7882124922914073E-3</v>
      </c>
      <c r="AC635" s="38">
        <f t="shared" si="58"/>
        <v>0.23066047205662327</v>
      </c>
      <c r="AD635" s="3"/>
    </row>
    <row r="636" spans="1:30" x14ac:dyDescent="0.25">
      <c r="A636" s="37">
        <v>46272</v>
      </c>
      <c r="B636" s="41">
        <v>16270370.37037031</v>
      </c>
      <c r="C636" s="41">
        <v>35185.185185185182</v>
      </c>
      <c r="D636" s="41">
        <v>50000000</v>
      </c>
      <c r="E636" s="41">
        <v>0</v>
      </c>
      <c r="F636" s="41">
        <v>50000000</v>
      </c>
      <c r="G636" s="41">
        <v>0</v>
      </c>
      <c r="H636" s="41">
        <v>50000000</v>
      </c>
      <c r="I636" s="41">
        <v>0</v>
      </c>
      <c r="J636" s="41">
        <v>28222222.222222362</v>
      </c>
      <c r="K636" s="41">
        <v>111111.11111111109</v>
      </c>
      <c r="L636" s="41">
        <v>10000000</v>
      </c>
      <c r="M636" s="41">
        <v>0</v>
      </c>
      <c r="N636" s="41">
        <v>52233333.333332963</v>
      </c>
      <c r="O636" s="41">
        <v>79166.666666666672</v>
      </c>
      <c r="P636" s="41">
        <v>75000000</v>
      </c>
      <c r="Q636" s="41">
        <v>0</v>
      </c>
      <c r="R636" s="41">
        <v>40675925.925925821</v>
      </c>
      <c r="S636" s="41">
        <v>87962.962962962964</v>
      </c>
      <c r="T636" s="41">
        <v>28129629.629629418</v>
      </c>
      <c r="U636" s="41">
        <v>64814.814814814818</v>
      </c>
      <c r="V636" s="41">
        <v>400531481.4814809</v>
      </c>
      <c r="W636" s="41">
        <v>378240.74074074079</v>
      </c>
      <c r="X636" s="38">
        <f t="shared" si="54"/>
        <v>0.80106296296296176</v>
      </c>
      <c r="Y636" s="39">
        <f t="shared" si="55"/>
        <v>7.5648148148148157E-4</v>
      </c>
      <c r="Z636" s="39">
        <f t="shared" si="59"/>
        <v>9.4523972876132088E-4</v>
      </c>
      <c r="AA636" s="41">
        <f t="shared" si="56"/>
        <v>99468518.518519104</v>
      </c>
      <c r="AB636" s="39">
        <f t="shared" si="57"/>
        <v>3.8026176158471661E-3</v>
      </c>
      <c r="AC636" s="38">
        <f t="shared" si="58"/>
        <v>0.23039246360652421</v>
      </c>
      <c r="AD636" s="3"/>
    </row>
    <row r="637" spans="1:30" x14ac:dyDescent="0.25">
      <c r="A637" s="37">
        <v>46273</v>
      </c>
      <c r="B637" s="41">
        <v>16305555.5555555</v>
      </c>
      <c r="C637" s="41">
        <v>35185.185185185182</v>
      </c>
      <c r="D637" s="41">
        <v>50000000</v>
      </c>
      <c r="E637" s="41">
        <v>0</v>
      </c>
      <c r="F637" s="41">
        <v>50000000</v>
      </c>
      <c r="G637" s="41">
        <v>0</v>
      </c>
      <c r="H637" s="41">
        <v>50000000</v>
      </c>
      <c r="I637" s="41">
        <v>0</v>
      </c>
      <c r="J637" s="41">
        <v>28333333.33333347</v>
      </c>
      <c r="K637" s="41">
        <v>111111.11111111109</v>
      </c>
      <c r="L637" s="41">
        <v>10000000</v>
      </c>
      <c r="M637" s="41">
        <v>0</v>
      </c>
      <c r="N637" s="41">
        <v>52312499.99999962</v>
      </c>
      <c r="O637" s="41">
        <v>79166.666666666672</v>
      </c>
      <c r="P637" s="41">
        <v>75000000</v>
      </c>
      <c r="Q637" s="41">
        <v>0</v>
      </c>
      <c r="R637" s="41">
        <v>40763888.888888776</v>
      </c>
      <c r="S637" s="41">
        <v>87962.962962962964</v>
      </c>
      <c r="T637" s="41">
        <v>28194444.444444239</v>
      </c>
      <c r="U637" s="41">
        <v>64814.814814814818</v>
      </c>
      <c r="V637" s="41">
        <v>400909722.22222161</v>
      </c>
      <c r="W637" s="41">
        <v>378240.74074074079</v>
      </c>
      <c r="X637" s="38">
        <f t="shared" si="54"/>
        <v>0.8018194444444432</v>
      </c>
      <c r="Y637" s="39">
        <f t="shared" si="55"/>
        <v>7.5648148148148157E-4</v>
      </c>
      <c r="Z637" s="39">
        <f t="shared" si="59"/>
        <v>9.443470943699821E-4</v>
      </c>
      <c r="AA637" s="41">
        <f t="shared" si="56"/>
        <v>99090277.777778387</v>
      </c>
      <c r="AB637" s="39">
        <f t="shared" si="57"/>
        <v>3.8171327119396132E-3</v>
      </c>
      <c r="AC637" s="38">
        <f t="shared" si="58"/>
        <v>0.23012507724105644</v>
      </c>
      <c r="AD637" s="3"/>
    </row>
    <row r="638" spans="1:30" x14ac:dyDescent="0.25">
      <c r="A638" s="37">
        <v>46274</v>
      </c>
      <c r="B638" s="41">
        <v>16340740.740740679</v>
      </c>
      <c r="C638" s="41">
        <v>35185.185185185182</v>
      </c>
      <c r="D638" s="41">
        <v>50000000</v>
      </c>
      <c r="E638" s="41">
        <v>0</v>
      </c>
      <c r="F638" s="41">
        <v>50000000</v>
      </c>
      <c r="G638" s="41">
        <v>0</v>
      </c>
      <c r="H638" s="41">
        <v>50000000</v>
      </c>
      <c r="I638" s="41">
        <v>0</v>
      </c>
      <c r="J638" s="41">
        <v>28444444.444444589</v>
      </c>
      <c r="K638" s="41">
        <v>111111.11111111109</v>
      </c>
      <c r="L638" s="41">
        <v>10000000</v>
      </c>
      <c r="M638" s="41">
        <v>0</v>
      </c>
      <c r="N638" s="41">
        <v>52391666.666666277</v>
      </c>
      <c r="O638" s="41">
        <v>79166.666666666672</v>
      </c>
      <c r="P638" s="41">
        <v>75000000</v>
      </c>
      <c r="Q638" s="41">
        <v>0</v>
      </c>
      <c r="R638" s="41">
        <v>40851851.851851746</v>
      </c>
      <c r="S638" s="41">
        <v>87962.962962962964</v>
      </c>
      <c r="T638" s="41">
        <v>28259259.259259049</v>
      </c>
      <c r="U638" s="41">
        <v>64814.814814814818</v>
      </c>
      <c r="V638" s="41">
        <v>401287962.96296239</v>
      </c>
      <c r="W638" s="41">
        <v>378240.74074074079</v>
      </c>
      <c r="X638" s="38">
        <f t="shared" si="54"/>
        <v>0.80257592592592475</v>
      </c>
      <c r="Y638" s="39">
        <f t="shared" si="55"/>
        <v>7.5648148148148157E-4</v>
      </c>
      <c r="Z638" s="39">
        <f t="shared" si="59"/>
        <v>9.4345614430144564E-4</v>
      </c>
      <c r="AA638" s="41">
        <f t="shared" si="56"/>
        <v>98712037.037037611</v>
      </c>
      <c r="AB638" s="39">
        <f t="shared" si="57"/>
        <v>3.8317590447335373E-3</v>
      </c>
      <c r="AC638" s="38">
        <f t="shared" si="58"/>
        <v>0.22985831079681418</v>
      </c>
      <c r="AD638" s="3"/>
    </row>
    <row r="639" spans="1:30" x14ac:dyDescent="0.25">
      <c r="A639" s="37">
        <v>46275</v>
      </c>
      <c r="B639" s="41">
        <v>16375925.925925869</v>
      </c>
      <c r="C639" s="41">
        <v>35185.185185185182</v>
      </c>
      <c r="D639" s="41">
        <v>50000000</v>
      </c>
      <c r="E639" s="41">
        <v>0</v>
      </c>
      <c r="F639" s="41">
        <v>50000000</v>
      </c>
      <c r="G639" s="41">
        <v>0</v>
      </c>
      <c r="H639" s="41">
        <v>50000000</v>
      </c>
      <c r="I639" s="41">
        <v>0</v>
      </c>
      <c r="J639" s="41">
        <v>28555555.555555701</v>
      </c>
      <c r="K639" s="41">
        <v>111111.11111111109</v>
      </c>
      <c r="L639" s="41">
        <v>10000000</v>
      </c>
      <c r="M639" s="41">
        <v>0</v>
      </c>
      <c r="N639" s="41">
        <v>52470833.333332948</v>
      </c>
      <c r="O639" s="41">
        <v>79166.666666666672</v>
      </c>
      <c r="P639" s="41">
        <v>75000000</v>
      </c>
      <c r="Q639" s="41">
        <v>0</v>
      </c>
      <c r="R639" s="41">
        <v>40939814.814814709</v>
      </c>
      <c r="S639" s="41">
        <v>87962.962962962964</v>
      </c>
      <c r="T639" s="41">
        <v>28324074.074073859</v>
      </c>
      <c r="U639" s="41">
        <v>64814.814814814818</v>
      </c>
      <c r="V639" s="41">
        <v>401666203.70370299</v>
      </c>
      <c r="W639" s="41">
        <v>378240.74074074079</v>
      </c>
      <c r="X639" s="38">
        <f t="shared" si="54"/>
        <v>0.80333240740740597</v>
      </c>
      <c r="Y639" s="39">
        <f t="shared" si="55"/>
        <v>7.5648148148148157E-4</v>
      </c>
      <c r="Z639" s="39">
        <f t="shared" si="59"/>
        <v>9.4256687379295058E-4</v>
      </c>
      <c r="AA639" s="41">
        <f t="shared" si="56"/>
        <v>98333796.296297014</v>
      </c>
      <c r="AB639" s="39">
        <f t="shared" si="57"/>
        <v>3.8464978978441445E-3</v>
      </c>
      <c r="AC639" s="38">
        <f t="shared" si="58"/>
        <v>0.22959216212041167</v>
      </c>
      <c r="AD639" s="3"/>
    </row>
    <row r="640" spans="1:30" x14ac:dyDescent="0.25">
      <c r="A640" s="37">
        <v>46276</v>
      </c>
      <c r="B640" s="41">
        <v>16411111.11111105</v>
      </c>
      <c r="C640" s="41">
        <v>35185.185185185182</v>
      </c>
      <c r="D640" s="41">
        <v>50000000</v>
      </c>
      <c r="E640" s="41">
        <v>0</v>
      </c>
      <c r="F640" s="41">
        <v>50000000</v>
      </c>
      <c r="G640" s="41">
        <v>0</v>
      </c>
      <c r="H640" s="41">
        <v>50000000</v>
      </c>
      <c r="I640" s="41">
        <v>0</v>
      </c>
      <c r="J640" s="41">
        <v>28666666.666666809</v>
      </c>
      <c r="K640" s="41">
        <v>111111.11111111109</v>
      </c>
      <c r="L640" s="41">
        <v>10000000</v>
      </c>
      <c r="M640" s="41">
        <v>0</v>
      </c>
      <c r="N640" s="41">
        <v>52549999.999999613</v>
      </c>
      <c r="O640" s="41">
        <v>79166.666666666672</v>
      </c>
      <c r="P640" s="41">
        <v>75000000</v>
      </c>
      <c r="Q640" s="41">
        <v>0</v>
      </c>
      <c r="R640" s="41">
        <v>41027777.777777672</v>
      </c>
      <c r="S640" s="41">
        <v>87962.962962962964</v>
      </c>
      <c r="T640" s="41">
        <v>28388888.888888679</v>
      </c>
      <c r="U640" s="41">
        <v>64814.814814814818</v>
      </c>
      <c r="V640" s="41">
        <v>402044444.44444382</v>
      </c>
      <c r="W640" s="41">
        <v>378240.74074074079</v>
      </c>
      <c r="X640" s="38">
        <f t="shared" si="54"/>
        <v>0.80408888888888763</v>
      </c>
      <c r="Y640" s="39">
        <f t="shared" si="55"/>
        <v>7.5648148148148157E-4</v>
      </c>
      <c r="Z640" s="39">
        <f t="shared" si="59"/>
        <v>9.4167927809967692E-4</v>
      </c>
      <c r="AA640" s="41">
        <f t="shared" si="56"/>
        <v>97955555.555556178</v>
      </c>
      <c r="AB640" s="39">
        <f t="shared" si="57"/>
        <v>3.8613505747126194E-3</v>
      </c>
      <c r="AC640" s="38">
        <f t="shared" si="58"/>
        <v>0.22932662906842471</v>
      </c>
      <c r="AD640" s="3"/>
    </row>
    <row r="641" spans="1:30" x14ac:dyDescent="0.25">
      <c r="A641" s="37">
        <v>46277</v>
      </c>
      <c r="B641" s="41">
        <v>16446296.296296241</v>
      </c>
      <c r="C641" s="41">
        <v>35185.185185185182</v>
      </c>
      <c r="D641" s="41">
        <v>50000000</v>
      </c>
      <c r="E641" s="41">
        <v>0</v>
      </c>
      <c r="F641" s="41">
        <v>50000000</v>
      </c>
      <c r="G641" s="41">
        <v>0</v>
      </c>
      <c r="H641" s="41">
        <v>50000000</v>
      </c>
      <c r="I641" s="41">
        <v>0</v>
      </c>
      <c r="J641" s="41">
        <v>28777777.777777921</v>
      </c>
      <c r="K641" s="41">
        <v>111111.11111111109</v>
      </c>
      <c r="L641" s="41">
        <v>10000000</v>
      </c>
      <c r="M641" s="41">
        <v>0</v>
      </c>
      <c r="N641" s="41">
        <v>52629166.666666277</v>
      </c>
      <c r="O641" s="41">
        <v>79166.666666666672</v>
      </c>
      <c r="P641" s="41">
        <v>75000000</v>
      </c>
      <c r="Q641" s="41">
        <v>0</v>
      </c>
      <c r="R641" s="41">
        <v>41115740.740740627</v>
      </c>
      <c r="S641" s="41">
        <v>87962.962962962964</v>
      </c>
      <c r="T641" s="41">
        <v>28453703.703703489</v>
      </c>
      <c r="U641" s="41">
        <v>64814.814814814818</v>
      </c>
      <c r="V641" s="41">
        <v>402422685.18518448</v>
      </c>
      <c r="W641" s="41">
        <v>378240.74074074079</v>
      </c>
      <c r="X641" s="38">
        <f t="shared" si="54"/>
        <v>0.80484537037036896</v>
      </c>
      <c r="Y641" s="39">
        <f t="shared" si="55"/>
        <v>7.5648148148148157E-4</v>
      </c>
      <c r="Z641" s="39">
        <f t="shared" si="59"/>
        <v>9.4079335249465856E-4</v>
      </c>
      <c r="AA641" s="41">
        <f t="shared" si="56"/>
        <v>97577314.814815521</v>
      </c>
      <c r="AB641" s="39">
        <f t="shared" si="57"/>
        <v>3.8763183989903266E-3</v>
      </c>
      <c r="AC641" s="38">
        <f t="shared" si="58"/>
        <v>0.22906170950733401</v>
      </c>
      <c r="AD641" s="3"/>
    </row>
    <row r="642" spans="1:30" x14ac:dyDescent="0.25">
      <c r="A642" s="37">
        <v>46278</v>
      </c>
      <c r="B642" s="41">
        <v>16481481.48148142</v>
      </c>
      <c r="C642" s="41">
        <v>35185.185185185182</v>
      </c>
      <c r="D642" s="41">
        <v>50000000</v>
      </c>
      <c r="E642" s="41">
        <v>0</v>
      </c>
      <c r="F642" s="41">
        <v>50000000</v>
      </c>
      <c r="G642" s="41">
        <v>0</v>
      </c>
      <c r="H642" s="41">
        <v>50000000</v>
      </c>
      <c r="I642" s="41">
        <v>0</v>
      </c>
      <c r="J642" s="41">
        <v>28888888.88888903</v>
      </c>
      <c r="K642" s="41">
        <v>111111.11111111109</v>
      </c>
      <c r="L642" s="41">
        <v>10000000</v>
      </c>
      <c r="M642" s="41">
        <v>0</v>
      </c>
      <c r="N642" s="41">
        <v>52708333.333332941</v>
      </c>
      <c r="O642" s="41">
        <v>79166.666666666672</v>
      </c>
      <c r="P642" s="41">
        <v>75000000</v>
      </c>
      <c r="Q642" s="41">
        <v>0</v>
      </c>
      <c r="R642" s="41">
        <v>41203703.703703597</v>
      </c>
      <c r="S642" s="41">
        <v>87962.962962962964</v>
      </c>
      <c r="T642" s="41">
        <v>28518518.518518299</v>
      </c>
      <c r="U642" s="41">
        <v>64814.814814814818</v>
      </c>
      <c r="V642" s="41">
        <v>402800925.92592531</v>
      </c>
      <c r="W642" s="41">
        <v>378240.74074074079</v>
      </c>
      <c r="X642" s="38">
        <f t="shared" si="54"/>
        <v>0.80560185185185063</v>
      </c>
      <c r="Y642" s="39">
        <f t="shared" si="55"/>
        <v>7.5648148148148157E-4</v>
      </c>
      <c r="Z642" s="39">
        <f t="shared" si="59"/>
        <v>9.3990909226870304E-4</v>
      </c>
      <c r="AA642" s="41">
        <f t="shared" si="56"/>
        <v>97199074.074074686</v>
      </c>
      <c r="AB642" s="39">
        <f t="shared" si="57"/>
        <v>3.8914027149321026E-3</v>
      </c>
      <c r="AC642" s="38">
        <f t="shared" si="58"/>
        <v>0.22879740131346699</v>
      </c>
      <c r="AD642" s="3"/>
    </row>
    <row r="643" spans="1:30" x14ac:dyDescent="0.25">
      <c r="A643" s="37">
        <v>46279</v>
      </c>
      <c r="B643" s="41">
        <v>16516666.66666661</v>
      </c>
      <c r="C643" s="41">
        <v>35185.185185185182</v>
      </c>
      <c r="D643" s="41">
        <v>50000000</v>
      </c>
      <c r="E643" s="41">
        <v>0</v>
      </c>
      <c r="F643" s="41">
        <v>50000000</v>
      </c>
      <c r="G643" s="41">
        <v>0</v>
      </c>
      <c r="H643" s="41">
        <v>50000000</v>
      </c>
      <c r="I643" s="41">
        <v>0</v>
      </c>
      <c r="J643" s="41">
        <v>29000000.000000149</v>
      </c>
      <c r="K643" s="41">
        <v>111111.11111111109</v>
      </c>
      <c r="L643" s="41">
        <v>10000000</v>
      </c>
      <c r="M643" s="41">
        <v>0</v>
      </c>
      <c r="N643" s="41">
        <v>52787499.999999613</v>
      </c>
      <c r="O643" s="41">
        <v>79166.666666666672</v>
      </c>
      <c r="P643" s="41">
        <v>75000000</v>
      </c>
      <c r="Q643" s="41">
        <v>0</v>
      </c>
      <c r="R643" s="41">
        <v>41291666.66666656</v>
      </c>
      <c r="S643" s="41">
        <v>87962.962962962964</v>
      </c>
      <c r="T643" s="41">
        <v>28583333.33333312</v>
      </c>
      <c r="U643" s="41">
        <v>64814.814814814818</v>
      </c>
      <c r="V643" s="41">
        <v>403179166.66666609</v>
      </c>
      <c r="W643" s="41">
        <v>378240.74074074079</v>
      </c>
      <c r="X643" s="38">
        <f t="shared" si="54"/>
        <v>0.80635833333333218</v>
      </c>
      <c r="Y643" s="39">
        <f t="shared" si="55"/>
        <v>7.5648148148148157E-4</v>
      </c>
      <c r="Z643" s="39">
        <f t="shared" si="59"/>
        <v>9.390264927303044E-4</v>
      </c>
      <c r="AA643" s="41">
        <f t="shared" si="56"/>
        <v>96820833.33333391</v>
      </c>
      <c r="AB643" s="39">
        <f t="shared" si="57"/>
        <v>3.9066048877986507E-3</v>
      </c>
      <c r="AC643" s="38">
        <f t="shared" si="58"/>
        <v>0.22853370237294202</v>
      </c>
      <c r="AD643" s="3"/>
    </row>
    <row r="644" spans="1:30" x14ac:dyDescent="0.25">
      <c r="A644" s="37">
        <v>46280</v>
      </c>
      <c r="B644" s="41">
        <v>16551851.851851789</v>
      </c>
      <c r="C644" s="41">
        <v>35185.185185185182</v>
      </c>
      <c r="D644" s="41">
        <v>50000000</v>
      </c>
      <c r="E644" s="41">
        <v>0</v>
      </c>
      <c r="F644" s="41">
        <v>50000000</v>
      </c>
      <c r="G644" s="41">
        <v>0</v>
      </c>
      <c r="H644" s="41">
        <v>50000000</v>
      </c>
      <c r="I644" s="41">
        <v>0</v>
      </c>
      <c r="J644" s="41">
        <v>29111111.111111261</v>
      </c>
      <c r="K644" s="41">
        <v>111111.11111111109</v>
      </c>
      <c r="L644" s="41">
        <v>10000000</v>
      </c>
      <c r="M644" s="41">
        <v>0</v>
      </c>
      <c r="N644" s="41">
        <v>52866666.666666269</v>
      </c>
      <c r="O644" s="41">
        <v>79166.666666666672</v>
      </c>
      <c r="P644" s="41">
        <v>75000000</v>
      </c>
      <c r="Q644" s="41">
        <v>0</v>
      </c>
      <c r="R644" s="41">
        <v>41379629.629629523</v>
      </c>
      <c r="S644" s="41">
        <v>87962.962962962964</v>
      </c>
      <c r="T644" s="41">
        <v>28648148.148147929</v>
      </c>
      <c r="U644" s="41">
        <v>64814.814814814818</v>
      </c>
      <c r="V644" s="41">
        <v>403557407.40740681</v>
      </c>
      <c r="W644" s="41">
        <v>378240.74074074079</v>
      </c>
      <c r="X644" s="38">
        <f t="shared" si="54"/>
        <v>0.80711481481481362</v>
      </c>
      <c r="Y644" s="39">
        <f t="shared" si="55"/>
        <v>7.5648148148148157E-4</v>
      </c>
      <c r="Z644" s="39">
        <f t="shared" si="59"/>
        <v>9.3814554920556323E-4</v>
      </c>
      <c r="AA644" s="41">
        <f t="shared" si="56"/>
        <v>96442592.592593193</v>
      </c>
      <c r="AB644" s="39">
        <f t="shared" si="57"/>
        <v>3.9219263042684915E-3</v>
      </c>
      <c r="AC644" s="38">
        <f t="shared" si="58"/>
        <v>0.22827061058161138</v>
      </c>
      <c r="AD644" s="3"/>
    </row>
    <row r="645" spans="1:30" x14ac:dyDescent="0.25">
      <c r="A645" s="37">
        <v>46281</v>
      </c>
      <c r="B645" s="41">
        <v>16587037.03703698</v>
      </c>
      <c r="C645" s="41">
        <v>35185.185185185182</v>
      </c>
      <c r="D645" s="41">
        <v>50000000</v>
      </c>
      <c r="E645" s="41">
        <v>0</v>
      </c>
      <c r="F645" s="41">
        <v>50000000</v>
      </c>
      <c r="G645" s="41">
        <v>0</v>
      </c>
      <c r="H645" s="41">
        <v>50000000</v>
      </c>
      <c r="I645" s="41">
        <v>0</v>
      </c>
      <c r="J645" s="41">
        <v>29222222.222222369</v>
      </c>
      <c r="K645" s="41">
        <v>111111.11111111109</v>
      </c>
      <c r="L645" s="41">
        <v>10000000</v>
      </c>
      <c r="M645" s="41">
        <v>0</v>
      </c>
      <c r="N645" s="41">
        <v>52945833.333332933</v>
      </c>
      <c r="O645" s="41">
        <v>79166.666666666672</v>
      </c>
      <c r="P645" s="41">
        <v>75000000</v>
      </c>
      <c r="Q645" s="41">
        <v>0</v>
      </c>
      <c r="R645" s="41">
        <v>41467592.592592493</v>
      </c>
      <c r="S645" s="41">
        <v>87962.962962962964</v>
      </c>
      <c r="T645" s="41">
        <v>28712962.962962739</v>
      </c>
      <c r="U645" s="41">
        <v>64814.814814814818</v>
      </c>
      <c r="V645" s="41">
        <v>403935648.14814752</v>
      </c>
      <c r="W645" s="41">
        <v>378240.74074074079</v>
      </c>
      <c r="X645" s="38">
        <f t="shared" si="54"/>
        <v>0.80787129629629506</v>
      </c>
      <c r="Y645" s="39">
        <f t="shared" si="55"/>
        <v>7.5648148148148157E-4</v>
      </c>
      <c r="Z645" s="39">
        <f t="shared" si="59"/>
        <v>9.3726625703810247E-4</v>
      </c>
      <c r="AA645" s="41">
        <f t="shared" si="56"/>
        <v>96064351.851852477</v>
      </c>
      <c r="AB645" s="39">
        <f t="shared" si="57"/>
        <v>3.9373683728596036E-3</v>
      </c>
      <c r="AC645" s="38">
        <f t="shared" si="58"/>
        <v>0.22800812384500557</v>
      </c>
      <c r="AD645" s="3"/>
    </row>
    <row r="646" spans="1:30" x14ac:dyDescent="0.25">
      <c r="A646" s="37">
        <v>46282</v>
      </c>
      <c r="B646" s="41">
        <v>16622222.222222161</v>
      </c>
      <c r="C646" s="41">
        <v>35185.185185185182</v>
      </c>
      <c r="D646" s="41">
        <v>50000000</v>
      </c>
      <c r="E646" s="41">
        <v>0</v>
      </c>
      <c r="F646" s="41">
        <v>50000000</v>
      </c>
      <c r="G646" s="41">
        <v>0</v>
      </c>
      <c r="H646" s="41">
        <v>50000000</v>
      </c>
      <c r="I646" s="41">
        <v>0</v>
      </c>
      <c r="J646" s="41">
        <v>29333333.333333481</v>
      </c>
      <c r="K646" s="41">
        <v>111111.11111111109</v>
      </c>
      <c r="L646" s="41">
        <v>10000000</v>
      </c>
      <c r="M646" s="41">
        <v>0</v>
      </c>
      <c r="N646" s="41">
        <v>53024999.999999598</v>
      </c>
      <c r="O646" s="41">
        <v>79166.666666666672</v>
      </c>
      <c r="P646" s="41">
        <v>75000000</v>
      </c>
      <c r="Q646" s="41">
        <v>0</v>
      </c>
      <c r="R646" s="41">
        <v>41555555.555555448</v>
      </c>
      <c r="S646" s="41">
        <v>87962.962962962964</v>
      </c>
      <c r="T646" s="41">
        <v>28777777.77777756</v>
      </c>
      <c r="U646" s="41">
        <v>64814.814814814818</v>
      </c>
      <c r="V646" s="41">
        <v>404313888.88888818</v>
      </c>
      <c r="W646" s="41">
        <v>378240.74074074079</v>
      </c>
      <c r="X646" s="38">
        <f t="shared" si="54"/>
        <v>0.80862777777777639</v>
      </c>
      <c r="Y646" s="39">
        <f t="shared" si="55"/>
        <v>7.5648148148148157E-4</v>
      </c>
      <c r="Z646" s="39">
        <f t="shared" si="59"/>
        <v>9.3638861158898542E-4</v>
      </c>
      <c r="AA646" s="41">
        <f t="shared" si="56"/>
        <v>95686111.11111182</v>
      </c>
      <c r="AB646" s="39">
        <f t="shared" si="57"/>
        <v>3.9529325243610669E-3</v>
      </c>
      <c r="AC646" s="38">
        <f t="shared" si="58"/>
        <v>0.22774624007827771</v>
      </c>
      <c r="AD646" s="3"/>
    </row>
    <row r="647" spans="1:30" x14ac:dyDescent="0.25">
      <c r="A647" s="37">
        <v>46283</v>
      </c>
      <c r="B647" s="41">
        <v>16657407.407407351</v>
      </c>
      <c r="C647" s="41">
        <v>35185.185185185182</v>
      </c>
      <c r="D647" s="41">
        <v>50000000</v>
      </c>
      <c r="E647" s="41">
        <v>0</v>
      </c>
      <c r="F647" s="41">
        <v>50000000</v>
      </c>
      <c r="G647" s="41">
        <v>0</v>
      </c>
      <c r="H647" s="41">
        <v>50000000</v>
      </c>
      <c r="I647" s="41">
        <v>0</v>
      </c>
      <c r="J647" s="41">
        <v>29444444.444444589</v>
      </c>
      <c r="K647" s="41">
        <v>111111.11111111109</v>
      </c>
      <c r="L647" s="41">
        <v>10000000</v>
      </c>
      <c r="M647" s="41">
        <v>0</v>
      </c>
      <c r="N647" s="41">
        <v>53104166.666666262</v>
      </c>
      <c r="O647" s="41">
        <v>79166.666666666672</v>
      </c>
      <c r="P647" s="41">
        <v>75000000</v>
      </c>
      <c r="Q647" s="41">
        <v>0</v>
      </c>
      <c r="R647" s="41">
        <v>41643518.518518411</v>
      </c>
      <c r="S647" s="41">
        <v>87962.962962962964</v>
      </c>
      <c r="T647" s="41">
        <v>28842592.59259237</v>
      </c>
      <c r="U647" s="41">
        <v>64814.814814814818</v>
      </c>
      <c r="V647" s="41">
        <v>404692129.62962902</v>
      </c>
      <c r="W647" s="41">
        <v>378240.74074074079</v>
      </c>
      <c r="X647" s="38">
        <f t="shared" si="54"/>
        <v>0.80938425925925805</v>
      </c>
      <c r="Y647" s="39">
        <f t="shared" si="55"/>
        <v>7.5648148148148157E-4</v>
      </c>
      <c r="Z647" s="39">
        <f t="shared" si="59"/>
        <v>9.3551260823663488E-4</v>
      </c>
      <c r="AA647" s="41">
        <f t="shared" si="56"/>
        <v>95307870.370370984</v>
      </c>
      <c r="AB647" s="39">
        <f t="shared" si="57"/>
        <v>3.9686202122750092E-3</v>
      </c>
      <c r="AC647" s="38">
        <f t="shared" si="58"/>
        <v>0.22748495720614814</v>
      </c>
      <c r="AD647" s="3"/>
    </row>
    <row r="648" spans="1:30" x14ac:dyDescent="0.25">
      <c r="A648" s="37">
        <v>46284</v>
      </c>
      <c r="B648" s="41">
        <v>16692592.59259253</v>
      </c>
      <c r="C648" s="41">
        <v>35185.185185185182</v>
      </c>
      <c r="D648" s="41">
        <v>50000000</v>
      </c>
      <c r="E648" s="41">
        <v>0</v>
      </c>
      <c r="F648" s="41">
        <v>50000000</v>
      </c>
      <c r="G648" s="41">
        <v>0</v>
      </c>
      <c r="H648" s="41">
        <v>50000000</v>
      </c>
      <c r="I648" s="41">
        <v>0</v>
      </c>
      <c r="J648" s="41">
        <v>29555555.555555701</v>
      </c>
      <c r="K648" s="41">
        <v>111111.11111111109</v>
      </c>
      <c r="L648" s="41">
        <v>10000000</v>
      </c>
      <c r="M648" s="41">
        <v>0</v>
      </c>
      <c r="N648" s="41">
        <v>53183333.333332933</v>
      </c>
      <c r="O648" s="41">
        <v>79166.666666666672</v>
      </c>
      <c r="P648" s="41">
        <v>75000000</v>
      </c>
      <c r="Q648" s="41">
        <v>0</v>
      </c>
      <c r="R648" s="41">
        <v>41731481.481481373</v>
      </c>
      <c r="S648" s="41">
        <v>87962.962962962964</v>
      </c>
      <c r="T648" s="41">
        <v>28907407.407407179</v>
      </c>
      <c r="U648" s="41">
        <v>64814.814814814818</v>
      </c>
      <c r="V648" s="41">
        <v>405070370.37036967</v>
      </c>
      <c r="W648" s="41">
        <v>378240.74074074079</v>
      </c>
      <c r="X648" s="38">
        <f t="shared" si="54"/>
        <v>0.81014074074073938</v>
      </c>
      <c r="Y648" s="39">
        <f t="shared" si="55"/>
        <v>7.5648148148148157E-4</v>
      </c>
      <c r="Z648" s="39">
        <f t="shared" si="59"/>
        <v>9.3463824237675116E-4</v>
      </c>
      <c r="AA648" s="41">
        <f t="shared" si="56"/>
        <v>94929629.629630327</v>
      </c>
      <c r="AB648" s="39">
        <f t="shared" si="57"/>
        <v>3.9844329132690598E-3</v>
      </c>
      <c r="AC648" s="38">
        <f t="shared" si="58"/>
        <v>0.22722427316285015</v>
      </c>
      <c r="AD648" s="3"/>
    </row>
    <row r="649" spans="1:30" x14ac:dyDescent="0.25">
      <c r="A649" s="37">
        <v>46285</v>
      </c>
      <c r="B649" s="41">
        <v>16727777.777777711</v>
      </c>
      <c r="C649" s="41">
        <v>35185.185185185182</v>
      </c>
      <c r="D649" s="41">
        <v>50000000</v>
      </c>
      <c r="E649" s="41">
        <v>0</v>
      </c>
      <c r="F649" s="41">
        <v>50000000</v>
      </c>
      <c r="G649" s="41">
        <v>0</v>
      </c>
      <c r="H649" s="41">
        <v>50000000</v>
      </c>
      <c r="I649" s="41">
        <v>0</v>
      </c>
      <c r="J649" s="41">
        <v>29666666.666666821</v>
      </c>
      <c r="K649" s="41">
        <v>111111.11111111109</v>
      </c>
      <c r="L649" s="41">
        <v>10000000</v>
      </c>
      <c r="M649" s="41">
        <v>0</v>
      </c>
      <c r="N649" s="41">
        <v>53262499.99999959</v>
      </c>
      <c r="O649" s="41">
        <v>79166.666666666672</v>
      </c>
      <c r="P649" s="41">
        <v>75000000</v>
      </c>
      <c r="Q649" s="41">
        <v>0</v>
      </c>
      <c r="R649" s="41">
        <v>41819444.444444343</v>
      </c>
      <c r="S649" s="41">
        <v>87962.962962962964</v>
      </c>
      <c r="T649" s="41">
        <v>28972222.222222</v>
      </c>
      <c r="U649" s="41">
        <v>64814.814814814818</v>
      </c>
      <c r="V649" s="41">
        <v>405448611.11111039</v>
      </c>
      <c r="W649" s="41">
        <v>378240.74074074079</v>
      </c>
      <c r="X649" s="38">
        <f t="shared" si="54"/>
        <v>0.81089722222222083</v>
      </c>
      <c r="Y649" s="39">
        <f t="shared" si="55"/>
        <v>7.5648148148148157E-4</v>
      </c>
      <c r="Z649" s="39">
        <f t="shared" si="59"/>
        <v>9.3376550942223283E-4</v>
      </c>
      <c r="AA649" s="41">
        <f t="shared" si="56"/>
        <v>94551388.888889611</v>
      </c>
      <c r="AB649" s="39">
        <f t="shared" si="57"/>
        <v>4.0003721276397506E-3</v>
      </c>
      <c r="AC649" s="38">
        <f t="shared" si="58"/>
        <v>0.22696418589207482</v>
      </c>
      <c r="AD649" s="3"/>
    </row>
    <row r="650" spans="1:30" x14ac:dyDescent="0.25">
      <c r="A650" s="37">
        <v>46286</v>
      </c>
      <c r="B650" s="41">
        <v>16762962.962962899</v>
      </c>
      <c r="C650" s="41">
        <v>35185.185185185182</v>
      </c>
      <c r="D650" s="41">
        <v>50000000</v>
      </c>
      <c r="E650" s="41">
        <v>0</v>
      </c>
      <c r="F650" s="41">
        <v>50000000</v>
      </c>
      <c r="G650" s="41">
        <v>0</v>
      </c>
      <c r="H650" s="41">
        <v>50000000</v>
      </c>
      <c r="I650" s="41">
        <v>0</v>
      </c>
      <c r="J650" s="41">
        <v>29777777.777777929</v>
      </c>
      <c r="K650" s="41">
        <v>111111.11111111109</v>
      </c>
      <c r="L650" s="41">
        <v>10000000</v>
      </c>
      <c r="M650" s="41">
        <v>0</v>
      </c>
      <c r="N650" s="41">
        <v>53341666.666666247</v>
      </c>
      <c r="O650" s="41">
        <v>79166.666666666672</v>
      </c>
      <c r="P650" s="41">
        <v>75000000</v>
      </c>
      <c r="Q650" s="41">
        <v>0</v>
      </c>
      <c r="R650" s="41">
        <v>41907407.407407299</v>
      </c>
      <c r="S650" s="41">
        <v>87962.962962962964</v>
      </c>
      <c r="T650" s="41">
        <v>29037037.03703681</v>
      </c>
      <c r="U650" s="41">
        <v>64814.814814814818</v>
      </c>
      <c r="V650" s="41">
        <v>405826851.85185122</v>
      </c>
      <c r="W650" s="41">
        <v>378240.74074074079</v>
      </c>
      <c r="X650" s="38">
        <f t="shared" si="54"/>
        <v>0.81165370370370249</v>
      </c>
      <c r="Y650" s="39">
        <f t="shared" si="55"/>
        <v>7.5648148148148157E-4</v>
      </c>
      <c r="Z650" s="39">
        <f t="shared" si="59"/>
        <v>9.3289440480309488E-4</v>
      </c>
      <c r="AA650" s="41">
        <f t="shared" si="56"/>
        <v>94173148.148148775</v>
      </c>
      <c r="AB650" s="39">
        <f t="shared" si="57"/>
        <v>4.0164393797870093E-3</v>
      </c>
      <c r="AC650" s="38">
        <f t="shared" si="58"/>
        <v>0.2267046933469174</v>
      </c>
      <c r="AD650" s="3"/>
    </row>
    <row r="651" spans="1:30" x14ac:dyDescent="0.25">
      <c r="A651" s="37">
        <v>46287</v>
      </c>
      <c r="B651" s="41">
        <v>16798148.14814809</v>
      </c>
      <c r="C651" s="41">
        <v>35185.185185185182</v>
      </c>
      <c r="D651" s="41">
        <v>50000000</v>
      </c>
      <c r="E651" s="41">
        <v>0</v>
      </c>
      <c r="F651" s="41">
        <v>50000000</v>
      </c>
      <c r="G651" s="41">
        <v>0</v>
      </c>
      <c r="H651" s="41">
        <v>50000000</v>
      </c>
      <c r="I651" s="41">
        <v>0</v>
      </c>
      <c r="J651" s="41">
        <v>29888888.888889041</v>
      </c>
      <c r="K651" s="41">
        <v>111111.11111111109</v>
      </c>
      <c r="L651" s="41">
        <v>10000000</v>
      </c>
      <c r="M651" s="41">
        <v>0</v>
      </c>
      <c r="N651" s="41">
        <v>53420833.333332919</v>
      </c>
      <c r="O651" s="41">
        <v>79166.666666666672</v>
      </c>
      <c r="P651" s="41">
        <v>75000000</v>
      </c>
      <c r="Q651" s="41">
        <v>0</v>
      </c>
      <c r="R651" s="41">
        <v>41995370.370370261</v>
      </c>
      <c r="S651" s="41">
        <v>87962.962962962964</v>
      </c>
      <c r="T651" s="41">
        <v>29101851.85185162</v>
      </c>
      <c r="U651" s="41">
        <v>64814.814814814818</v>
      </c>
      <c r="V651" s="41">
        <v>406205092.59259188</v>
      </c>
      <c r="W651" s="41">
        <v>378240.74074074079</v>
      </c>
      <c r="X651" s="38">
        <f t="shared" si="54"/>
        <v>0.81241018518518371</v>
      </c>
      <c r="Y651" s="39">
        <f t="shared" si="55"/>
        <v>7.5648148148148157E-4</v>
      </c>
      <c r="Z651" s="39">
        <f t="shared" si="59"/>
        <v>9.3202492396638934E-4</v>
      </c>
      <c r="AA651" s="41">
        <f t="shared" si="56"/>
        <v>93794907.407408118</v>
      </c>
      <c r="AB651" s="39">
        <f t="shared" si="57"/>
        <v>4.0326362187001483E-3</v>
      </c>
      <c r="AC651" s="38">
        <f t="shared" si="58"/>
        <v>0.22644579348982372</v>
      </c>
      <c r="AD651" s="3"/>
    </row>
    <row r="652" spans="1:30" x14ac:dyDescent="0.25">
      <c r="A652" s="37">
        <v>46288</v>
      </c>
      <c r="B652" s="41">
        <v>16833333.333333269</v>
      </c>
      <c r="C652" s="41">
        <v>35185.185185185182</v>
      </c>
      <c r="D652" s="41">
        <v>50000000</v>
      </c>
      <c r="E652" s="41">
        <v>0</v>
      </c>
      <c r="F652" s="41">
        <v>50000000</v>
      </c>
      <c r="G652" s="41">
        <v>0</v>
      </c>
      <c r="H652" s="41">
        <v>50000000</v>
      </c>
      <c r="I652" s="41">
        <v>0</v>
      </c>
      <c r="J652" s="41">
        <v>30000000.000000149</v>
      </c>
      <c r="K652" s="41">
        <v>111111.11111111109</v>
      </c>
      <c r="L652" s="41">
        <v>10000000</v>
      </c>
      <c r="M652" s="41">
        <v>0</v>
      </c>
      <c r="N652" s="41">
        <v>53499999.999999583</v>
      </c>
      <c r="O652" s="41">
        <v>79166.666666666672</v>
      </c>
      <c r="P652" s="41">
        <v>75000000</v>
      </c>
      <c r="Q652" s="41">
        <v>0</v>
      </c>
      <c r="R652" s="41">
        <v>42083333.333333217</v>
      </c>
      <c r="S652" s="41">
        <v>87962.962962962964</v>
      </c>
      <c r="T652" s="41">
        <v>29166666.666666441</v>
      </c>
      <c r="U652" s="41">
        <v>64814.814814814818</v>
      </c>
      <c r="V652" s="41">
        <v>406583333.33333272</v>
      </c>
      <c r="W652" s="41">
        <v>378240.74074074079</v>
      </c>
      <c r="X652" s="38">
        <f t="shared" si="54"/>
        <v>0.81316666666666548</v>
      </c>
      <c r="Y652" s="39">
        <f t="shared" si="55"/>
        <v>7.5648148148148157E-4</v>
      </c>
      <c r="Z652" s="39">
        <f t="shared" si="59"/>
        <v>9.3115706237612765E-4</v>
      </c>
      <c r="AA652" s="41">
        <f t="shared" si="56"/>
        <v>93416666.666667283</v>
      </c>
      <c r="AB652" s="39">
        <f t="shared" si="57"/>
        <v>4.0489642184557174E-3</v>
      </c>
      <c r="AC652" s="38">
        <f t="shared" si="58"/>
        <v>0.22618748429253624</v>
      </c>
      <c r="AD652" s="3"/>
    </row>
    <row r="653" spans="1:30" x14ac:dyDescent="0.25">
      <c r="A653" s="37">
        <v>46289</v>
      </c>
      <c r="B653" s="41">
        <v>16868518.518518459</v>
      </c>
      <c r="C653" s="41">
        <v>35185.185185185182</v>
      </c>
      <c r="D653" s="41">
        <v>50000000</v>
      </c>
      <c r="E653" s="41">
        <v>0</v>
      </c>
      <c r="F653" s="41">
        <v>50000000</v>
      </c>
      <c r="G653" s="41">
        <v>0</v>
      </c>
      <c r="H653" s="41">
        <v>50000000</v>
      </c>
      <c r="I653" s="41">
        <v>0</v>
      </c>
      <c r="J653" s="41">
        <v>30111111.111111261</v>
      </c>
      <c r="K653" s="41">
        <v>111111.11111111109</v>
      </c>
      <c r="L653" s="41">
        <v>10000000</v>
      </c>
      <c r="M653" s="41">
        <v>0</v>
      </c>
      <c r="N653" s="41">
        <v>53579166.666666247</v>
      </c>
      <c r="O653" s="41">
        <v>79166.666666666672</v>
      </c>
      <c r="P653" s="41">
        <v>75000000</v>
      </c>
      <c r="Q653" s="41">
        <v>0</v>
      </c>
      <c r="R653" s="41">
        <v>42171296.296296187</v>
      </c>
      <c r="S653" s="41">
        <v>87962.962962962964</v>
      </c>
      <c r="T653" s="41">
        <v>29231481.48148125</v>
      </c>
      <c r="U653" s="41">
        <v>64814.814814814818</v>
      </c>
      <c r="V653" s="41">
        <v>406961574.07407337</v>
      </c>
      <c r="W653" s="41">
        <v>378240.74074074079</v>
      </c>
      <c r="X653" s="38">
        <f t="shared" si="54"/>
        <v>0.8139231481481467</v>
      </c>
      <c r="Y653" s="39">
        <f t="shared" si="55"/>
        <v>7.5648148148148157E-4</v>
      </c>
      <c r="Z653" s="39">
        <f t="shared" si="59"/>
        <v>9.302908155131987E-4</v>
      </c>
      <c r="AA653" s="41">
        <f t="shared" si="56"/>
        <v>93038425.925926626</v>
      </c>
      <c r="AB653" s="39">
        <f t="shared" si="57"/>
        <v>4.0654249787273975E-3</v>
      </c>
      <c r="AC653" s="38">
        <f t="shared" si="58"/>
        <v>0.22592976373604198</v>
      </c>
      <c r="AD653" s="3"/>
    </row>
    <row r="654" spans="1:30" x14ac:dyDescent="0.25">
      <c r="A654" s="37">
        <v>46290</v>
      </c>
      <c r="B654" s="41">
        <v>16903703.703703649</v>
      </c>
      <c r="C654" s="41">
        <v>35185.185185185182</v>
      </c>
      <c r="D654" s="41">
        <v>50000000</v>
      </c>
      <c r="E654" s="41">
        <v>0</v>
      </c>
      <c r="F654" s="41">
        <v>50000000</v>
      </c>
      <c r="G654" s="41">
        <v>0</v>
      </c>
      <c r="H654" s="41">
        <v>50000000</v>
      </c>
      <c r="I654" s="41">
        <v>0</v>
      </c>
      <c r="J654" s="41">
        <v>30222222.22222238</v>
      </c>
      <c r="K654" s="41">
        <v>111111.11111111109</v>
      </c>
      <c r="L654" s="41">
        <v>10000000</v>
      </c>
      <c r="M654" s="41">
        <v>0</v>
      </c>
      <c r="N654" s="41">
        <v>53658333.333332911</v>
      </c>
      <c r="O654" s="41">
        <v>79166.666666666672</v>
      </c>
      <c r="P654" s="41">
        <v>75000000</v>
      </c>
      <c r="Q654" s="41">
        <v>0</v>
      </c>
      <c r="R654" s="41">
        <v>42259259.259259149</v>
      </c>
      <c r="S654" s="41">
        <v>87962.962962962964</v>
      </c>
      <c r="T654" s="41">
        <v>29296296.29629606</v>
      </c>
      <c r="U654" s="41">
        <v>64814.814814814818</v>
      </c>
      <c r="V654" s="41">
        <v>407339814.81481421</v>
      </c>
      <c r="W654" s="41">
        <v>378240.74074074079</v>
      </c>
      <c r="X654" s="38">
        <f t="shared" si="54"/>
        <v>0.81467962962962837</v>
      </c>
      <c r="Y654" s="39">
        <f t="shared" si="55"/>
        <v>7.5648148148148157E-4</v>
      </c>
      <c r="Z654" s="39">
        <f t="shared" si="59"/>
        <v>9.2942617887529361E-4</v>
      </c>
      <c r="AA654" s="41">
        <f t="shared" si="56"/>
        <v>92660185.18518579</v>
      </c>
      <c r="AB654" s="39">
        <f t="shared" si="57"/>
        <v>4.0820201253084984E-3</v>
      </c>
      <c r="AC654" s="38">
        <f t="shared" si="58"/>
        <v>0.22567262981051897</v>
      </c>
      <c r="AD654" s="3"/>
    </row>
    <row r="655" spans="1:30" x14ac:dyDescent="0.25">
      <c r="A655" s="37">
        <v>46291</v>
      </c>
      <c r="B655" s="41">
        <v>16938888.888888828</v>
      </c>
      <c r="C655" s="41">
        <v>35185.185185185182</v>
      </c>
      <c r="D655" s="41">
        <v>50000000</v>
      </c>
      <c r="E655" s="41">
        <v>0</v>
      </c>
      <c r="F655" s="41">
        <v>50000000</v>
      </c>
      <c r="G655" s="41">
        <v>0</v>
      </c>
      <c r="H655" s="41">
        <v>50000000</v>
      </c>
      <c r="I655" s="41">
        <v>0</v>
      </c>
      <c r="J655" s="41">
        <v>30333333.333333489</v>
      </c>
      <c r="K655" s="41">
        <v>111111.11111111109</v>
      </c>
      <c r="L655" s="41">
        <v>10000000</v>
      </c>
      <c r="M655" s="41">
        <v>0</v>
      </c>
      <c r="N655" s="41">
        <v>53737499.999999583</v>
      </c>
      <c r="O655" s="41">
        <v>79166.666666666672</v>
      </c>
      <c r="P655" s="41">
        <v>75000000</v>
      </c>
      <c r="Q655" s="41">
        <v>0</v>
      </c>
      <c r="R655" s="41">
        <v>42347222.222222112</v>
      </c>
      <c r="S655" s="41">
        <v>87962.962962962964</v>
      </c>
      <c r="T655" s="41">
        <v>29361111.111110881</v>
      </c>
      <c r="U655" s="41">
        <v>64814.814814814818</v>
      </c>
      <c r="V655" s="41">
        <v>407718055.55555493</v>
      </c>
      <c r="W655" s="41">
        <v>378240.74074074079</v>
      </c>
      <c r="X655" s="38">
        <f t="shared" si="54"/>
        <v>0.81543611111110981</v>
      </c>
      <c r="Y655" s="39">
        <f t="shared" si="55"/>
        <v>7.5648148148148157E-4</v>
      </c>
      <c r="Z655" s="39">
        <f t="shared" si="59"/>
        <v>9.2856314797682489E-4</v>
      </c>
      <c r="AA655" s="41">
        <f t="shared" si="56"/>
        <v>92281944.444445074</v>
      </c>
      <c r="AB655" s="39">
        <f t="shared" si="57"/>
        <v>4.098751310647194E-3</v>
      </c>
      <c r="AC655" s="38">
        <f t="shared" si="58"/>
        <v>0.22541608051528489</v>
      </c>
      <c r="AD655" s="3"/>
    </row>
    <row r="656" spans="1:30" x14ac:dyDescent="0.25">
      <c r="A656" s="37">
        <v>46292</v>
      </c>
      <c r="B656" s="41">
        <v>16974074.074074019</v>
      </c>
      <c r="C656" s="41">
        <v>35185.185185185182</v>
      </c>
      <c r="D656" s="41">
        <v>50000000</v>
      </c>
      <c r="E656" s="41">
        <v>0</v>
      </c>
      <c r="F656" s="41">
        <v>50000000</v>
      </c>
      <c r="G656" s="41">
        <v>0</v>
      </c>
      <c r="H656" s="41">
        <v>50000000</v>
      </c>
      <c r="I656" s="41">
        <v>0</v>
      </c>
      <c r="J656" s="41">
        <v>30444444.4444446</v>
      </c>
      <c r="K656" s="41">
        <v>111111.11111111109</v>
      </c>
      <c r="L656" s="41">
        <v>10000000</v>
      </c>
      <c r="M656" s="41">
        <v>0</v>
      </c>
      <c r="N656" s="41">
        <v>53816666.66666624</v>
      </c>
      <c r="O656" s="41">
        <v>79166.666666666672</v>
      </c>
      <c r="P656" s="41">
        <v>75000000</v>
      </c>
      <c r="Q656" s="41">
        <v>0</v>
      </c>
      <c r="R656" s="41">
        <v>42435185.185185067</v>
      </c>
      <c r="S656" s="41">
        <v>87962.962962962964</v>
      </c>
      <c r="T656" s="41">
        <v>29425925.925925691</v>
      </c>
      <c r="U656" s="41">
        <v>64814.814814814818</v>
      </c>
      <c r="V656" s="41">
        <v>408096296.29629558</v>
      </c>
      <c r="W656" s="41">
        <v>378240.74074074079</v>
      </c>
      <c r="X656" s="38">
        <f t="shared" si="54"/>
        <v>0.81619259259259114</v>
      </c>
      <c r="Y656" s="39">
        <f t="shared" si="55"/>
        <v>7.5648148148148157E-4</v>
      </c>
      <c r="Z656" s="39">
        <f t="shared" si="59"/>
        <v>9.277017183488515E-4</v>
      </c>
      <c r="AA656" s="41">
        <f t="shared" si="56"/>
        <v>91903703.703704417</v>
      </c>
      <c r="AB656" s="39">
        <f t="shared" si="57"/>
        <v>4.1156202143950681E-3</v>
      </c>
      <c r="AC656" s="38">
        <f t="shared" si="58"/>
        <v>0.22516011385874449</v>
      </c>
      <c r="AD656" s="3"/>
    </row>
    <row r="657" spans="1:30" x14ac:dyDescent="0.25">
      <c r="A657" s="37">
        <v>46293</v>
      </c>
      <c r="B657" s="41">
        <v>17009259.259259209</v>
      </c>
      <c r="C657" s="41">
        <v>35185.185185185182</v>
      </c>
      <c r="D657" s="41">
        <v>50000000</v>
      </c>
      <c r="E657" s="41">
        <v>0</v>
      </c>
      <c r="F657" s="41">
        <v>50000000</v>
      </c>
      <c r="G657" s="41">
        <v>0</v>
      </c>
      <c r="H657" s="41">
        <v>50000000</v>
      </c>
      <c r="I657" s="41">
        <v>0</v>
      </c>
      <c r="J657" s="41">
        <v>30555555.555555709</v>
      </c>
      <c r="K657" s="41">
        <v>111111.11111111109</v>
      </c>
      <c r="L657" s="41">
        <v>10000000</v>
      </c>
      <c r="M657" s="41">
        <v>0</v>
      </c>
      <c r="N657" s="41">
        <v>53895833.333332904</v>
      </c>
      <c r="O657" s="41">
        <v>79166.666666666672</v>
      </c>
      <c r="P657" s="41">
        <v>75000000</v>
      </c>
      <c r="Q657" s="41">
        <v>0</v>
      </c>
      <c r="R657" s="41">
        <v>42523148.148148037</v>
      </c>
      <c r="S657" s="41">
        <v>87962.962962962964</v>
      </c>
      <c r="T657" s="41">
        <v>29490740.7407405</v>
      </c>
      <c r="U657" s="41">
        <v>64814.814814814818</v>
      </c>
      <c r="V657" s="41">
        <v>408474537.03703642</v>
      </c>
      <c r="W657" s="41">
        <v>378240.74074074079</v>
      </c>
      <c r="X657" s="38">
        <f t="shared" si="54"/>
        <v>0.8169490740740728</v>
      </c>
      <c r="Y657" s="39">
        <f t="shared" si="55"/>
        <v>7.5648148148148157E-4</v>
      </c>
      <c r="Z657" s="39">
        <f t="shared" si="59"/>
        <v>9.2684188553899941E-4</v>
      </c>
      <c r="AA657" s="41">
        <f t="shared" si="56"/>
        <v>91525462.962963581</v>
      </c>
      <c r="AB657" s="39">
        <f t="shared" si="57"/>
        <v>4.1326285439692179E-3</v>
      </c>
      <c r="AC657" s="38">
        <f t="shared" si="58"/>
        <v>0.2249047278583382</v>
      </c>
      <c r="AD657" s="3"/>
    </row>
    <row r="658" spans="1:30" x14ac:dyDescent="0.25">
      <c r="A658" s="37">
        <v>46294</v>
      </c>
      <c r="B658" s="41">
        <v>17044444.444444388</v>
      </c>
      <c r="C658" s="41">
        <v>35185.185185185182</v>
      </c>
      <c r="D658" s="41">
        <v>50000000</v>
      </c>
      <c r="E658" s="41">
        <v>0</v>
      </c>
      <c r="F658" s="41">
        <v>50000000</v>
      </c>
      <c r="G658" s="41">
        <v>0</v>
      </c>
      <c r="H658" s="41">
        <v>50000000</v>
      </c>
      <c r="I658" s="41">
        <v>0</v>
      </c>
      <c r="J658" s="41">
        <v>30666666.666666821</v>
      </c>
      <c r="K658" s="41">
        <v>111111.11111111109</v>
      </c>
      <c r="L658" s="41">
        <v>10000000</v>
      </c>
      <c r="M658" s="41">
        <v>0</v>
      </c>
      <c r="N658" s="41">
        <v>53974999.999999568</v>
      </c>
      <c r="O658" s="41">
        <v>79166.666666666672</v>
      </c>
      <c r="P658" s="41">
        <v>75000000</v>
      </c>
      <c r="Q658" s="41">
        <v>0</v>
      </c>
      <c r="R658" s="41">
        <v>42611111.111111</v>
      </c>
      <c r="S658" s="41">
        <v>87962.962962962964</v>
      </c>
      <c r="T658" s="41">
        <v>29555555.555555321</v>
      </c>
      <c r="U658" s="41">
        <v>64814.814814814818</v>
      </c>
      <c r="V658" s="41">
        <v>408852777.77777708</v>
      </c>
      <c r="W658" s="41">
        <v>378240.74074074079</v>
      </c>
      <c r="X658" s="38">
        <f t="shared" si="54"/>
        <v>0.81770555555555413</v>
      </c>
      <c r="Y658" s="39">
        <f t="shared" si="55"/>
        <v>7.5648148148148157E-4</v>
      </c>
      <c r="Z658" s="39">
        <f t="shared" si="59"/>
        <v>9.2598364511138587E-4</v>
      </c>
      <c r="AA658" s="41">
        <f t="shared" si="56"/>
        <v>91147222.222222924</v>
      </c>
      <c r="AB658" s="39">
        <f t="shared" si="57"/>
        <v>4.1497780351283219E-3</v>
      </c>
      <c r="AC658" s="38">
        <f t="shared" si="58"/>
        <v>0.22464992054049154</v>
      </c>
      <c r="AD658" s="3"/>
    </row>
    <row r="659" spans="1:30" x14ac:dyDescent="0.25">
      <c r="A659" s="37">
        <v>46295</v>
      </c>
      <c r="B659" s="41">
        <v>17079629.629629578</v>
      </c>
      <c r="C659" s="41">
        <v>35185.185185185182</v>
      </c>
      <c r="D659" s="41">
        <v>50000000</v>
      </c>
      <c r="E659" s="41">
        <v>0</v>
      </c>
      <c r="F659" s="41">
        <v>50000000</v>
      </c>
      <c r="G659" s="41">
        <v>0</v>
      </c>
      <c r="H659" s="41">
        <v>50000000</v>
      </c>
      <c r="I659" s="41">
        <v>0</v>
      </c>
      <c r="J659" s="41">
        <v>30777777.77777794</v>
      </c>
      <c r="K659" s="41">
        <v>111111.11111111109</v>
      </c>
      <c r="L659" s="41">
        <v>10000000</v>
      </c>
      <c r="M659" s="41">
        <v>0</v>
      </c>
      <c r="N659" s="41">
        <v>54054166.666666232</v>
      </c>
      <c r="O659" s="41">
        <v>79166.666666666672</v>
      </c>
      <c r="P659" s="41">
        <v>75000000</v>
      </c>
      <c r="Q659" s="41">
        <v>0</v>
      </c>
      <c r="R659" s="41">
        <v>42699074.074073963</v>
      </c>
      <c r="S659" s="41">
        <v>87962.962962962964</v>
      </c>
      <c r="T659" s="41">
        <v>29620370.370370131</v>
      </c>
      <c r="U659" s="41">
        <v>64814.814814814818</v>
      </c>
      <c r="V659" s="41">
        <v>409231018.51851791</v>
      </c>
      <c r="W659" s="41">
        <v>378240.74074074079</v>
      </c>
      <c r="X659" s="38">
        <f t="shared" si="54"/>
        <v>0.81846203703703579</v>
      </c>
      <c r="Y659" s="39">
        <f t="shared" si="55"/>
        <v>7.5648148148148157E-4</v>
      </c>
      <c r="Z659" s="39">
        <f t="shared" si="59"/>
        <v>9.2512699264654435E-4</v>
      </c>
      <c r="AA659" s="41">
        <f t="shared" si="56"/>
        <v>90768981.481482089</v>
      </c>
      <c r="AB659" s="39">
        <f t="shared" si="57"/>
        <v>4.1670704525632058E-3</v>
      </c>
      <c r="AC659" s="38">
        <f t="shared" si="58"/>
        <v>0.22439568994056325</v>
      </c>
      <c r="AD659" s="3"/>
    </row>
    <row r="660" spans="1:30" x14ac:dyDescent="0.25">
      <c r="A660" s="37">
        <v>46296</v>
      </c>
      <c r="B660" s="41">
        <v>17114814.814814769</v>
      </c>
      <c r="C660" s="41">
        <v>35185.185185185182</v>
      </c>
      <c r="D660" s="41">
        <v>50000000</v>
      </c>
      <c r="E660" s="41">
        <v>0</v>
      </c>
      <c r="F660" s="41">
        <v>50000000</v>
      </c>
      <c r="G660" s="41">
        <v>0</v>
      </c>
      <c r="H660" s="41">
        <v>50000000</v>
      </c>
      <c r="I660" s="41">
        <v>0</v>
      </c>
      <c r="J660" s="41">
        <v>30888888.888889048</v>
      </c>
      <c r="K660" s="41">
        <v>111111.11111111109</v>
      </c>
      <c r="L660" s="41">
        <v>10000000</v>
      </c>
      <c r="M660" s="41">
        <v>0</v>
      </c>
      <c r="N660" s="41">
        <v>54133333.333332904</v>
      </c>
      <c r="O660" s="41">
        <v>79166.666666666672</v>
      </c>
      <c r="P660" s="41">
        <v>75000000</v>
      </c>
      <c r="Q660" s="41">
        <v>0</v>
      </c>
      <c r="R660" s="41">
        <v>42787037.037036933</v>
      </c>
      <c r="S660" s="41">
        <v>87962.962962962964</v>
      </c>
      <c r="T660" s="41">
        <v>29685185.185184941</v>
      </c>
      <c r="U660" s="41">
        <v>64814.814814814818</v>
      </c>
      <c r="V660" s="41">
        <v>409609259.25925851</v>
      </c>
      <c r="W660" s="41">
        <v>378240.74074074079</v>
      </c>
      <c r="X660" s="38">
        <f t="shared" si="54"/>
        <v>0.81921851851851701</v>
      </c>
      <c r="Y660" s="39">
        <f t="shared" si="55"/>
        <v>7.5648148148148157E-4</v>
      </c>
      <c r="Z660" s="39">
        <f t="shared" si="59"/>
        <v>9.2427192374134562E-4</v>
      </c>
      <c r="AA660" s="41">
        <f t="shared" si="56"/>
        <v>90390740.740741491</v>
      </c>
      <c r="AB660" s="39">
        <f t="shared" si="57"/>
        <v>4.1845075905021069E-3</v>
      </c>
      <c r="AC660" s="38">
        <f t="shared" si="58"/>
        <v>0.2241420341027959</v>
      </c>
      <c r="AD660" s="3"/>
    </row>
    <row r="661" spans="1:30" x14ac:dyDescent="0.25">
      <c r="A661" s="37">
        <v>46297</v>
      </c>
      <c r="B661" s="41">
        <v>17149999.999999952</v>
      </c>
      <c r="C661" s="41">
        <v>35185.185185185182</v>
      </c>
      <c r="D661" s="41">
        <v>50000000</v>
      </c>
      <c r="E661" s="41">
        <v>0</v>
      </c>
      <c r="F661" s="41">
        <v>50000000</v>
      </c>
      <c r="G661" s="41">
        <v>0</v>
      </c>
      <c r="H661" s="41">
        <v>50000000</v>
      </c>
      <c r="I661" s="41">
        <v>0</v>
      </c>
      <c r="J661" s="41">
        <v>31000000.00000016</v>
      </c>
      <c r="K661" s="41">
        <v>111111.11111111109</v>
      </c>
      <c r="L661" s="41">
        <v>10000000</v>
      </c>
      <c r="M661" s="41">
        <v>0</v>
      </c>
      <c r="N661" s="41">
        <v>54212499.99999956</v>
      </c>
      <c r="O661" s="41">
        <v>79166.666666666672</v>
      </c>
      <c r="P661" s="41">
        <v>75000000</v>
      </c>
      <c r="Q661" s="41">
        <v>0</v>
      </c>
      <c r="R661" s="41">
        <v>42874999.999999888</v>
      </c>
      <c r="S661" s="41">
        <v>87962.962962962964</v>
      </c>
      <c r="T661" s="41">
        <v>29749999.999999762</v>
      </c>
      <c r="U661" s="41">
        <v>64814.814814814818</v>
      </c>
      <c r="V661" s="41">
        <v>409987499.99999928</v>
      </c>
      <c r="W661" s="41">
        <v>378240.74074074079</v>
      </c>
      <c r="X661" s="38">
        <f t="shared" si="54"/>
        <v>0.81997499999999857</v>
      </c>
      <c r="Y661" s="39">
        <f t="shared" si="55"/>
        <v>7.5648148148148157E-4</v>
      </c>
      <c r="Z661" s="39">
        <f t="shared" si="59"/>
        <v>9.2341843400892631E-4</v>
      </c>
      <c r="AA661" s="41">
        <f t="shared" si="56"/>
        <v>90012500.000000715</v>
      </c>
      <c r="AB661" s="39">
        <f t="shared" si="57"/>
        <v>4.2020912733313461E-3</v>
      </c>
      <c r="AC661" s="38">
        <f t="shared" si="58"/>
        <v>0.22388895108026466</v>
      </c>
      <c r="AD661" s="3"/>
    </row>
    <row r="662" spans="1:30" x14ac:dyDescent="0.25">
      <c r="A662" s="37">
        <v>46298</v>
      </c>
      <c r="B662" s="41">
        <v>17185185.185185142</v>
      </c>
      <c r="C662" s="41">
        <v>35185.185185185182</v>
      </c>
      <c r="D662" s="41">
        <v>50000000</v>
      </c>
      <c r="E662" s="41">
        <v>0</v>
      </c>
      <c r="F662" s="41">
        <v>50000000</v>
      </c>
      <c r="G662" s="41">
        <v>0</v>
      </c>
      <c r="H662" s="41">
        <v>50000000</v>
      </c>
      <c r="I662" s="41">
        <v>0</v>
      </c>
      <c r="J662" s="41">
        <v>31111111.111111268</v>
      </c>
      <c r="K662" s="41">
        <v>111111.11111111109</v>
      </c>
      <c r="L662" s="41">
        <v>10000000</v>
      </c>
      <c r="M662" s="41">
        <v>0</v>
      </c>
      <c r="N662" s="41">
        <v>54291666.666666217</v>
      </c>
      <c r="O662" s="41">
        <v>79166.666666666672</v>
      </c>
      <c r="P662" s="41">
        <v>75000000</v>
      </c>
      <c r="Q662" s="41">
        <v>0</v>
      </c>
      <c r="R662" s="41">
        <v>42962962.962962851</v>
      </c>
      <c r="S662" s="41">
        <v>87962.962962962964</v>
      </c>
      <c r="T662" s="41">
        <v>29814814.814814571</v>
      </c>
      <c r="U662" s="41">
        <v>64814.814814814818</v>
      </c>
      <c r="V662" s="41">
        <v>410365740.74074012</v>
      </c>
      <c r="W662" s="41">
        <v>378240.74074074079</v>
      </c>
      <c r="X662" s="38">
        <f t="shared" si="54"/>
        <v>0.82073148148148023</v>
      </c>
      <c r="Y662" s="39">
        <f t="shared" si="55"/>
        <v>7.5648148148148157E-4</v>
      </c>
      <c r="Z662" s="39">
        <f t="shared" si="59"/>
        <v>9.2256651907860962E-4</v>
      </c>
      <c r="AA662" s="41">
        <f t="shared" si="56"/>
        <v>89634259.25925988</v>
      </c>
      <c r="AB662" s="39">
        <f t="shared" si="57"/>
        <v>4.2198233562315713E-3</v>
      </c>
      <c r="AC662" s="38">
        <f t="shared" si="58"/>
        <v>0.22363643893482835</v>
      </c>
      <c r="AD662" s="3"/>
    </row>
    <row r="663" spans="1:30" x14ac:dyDescent="0.25">
      <c r="A663" s="37">
        <v>46299</v>
      </c>
      <c r="B663" s="41">
        <v>17220370.370370321</v>
      </c>
      <c r="C663" s="41">
        <v>35185.185185185182</v>
      </c>
      <c r="D663" s="41">
        <v>50000000</v>
      </c>
      <c r="E663" s="41">
        <v>0</v>
      </c>
      <c r="F663" s="41">
        <v>50000000</v>
      </c>
      <c r="G663" s="41">
        <v>0</v>
      </c>
      <c r="H663" s="41">
        <v>50000000</v>
      </c>
      <c r="I663" s="41">
        <v>0</v>
      </c>
      <c r="J663" s="41">
        <v>31222222.22222238</v>
      </c>
      <c r="K663" s="41">
        <v>111111.11111111109</v>
      </c>
      <c r="L663" s="41">
        <v>10000000</v>
      </c>
      <c r="M663" s="41">
        <v>0</v>
      </c>
      <c r="N663" s="41">
        <v>54370833.333332889</v>
      </c>
      <c r="O663" s="41">
        <v>79166.666666666672</v>
      </c>
      <c r="P663" s="41">
        <v>75000000</v>
      </c>
      <c r="Q663" s="41">
        <v>0</v>
      </c>
      <c r="R663" s="41">
        <v>43050925.925925814</v>
      </c>
      <c r="S663" s="41">
        <v>87962.962962962964</v>
      </c>
      <c r="T663" s="41">
        <v>29879629.629629381</v>
      </c>
      <c r="U663" s="41">
        <v>64814.814814814818</v>
      </c>
      <c r="V663" s="41">
        <v>410743981.48148078</v>
      </c>
      <c r="W663" s="41">
        <v>378240.74074074079</v>
      </c>
      <c r="X663" s="38">
        <f t="shared" ref="X663:X726" si="60">V663/$B$6</f>
        <v>0.82148796296296156</v>
      </c>
      <c r="Y663" s="39">
        <f t="shared" ref="Y663:Y726" si="61">W663/$B$6</f>
        <v>7.5648148148148157E-4</v>
      </c>
      <c r="Z663" s="39">
        <f t="shared" si="59"/>
        <v>9.2171617459583404E-4</v>
      </c>
      <c r="AA663" s="41">
        <f t="shared" ref="AA663:AA726" si="62">$B$6-V663</f>
        <v>89256018.518519223</v>
      </c>
      <c r="AB663" s="39">
        <f t="shared" ref="AB663:AB726" si="63">W663/AA663</f>
        <v>4.2377057258302618E-3</v>
      </c>
      <c r="AC663" s="38">
        <f t="shared" ref="AC663:AC726" si="64" xml:space="preserve"> P663/(V663-P663)</f>
        <v>0.22338449573707966</v>
      </c>
      <c r="AD663" s="3"/>
    </row>
    <row r="664" spans="1:30" x14ac:dyDescent="0.25">
      <c r="A664" s="37">
        <v>46300</v>
      </c>
      <c r="B664" s="41">
        <v>17255555.555555511</v>
      </c>
      <c r="C664" s="41">
        <v>35185.185185185182</v>
      </c>
      <c r="D664" s="41">
        <v>50000000</v>
      </c>
      <c r="E664" s="41">
        <v>0</v>
      </c>
      <c r="F664" s="41">
        <v>50000000</v>
      </c>
      <c r="G664" s="41">
        <v>0</v>
      </c>
      <c r="H664" s="41">
        <v>50000000</v>
      </c>
      <c r="I664" s="41">
        <v>0</v>
      </c>
      <c r="J664" s="41">
        <v>31333333.3333335</v>
      </c>
      <c r="K664" s="41">
        <v>111111.11111111109</v>
      </c>
      <c r="L664" s="41">
        <v>10000000</v>
      </c>
      <c r="M664" s="41">
        <v>0</v>
      </c>
      <c r="N664" s="41">
        <v>54449999.999999553</v>
      </c>
      <c r="O664" s="41">
        <v>79166.666666666672</v>
      </c>
      <c r="P664" s="41">
        <v>75000000</v>
      </c>
      <c r="Q664" s="41">
        <v>0</v>
      </c>
      <c r="R664" s="41">
        <v>43138888.888888776</v>
      </c>
      <c r="S664" s="41">
        <v>87962.962962962964</v>
      </c>
      <c r="T664" s="41">
        <v>29944444.444444198</v>
      </c>
      <c r="U664" s="41">
        <v>64814.814814814818</v>
      </c>
      <c r="V664" s="41">
        <v>411122222.22222161</v>
      </c>
      <c r="W664" s="41">
        <v>378240.74074074079</v>
      </c>
      <c r="X664" s="38">
        <f t="shared" si="60"/>
        <v>0.82224444444444322</v>
      </c>
      <c r="Y664" s="39">
        <f t="shared" si="61"/>
        <v>7.5648148148148157E-4</v>
      </c>
      <c r="Z664" s="39">
        <f t="shared" ref="Z664:Z727" si="65">W664/V663</f>
        <v>9.2086739622207839E-4</v>
      </c>
      <c r="AA664" s="41">
        <f t="shared" si="62"/>
        <v>88877777.777778387</v>
      </c>
      <c r="AB664" s="39">
        <f t="shared" si="63"/>
        <v>4.2557403008709133E-3</v>
      </c>
      <c r="AC664" s="38">
        <f t="shared" si="64"/>
        <v>0.22313311956629572</v>
      </c>
      <c r="AD664" s="3"/>
    </row>
    <row r="665" spans="1:30" x14ac:dyDescent="0.25">
      <c r="A665" s="37">
        <v>46301</v>
      </c>
      <c r="B665" s="41">
        <v>17290740.740740702</v>
      </c>
      <c r="C665" s="41">
        <v>35185.185185185182</v>
      </c>
      <c r="D665" s="41">
        <v>50000000</v>
      </c>
      <c r="E665" s="41">
        <v>0</v>
      </c>
      <c r="F665" s="41">
        <v>50000000</v>
      </c>
      <c r="G665" s="41">
        <v>0</v>
      </c>
      <c r="H665" s="41">
        <v>50000000</v>
      </c>
      <c r="I665" s="41">
        <v>0</v>
      </c>
      <c r="J665" s="41">
        <v>31444444.444444612</v>
      </c>
      <c r="K665" s="41">
        <v>111111.11111111109</v>
      </c>
      <c r="L665" s="41">
        <v>10000000</v>
      </c>
      <c r="M665" s="41">
        <v>0</v>
      </c>
      <c r="N665" s="41">
        <v>54529166.666666217</v>
      </c>
      <c r="O665" s="41">
        <v>79166.666666666672</v>
      </c>
      <c r="P665" s="41">
        <v>75000000</v>
      </c>
      <c r="Q665" s="41">
        <v>0</v>
      </c>
      <c r="R665" s="41">
        <v>43226851.851851739</v>
      </c>
      <c r="S665" s="41">
        <v>87962.962962962964</v>
      </c>
      <c r="T665" s="41">
        <v>30009259.259259012</v>
      </c>
      <c r="U665" s="41">
        <v>64814.814814814818</v>
      </c>
      <c r="V665" s="41">
        <v>411500462.96296233</v>
      </c>
      <c r="W665" s="41">
        <v>378240.74074074079</v>
      </c>
      <c r="X665" s="38">
        <f t="shared" si="60"/>
        <v>0.82300092592592466</v>
      </c>
      <c r="Y665" s="39">
        <f t="shared" si="61"/>
        <v>7.5648148148148157E-4</v>
      </c>
      <c r="Z665" s="39">
        <f t="shared" si="65"/>
        <v>9.2002017963478612E-4</v>
      </c>
      <c r="AA665" s="41">
        <f t="shared" si="62"/>
        <v>88499537.037037671</v>
      </c>
      <c r="AB665" s="39">
        <f t="shared" si="63"/>
        <v>4.2739290328992841E-3</v>
      </c>
      <c r="AC665" s="38">
        <f t="shared" si="64"/>
        <v>0.2228823085103899</v>
      </c>
      <c r="AD665" s="3"/>
    </row>
    <row r="666" spans="1:30" x14ac:dyDescent="0.25">
      <c r="A666" s="37">
        <v>46302</v>
      </c>
      <c r="B666" s="41">
        <v>17325925.925925881</v>
      </c>
      <c r="C666" s="41">
        <v>35185.185185185182</v>
      </c>
      <c r="D666" s="41">
        <v>50000000</v>
      </c>
      <c r="E666" s="41">
        <v>0</v>
      </c>
      <c r="F666" s="41">
        <v>50000000</v>
      </c>
      <c r="G666" s="41">
        <v>0</v>
      </c>
      <c r="H666" s="41">
        <v>50000000</v>
      </c>
      <c r="I666" s="41">
        <v>0</v>
      </c>
      <c r="J666" s="41">
        <v>31555555.55555572</v>
      </c>
      <c r="K666" s="41">
        <v>111111.11111111109</v>
      </c>
      <c r="L666" s="41">
        <v>10000000</v>
      </c>
      <c r="M666" s="41">
        <v>0</v>
      </c>
      <c r="N666" s="41">
        <v>54608333.333332881</v>
      </c>
      <c r="O666" s="41">
        <v>79166.666666666672</v>
      </c>
      <c r="P666" s="41">
        <v>75000000</v>
      </c>
      <c r="Q666" s="41">
        <v>0</v>
      </c>
      <c r="R666" s="41">
        <v>43314814.814814702</v>
      </c>
      <c r="S666" s="41">
        <v>87962.962962962964</v>
      </c>
      <c r="T666" s="41">
        <v>30074074.074073829</v>
      </c>
      <c r="U666" s="41">
        <v>64814.814814814818</v>
      </c>
      <c r="V666" s="41">
        <v>411878703.70370299</v>
      </c>
      <c r="W666" s="41">
        <v>378240.74074074079</v>
      </c>
      <c r="X666" s="38">
        <f t="shared" si="60"/>
        <v>0.82375740740740599</v>
      </c>
      <c r="Y666" s="39">
        <f t="shared" si="61"/>
        <v>7.5648148148148157E-4</v>
      </c>
      <c r="Z666" s="39">
        <f t="shared" si="65"/>
        <v>9.1917452052729491E-4</v>
      </c>
      <c r="AA666" s="41">
        <f t="shared" si="62"/>
        <v>88121296.296297014</v>
      </c>
      <c r="AB666" s="39">
        <f t="shared" si="63"/>
        <v>4.292273906967424E-3</v>
      </c>
      <c r="AC666" s="38">
        <f t="shared" si="64"/>
        <v>0.22263206066586275</v>
      </c>
      <c r="AD666" s="3"/>
    </row>
    <row r="667" spans="1:30" x14ac:dyDescent="0.25">
      <c r="A667" s="37">
        <v>46303</v>
      </c>
      <c r="B667" s="41">
        <v>17361111.111111071</v>
      </c>
      <c r="C667" s="41">
        <v>35185.185185185182</v>
      </c>
      <c r="D667" s="41">
        <v>50000000</v>
      </c>
      <c r="E667" s="41">
        <v>0</v>
      </c>
      <c r="F667" s="41">
        <v>50000000</v>
      </c>
      <c r="G667" s="41">
        <v>0</v>
      </c>
      <c r="H667" s="41">
        <v>50000000</v>
      </c>
      <c r="I667" s="41">
        <v>0</v>
      </c>
      <c r="J667" s="41">
        <v>31666666.666666832</v>
      </c>
      <c r="K667" s="41">
        <v>111111.11111111109</v>
      </c>
      <c r="L667" s="41">
        <v>10000000</v>
      </c>
      <c r="M667" s="41">
        <v>0</v>
      </c>
      <c r="N667" s="41">
        <v>54687499.999999553</v>
      </c>
      <c r="O667" s="41">
        <v>79166.666666666672</v>
      </c>
      <c r="P667" s="41">
        <v>75000000</v>
      </c>
      <c r="Q667" s="41">
        <v>0</v>
      </c>
      <c r="R667" s="41">
        <v>43402777.777777657</v>
      </c>
      <c r="S667" s="41">
        <v>87962.962962962964</v>
      </c>
      <c r="T667" s="41">
        <v>30138888.888888638</v>
      </c>
      <c r="U667" s="41">
        <v>64814.814814814818</v>
      </c>
      <c r="V667" s="41">
        <v>412256944.44444382</v>
      </c>
      <c r="W667" s="41">
        <v>378240.74074074079</v>
      </c>
      <c r="X667" s="38">
        <f t="shared" si="60"/>
        <v>0.82451388888888766</v>
      </c>
      <c r="Y667" s="39">
        <f t="shared" si="61"/>
        <v>7.5648148148148157E-4</v>
      </c>
      <c r="Z667" s="39">
        <f t="shared" si="65"/>
        <v>9.1833041460876147E-4</v>
      </c>
      <c r="AA667" s="41">
        <f t="shared" si="62"/>
        <v>87743055.555556178</v>
      </c>
      <c r="AB667" s="39">
        <f t="shared" si="63"/>
        <v>4.3107769423558597E-3</v>
      </c>
      <c r="AC667" s="38">
        <f t="shared" si="64"/>
        <v>0.22238237413775394</v>
      </c>
      <c r="AD667" s="3"/>
    </row>
    <row r="668" spans="1:30" x14ac:dyDescent="0.25">
      <c r="A668" s="37">
        <v>46304</v>
      </c>
      <c r="B668" s="41">
        <v>17396296.296296261</v>
      </c>
      <c r="C668" s="41">
        <v>35185.185185185182</v>
      </c>
      <c r="D668" s="41">
        <v>50000000</v>
      </c>
      <c r="E668" s="41">
        <v>0</v>
      </c>
      <c r="F668" s="41">
        <v>50000000</v>
      </c>
      <c r="G668" s="41">
        <v>0</v>
      </c>
      <c r="H668" s="41">
        <v>50000000</v>
      </c>
      <c r="I668" s="41">
        <v>0</v>
      </c>
      <c r="J668" s="41">
        <v>31777777.77777794</v>
      </c>
      <c r="K668" s="41">
        <v>111111.11111111109</v>
      </c>
      <c r="L668" s="41">
        <v>10000000</v>
      </c>
      <c r="M668" s="41">
        <v>0</v>
      </c>
      <c r="N668" s="41">
        <v>54766666.66666621</v>
      </c>
      <c r="O668" s="41">
        <v>79166.666666666672</v>
      </c>
      <c r="P668" s="41">
        <v>75000000</v>
      </c>
      <c r="Q668" s="41">
        <v>0</v>
      </c>
      <c r="R668" s="41">
        <v>43490740.740740627</v>
      </c>
      <c r="S668" s="41">
        <v>87962.962962962964</v>
      </c>
      <c r="T668" s="41">
        <v>30203703.703703448</v>
      </c>
      <c r="U668" s="41">
        <v>64814.814814814818</v>
      </c>
      <c r="V668" s="41">
        <v>412635185.18518448</v>
      </c>
      <c r="W668" s="41">
        <v>378240.74074074079</v>
      </c>
      <c r="X668" s="38">
        <f t="shared" si="60"/>
        <v>0.82527037037036899</v>
      </c>
      <c r="Y668" s="39">
        <f t="shared" si="61"/>
        <v>7.5648148148148157E-4</v>
      </c>
      <c r="Z668" s="39">
        <f t="shared" si="65"/>
        <v>9.1748785760408923E-4</v>
      </c>
      <c r="AA668" s="41">
        <f t="shared" si="62"/>
        <v>87364814.814815521</v>
      </c>
      <c r="AB668" s="39">
        <f t="shared" si="63"/>
        <v>4.3294401933145045E-3</v>
      </c>
      <c r="AC668" s="38">
        <f t="shared" si="64"/>
        <v>0.22213324703959503</v>
      </c>
      <c r="AD668" s="3"/>
    </row>
    <row r="669" spans="1:30" x14ac:dyDescent="0.25">
      <c r="A669" s="37">
        <v>46305</v>
      </c>
      <c r="B669" s="41">
        <v>17431481.48148144</v>
      </c>
      <c r="C669" s="41">
        <v>35185.185185185182</v>
      </c>
      <c r="D669" s="41">
        <v>50000000</v>
      </c>
      <c r="E669" s="41">
        <v>0</v>
      </c>
      <c r="F669" s="41">
        <v>50000000</v>
      </c>
      <c r="G669" s="41">
        <v>0</v>
      </c>
      <c r="H669" s="41">
        <v>50000000</v>
      </c>
      <c r="I669" s="41">
        <v>0</v>
      </c>
      <c r="J669" s="41">
        <v>31888888.888889059</v>
      </c>
      <c r="K669" s="41">
        <v>111111.11111111109</v>
      </c>
      <c r="L669" s="41">
        <v>10000000</v>
      </c>
      <c r="M669" s="41">
        <v>0</v>
      </c>
      <c r="N669" s="41">
        <v>54845833.333332866</v>
      </c>
      <c r="O669" s="41">
        <v>79166.666666666672</v>
      </c>
      <c r="P669" s="41">
        <v>75000000</v>
      </c>
      <c r="Q669" s="41">
        <v>0</v>
      </c>
      <c r="R669" s="41">
        <v>43578703.70370359</v>
      </c>
      <c r="S669" s="41">
        <v>87962.962962962964</v>
      </c>
      <c r="T669" s="41">
        <v>30268518.518518269</v>
      </c>
      <c r="U669" s="41">
        <v>64814.814814814818</v>
      </c>
      <c r="V669" s="41">
        <v>413013425.9259252</v>
      </c>
      <c r="W669" s="41">
        <v>378240.74074074079</v>
      </c>
      <c r="X669" s="38">
        <f t="shared" si="60"/>
        <v>0.82602685185185043</v>
      </c>
      <c r="Y669" s="39">
        <f t="shared" si="61"/>
        <v>7.5648148148148157E-4</v>
      </c>
      <c r="Z669" s="39">
        <f t="shared" si="65"/>
        <v>9.1664684525385792E-4</v>
      </c>
      <c r="AA669" s="41">
        <f t="shared" si="62"/>
        <v>86986574.074074805</v>
      </c>
      <c r="AB669" s="39">
        <f t="shared" si="63"/>
        <v>4.3482657498229993E-3</v>
      </c>
      <c r="AC669" s="38">
        <f t="shared" si="64"/>
        <v>0.22188467749336105</v>
      </c>
      <c r="AD669" s="3"/>
    </row>
    <row r="670" spans="1:30" x14ac:dyDescent="0.25">
      <c r="A670" s="37">
        <v>46306</v>
      </c>
      <c r="B670" s="41">
        <v>17466666.666666631</v>
      </c>
      <c r="C670" s="41">
        <v>35185.185185185182</v>
      </c>
      <c r="D670" s="41">
        <v>50000000</v>
      </c>
      <c r="E670" s="41">
        <v>0</v>
      </c>
      <c r="F670" s="41">
        <v>50000000</v>
      </c>
      <c r="G670" s="41">
        <v>0</v>
      </c>
      <c r="H670" s="41">
        <v>50000000</v>
      </c>
      <c r="I670" s="41">
        <v>0</v>
      </c>
      <c r="J670" s="41">
        <v>32000000.000000171</v>
      </c>
      <c r="K670" s="41">
        <v>111111.11111111109</v>
      </c>
      <c r="L670" s="41">
        <v>10000000</v>
      </c>
      <c r="M670" s="41">
        <v>0</v>
      </c>
      <c r="N670" s="41">
        <v>54924999.999999538</v>
      </c>
      <c r="O670" s="41">
        <v>79166.666666666672</v>
      </c>
      <c r="P670" s="41">
        <v>75000000</v>
      </c>
      <c r="Q670" s="41">
        <v>0</v>
      </c>
      <c r="R670" s="41">
        <v>43666666.666666552</v>
      </c>
      <c r="S670" s="41">
        <v>87962.962962962964</v>
      </c>
      <c r="T670" s="41">
        <v>30333333.333333079</v>
      </c>
      <c r="U670" s="41">
        <v>64814.814814814818</v>
      </c>
      <c r="V670" s="41">
        <v>413391666.66666597</v>
      </c>
      <c r="W670" s="41">
        <v>378240.74074074079</v>
      </c>
      <c r="X670" s="38">
        <f t="shared" si="60"/>
        <v>0.82678333333333198</v>
      </c>
      <c r="Y670" s="39">
        <f t="shared" si="61"/>
        <v>7.5648148148148157E-4</v>
      </c>
      <c r="Z670" s="39">
        <f t="shared" si="65"/>
        <v>9.1580737331424923E-4</v>
      </c>
      <c r="AA670" s="41">
        <f t="shared" si="62"/>
        <v>86608333.333334029</v>
      </c>
      <c r="AB670" s="39">
        <f t="shared" si="63"/>
        <v>4.3672557383708779E-3</v>
      </c>
      <c r="AC670" s="38">
        <f t="shared" si="64"/>
        <v>0.22163666362942394</v>
      </c>
      <c r="AD670" s="3"/>
    </row>
    <row r="671" spans="1:30" x14ac:dyDescent="0.25">
      <c r="A671" s="37">
        <v>46307</v>
      </c>
      <c r="B671" s="41">
        <v>17501851.851851821</v>
      </c>
      <c r="C671" s="41">
        <v>35185.185185185182</v>
      </c>
      <c r="D671" s="41">
        <v>50000000</v>
      </c>
      <c r="E671" s="41">
        <v>0</v>
      </c>
      <c r="F671" s="41">
        <v>50000000</v>
      </c>
      <c r="G671" s="41">
        <v>0</v>
      </c>
      <c r="H671" s="41">
        <v>50000000</v>
      </c>
      <c r="I671" s="41">
        <v>0</v>
      </c>
      <c r="J671" s="41">
        <v>32111111.11111128</v>
      </c>
      <c r="K671" s="41">
        <v>111111.11111111109</v>
      </c>
      <c r="L671" s="41">
        <v>10000000</v>
      </c>
      <c r="M671" s="41">
        <v>0</v>
      </c>
      <c r="N671" s="41">
        <v>55004166.666666202</v>
      </c>
      <c r="O671" s="41">
        <v>79166.666666666672</v>
      </c>
      <c r="P671" s="41">
        <v>75000000</v>
      </c>
      <c r="Q671" s="41">
        <v>0</v>
      </c>
      <c r="R671" s="41">
        <v>43754629.629629523</v>
      </c>
      <c r="S671" s="41">
        <v>87962.962962962964</v>
      </c>
      <c r="T671" s="41">
        <v>30398148.148147888</v>
      </c>
      <c r="U671" s="41">
        <v>64814.814814814818</v>
      </c>
      <c r="V671" s="41">
        <v>413769907.40740669</v>
      </c>
      <c r="W671" s="41">
        <v>378240.74074074079</v>
      </c>
      <c r="X671" s="38">
        <f t="shared" si="60"/>
        <v>0.82753981481481342</v>
      </c>
      <c r="Y671" s="39">
        <f t="shared" si="61"/>
        <v>7.5648148148148157E-4</v>
      </c>
      <c r="Z671" s="39">
        <f t="shared" si="65"/>
        <v>9.1496943755697726E-4</v>
      </c>
      <c r="AA671" s="41">
        <f t="shared" si="62"/>
        <v>86230092.592593312</v>
      </c>
      <c r="AB671" s="39">
        <f t="shared" si="63"/>
        <v>4.3864123227583028E-3</v>
      </c>
      <c r="AC671" s="38">
        <f t="shared" si="64"/>
        <v>0.22138920358650557</v>
      </c>
      <c r="AD671" s="3"/>
    </row>
    <row r="672" spans="1:30" x14ac:dyDescent="0.25">
      <c r="A672" s="37">
        <v>46308</v>
      </c>
      <c r="B672" s="41">
        <v>17537037.037037</v>
      </c>
      <c r="C672" s="41">
        <v>35185.185185185182</v>
      </c>
      <c r="D672" s="41">
        <v>50000000</v>
      </c>
      <c r="E672" s="41">
        <v>0</v>
      </c>
      <c r="F672" s="41">
        <v>50000000</v>
      </c>
      <c r="G672" s="41">
        <v>0</v>
      </c>
      <c r="H672" s="41">
        <v>50000000</v>
      </c>
      <c r="I672" s="41">
        <v>0</v>
      </c>
      <c r="J672" s="41">
        <v>32222222.222222392</v>
      </c>
      <c r="K672" s="41">
        <v>111111.11111111109</v>
      </c>
      <c r="L672" s="41">
        <v>10000000</v>
      </c>
      <c r="M672" s="41">
        <v>0</v>
      </c>
      <c r="N672" s="41">
        <v>55083333.333332866</v>
      </c>
      <c r="O672" s="41">
        <v>79166.666666666672</v>
      </c>
      <c r="P672" s="41">
        <v>75000000</v>
      </c>
      <c r="Q672" s="41">
        <v>0</v>
      </c>
      <c r="R672" s="41">
        <v>43842592.592592478</v>
      </c>
      <c r="S672" s="41">
        <v>87962.962962962964</v>
      </c>
      <c r="T672" s="41">
        <v>30462962.962962709</v>
      </c>
      <c r="U672" s="41">
        <v>64814.814814814818</v>
      </c>
      <c r="V672" s="41">
        <v>414148148.1481474</v>
      </c>
      <c r="W672" s="41">
        <v>378240.74074074079</v>
      </c>
      <c r="X672" s="38">
        <f t="shared" si="60"/>
        <v>0.82829629629629475</v>
      </c>
      <c r="Y672" s="39">
        <f t="shared" si="61"/>
        <v>7.5648148148148157E-4</v>
      </c>
      <c r="Z672" s="39">
        <f t="shared" si="65"/>
        <v>9.1413303376921726E-4</v>
      </c>
      <c r="AA672" s="41">
        <f t="shared" si="62"/>
        <v>85851851.851852596</v>
      </c>
      <c r="AB672" s="39">
        <f t="shared" si="63"/>
        <v>4.4057377049179954E-3</v>
      </c>
      <c r="AC672" s="38">
        <f t="shared" si="64"/>
        <v>0.22114229551163092</v>
      </c>
      <c r="AD672" s="3"/>
    </row>
    <row r="673" spans="1:30" x14ac:dyDescent="0.25">
      <c r="A673" s="37">
        <v>46309</v>
      </c>
      <c r="B673" s="41">
        <v>17572222.22222219</v>
      </c>
      <c r="C673" s="41">
        <v>35185.185185185182</v>
      </c>
      <c r="D673" s="41">
        <v>50000000</v>
      </c>
      <c r="E673" s="41">
        <v>0</v>
      </c>
      <c r="F673" s="41">
        <v>50000000</v>
      </c>
      <c r="G673" s="41">
        <v>0</v>
      </c>
      <c r="H673" s="41">
        <v>50000000</v>
      </c>
      <c r="I673" s="41">
        <v>0</v>
      </c>
      <c r="J673" s="41">
        <v>32333333.3333335</v>
      </c>
      <c r="K673" s="41">
        <v>111111.11111111109</v>
      </c>
      <c r="L673" s="41">
        <v>10000000</v>
      </c>
      <c r="M673" s="41">
        <v>0</v>
      </c>
      <c r="N673" s="41">
        <v>55162499.999999531</v>
      </c>
      <c r="O673" s="41">
        <v>79166.666666666672</v>
      </c>
      <c r="P673" s="41">
        <v>75000000</v>
      </c>
      <c r="Q673" s="41">
        <v>0</v>
      </c>
      <c r="R673" s="41">
        <v>43930555.55555544</v>
      </c>
      <c r="S673" s="41">
        <v>87962.962962962964</v>
      </c>
      <c r="T673" s="41">
        <v>30527777.777777519</v>
      </c>
      <c r="U673" s="41">
        <v>64814.814814814818</v>
      </c>
      <c r="V673" s="41">
        <v>414526388.88888818</v>
      </c>
      <c r="W673" s="41">
        <v>378240.74074074079</v>
      </c>
      <c r="X673" s="38">
        <f t="shared" si="60"/>
        <v>0.82905277777777631</v>
      </c>
      <c r="Y673" s="39">
        <f t="shared" si="61"/>
        <v>7.5648148148148157E-4</v>
      </c>
      <c r="Z673" s="39">
        <f t="shared" si="65"/>
        <v>9.1329815775353419E-4</v>
      </c>
      <c r="AA673" s="41">
        <f t="shared" si="62"/>
        <v>85473611.11111182</v>
      </c>
      <c r="AB673" s="39">
        <f t="shared" si="63"/>
        <v>4.4252341257589433E-3</v>
      </c>
      <c r="AC673" s="38">
        <f t="shared" si="64"/>
        <v>0.22089593756008211</v>
      </c>
      <c r="AD673" s="3"/>
    </row>
    <row r="674" spans="1:30" x14ac:dyDescent="0.25">
      <c r="A674" s="37">
        <v>46310</v>
      </c>
      <c r="B674" s="41">
        <v>17607407.407407381</v>
      </c>
      <c r="C674" s="41">
        <v>35185.185185185182</v>
      </c>
      <c r="D674" s="41">
        <v>50000000</v>
      </c>
      <c r="E674" s="41">
        <v>0</v>
      </c>
      <c r="F674" s="41">
        <v>50000000</v>
      </c>
      <c r="G674" s="41">
        <v>0</v>
      </c>
      <c r="H674" s="41">
        <v>50000000</v>
      </c>
      <c r="I674" s="41">
        <v>0</v>
      </c>
      <c r="J674" s="41">
        <v>32444444.444444619</v>
      </c>
      <c r="K674" s="41">
        <v>111111.11111111109</v>
      </c>
      <c r="L674" s="41">
        <v>10000000</v>
      </c>
      <c r="M674" s="41">
        <v>0</v>
      </c>
      <c r="N674" s="41">
        <v>55241666.666666187</v>
      </c>
      <c r="O674" s="41">
        <v>79166.666666666672</v>
      </c>
      <c r="P674" s="41">
        <v>75000000</v>
      </c>
      <c r="Q674" s="41">
        <v>0</v>
      </c>
      <c r="R674" s="41">
        <v>44018518.518518403</v>
      </c>
      <c r="S674" s="41">
        <v>87962.962962962964</v>
      </c>
      <c r="T674" s="41">
        <v>30592592.592592329</v>
      </c>
      <c r="U674" s="41">
        <v>64814.814814814818</v>
      </c>
      <c r="V674" s="41">
        <v>414904629.62962902</v>
      </c>
      <c r="W674" s="41">
        <v>378240.74074074079</v>
      </c>
      <c r="X674" s="38">
        <f t="shared" si="60"/>
        <v>0.82980925925925808</v>
      </c>
      <c r="Y674" s="39">
        <f t="shared" si="61"/>
        <v>7.5648148148148157E-4</v>
      </c>
      <c r="Z674" s="39">
        <f t="shared" si="65"/>
        <v>9.1246480532781332E-4</v>
      </c>
      <c r="AA674" s="41">
        <f t="shared" si="62"/>
        <v>85095370.370370984</v>
      </c>
      <c r="AB674" s="39">
        <f t="shared" si="63"/>
        <v>4.4449038660326337E-3</v>
      </c>
      <c r="AC674" s="38">
        <f t="shared" si="64"/>
        <v>0.22065012789535232</v>
      </c>
      <c r="AD674" s="3"/>
    </row>
    <row r="675" spans="1:30" x14ac:dyDescent="0.25">
      <c r="A675" s="37">
        <v>46311</v>
      </c>
      <c r="B675" s="41">
        <v>17642592.59259256</v>
      </c>
      <c r="C675" s="41">
        <v>35185.185185185182</v>
      </c>
      <c r="D675" s="41">
        <v>50000000</v>
      </c>
      <c r="E675" s="41">
        <v>0</v>
      </c>
      <c r="F675" s="41">
        <v>50000000</v>
      </c>
      <c r="G675" s="41">
        <v>0</v>
      </c>
      <c r="H675" s="41">
        <v>50000000</v>
      </c>
      <c r="I675" s="41">
        <v>0</v>
      </c>
      <c r="J675" s="41">
        <v>32555555.555555731</v>
      </c>
      <c r="K675" s="41">
        <v>111111.11111111109</v>
      </c>
      <c r="L675" s="41">
        <v>10000000</v>
      </c>
      <c r="M675" s="41">
        <v>0</v>
      </c>
      <c r="N675" s="41">
        <v>55320833.333332859</v>
      </c>
      <c r="O675" s="41">
        <v>79166.666666666672</v>
      </c>
      <c r="P675" s="41">
        <v>75000000</v>
      </c>
      <c r="Q675" s="41">
        <v>0</v>
      </c>
      <c r="R675" s="41">
        <v>44106481.481481373</v>
      </c>
      <c r="S675" s="41">
        <v>87962.962962962964</v>
      </c>
      <c r="T675" s="41">
        <v>30657407.40740715</v>
      </c>
      <c r="U675" s="41">
        <v>64814.814814814818</v>
      </c>
      <c r="V675" s="41">
        <v>415282870.37036967</v>
      </c>
      <c r="W675" s="41">
        <v>378240.74074074079</v>
      </c>
      <c r="X675" s="38">
        <f t="shared" si="60"/>
        <v>0.8305657407407393</v>
      </c>
      <c r="Y675" s="39">
        <f t="shared" si="61"/>
        <v>7.5648148148148157E-4</v>
      </c>
      <c r="Z675" s="39">
        <f t="shared" si="65"/>
        <v>9.1163297232518998E-4</v>
      </c>
      <c r="AA675" s="41">
        <f t="shared" si="62"/>
        <v>84717129.629630327</v>
      </c>
      <c r="AB675" s="39">
        <f t="shared" si="63"/>
        <v>4.4647492472224748E-3</v>
      </c>
      <c r="AC675" s="38">
        <f t="shared" si="64"/>
        <v>0.22040486468910034</v>
      </c>
      <c r="AD675" s="3"/>
    </row>
    <row r="676" spans="1:30" x14ac:dyDescent="0.25">
      <c r="A676" s="37">
        <v>46312</v>
      </c>
      <c r="B676" s="41">
        <v>17677777.77777775</v>
      </c>
      <c r="C676" s="41">
        <v>35185.185185185182</v>
      </c>
      <c r="D676" s="41">
        <v>50000000</v>
      </c>
      <c r="E676" s="41">
        <v>0</v>
      </c>
      <c r="F676" s="41">
        <v>50000000</v>
      </c>
      <c r="G676" s="41">
        <v>0</v>
      </c>
      <c r="H676" s="41">
        <v>50000000</v>
      </c>
      <c r="I676" s="41">
        <v>0</v>
      </c>
      <c r="J676" s="41">
        <v>32666666.666666839</v>
      </c>
      <c r="K676" s="41">
        <v>111111.11111111109</v>
      </c>
      <c r="L676" s="41">
        <v>10000000</v>
      </c>
      <c r="M676" s="41">
        <v>0</v>
      </c>
      <c r="N676" s="41">
        <v>55399999.999999523</v>
      </c>
      <c r="O676" s="41">
        <v>79166.666666666672</v>
      </c>
      <c r="P676" s="41">
        <v>75000000</v>
      </c>
      <c r="Q676" s="41">
        <v>0</v>
      </c>
      <c r="R676" s="41">
        <v>44194444.444444329</v>
      </c>
      <c r="S676" s="41">
        <v>87962.962962962964</v>
      </c>
      <c r="T676" s="41">
        <v>30722222.222221959</v>
      </c>
      <c r="U676" s="41">
        <v>64814.814814814818</v>
      </c>
      <c r="V676" s="41">
        <v>415661111.11111033</v>
      </c>
      <c r="W676" s="41">
        <v>378240.74074074079</v>
      </c>
      <c r="X676" s="38">
        <f t="shared" si="60"/>
        <v>0.83132222222222063</v>
      </c>
      <c r="Y676" s="39">
        <f t="shared" si="61"/>
        <v>7.5648148148148157E-4</v>
      </c>
      <c r="Z676" s="39">
        <f t="shared" si="65"/>
        <v>9.1080265459398096E-4</v>
      </c>
      <c r="AA676" s="41">
        <f t="shared" si="62"/>
        <v>84338888.88888967</v>
      </c>
      <c r="AB676" s="39">
        <f t="shared" si="63"/>
        <v>4.4847726324571974E-3</v>
      </c>
      <c r="AC676" s="38">
        <f t="shared" si="64"/>
        <v>0.2201601461211049</v>
      </c>
      <c r="AD676" s="3"/>
    </row>
    <row r="677" spans="1:30" x14ac:dyDescent="0.25">
      <c r="A677" s="37">
        <v>46313</v>
      </c>
      <c r="B677" s="41">
        <v>17712962.96296294</v>
      </c>
      <c r="C677" s="41">
        <v>35185.185185185182</v>
      </c>
      <c r="D677" s="41">
        <v>50000000</v>
      </c>
      <c r="E677" s="41">
        <v>0</v>
      </c>
      <c r="F677" s="41">
        <v>50000000</v>
      </c>
      <c r="G677" s="41">
        <v>0</v>
      </c>
      <c r="H677" s="41">
        <v>50000000</v>
      </c>
      <c r="I677" s="41">
        <v>0</v>
      </c>
      <c r="J677" s="41">
        <v>32777777.777777951</v>
      </c>
      <c r="K677" s="41">
        <v>111111.11111111109</v>
      </c>
      <c r="L677" s="41">
        <v>10000000</v>
      </c>
      <c r="M677" s="41">
        <v>0</v>
      </c>
      <c r="N677" s="41">
        <v>55479166.666666187</v>
      </c>
      <c r="O677" s="41">
        <v>79166.666666666672</v>
      </c>
      <c r="P677" s="41">
        <v>75000000</v>
      </c>
      <c r="Q677" s="41">
        <v>0</v>
      </c>
      <c r="R677" s="41">
        <v>44282407.407407291</v>
      </c>
      <c r="S677" s="41">
        <v>87962.962962962964</v>
      </c>
      <c r="T677" s="41">
        <v>30787037.037036769</v>
      </c>
      <c r="U677" s="41">
        <v>64814.814814814818</v>
      </c>
      <c r="V677" s="41">
        <v>416039351.85185111</v>
      </c>
      <c r="W677" s="41">
        <v>378240.74074074079</v>
      </c>
      <c r="X677" s="38">
        <f t="shared" si="60"/>
        <v>0.83207870370370218</v>
      </c>
      <c r="Y677" s="39">
        <f t="shared" si="61"/>
        <v>7.5648148148148157E-4</v>
      </c>
      <c r="Z677" s="39">
        <f t="shared" si="65"/>
        <v>9.0997384799761387E-4</v>
      </c>
      <c r="AA677" s="41">
        <f t="shared" si="62"/>
        <v>83960648.148148894</v>
      </c>
      <c r="AB677" s="39">
        <f t="shared" si="63"/>
        <v>4.504976427448887E-3</v>
      </c>
      <c r="AC677" s="38">
        <f t="shared" si="64"/>
        <v>0.21991597037921978</v>
      </c>
      <c r="AD677" s="3"/>
    </row>
    <row r="678" spans="1:30" x14ac:dyDescent="0.25">
      <c r="A678" s="37">
        <v>46314</v>
      </c>
      <c r="B678" s="41">
        <v>17748148.148148119</v>
      </c>
      <c r="C678" s="41">
        <v>35185.185185185182</v>
      </c>
      <c r="D678" s="41">
        <v>50000000</v>
      </c>
      <c r="E678" s="41">
        <v>0</v>
      </c>
      <c r="F678" s="41">
        <v>50000000</v>
      </c>
      <c r="G678" s="41">
        <v>0</v>
      </c>
      <c r="H678" s="41">
        <v>50000000</v>
      </c>
      <c r="I678" s="41">
        <v>0</v>
      </c>
      <c r="J678" s="41">
        <v>32888888.888889059</v>
      </c>
      <c r="K678" s="41">
        <v>111111.11111111109</v>
      </c>
      <c r="L678" s="41">
        <v>10000000</v>
      </c>
      <c r="M678" s="41">
        <v>0</v>
      </c>
      <c r="N678" s="41">
        <v>55558333.333332852</v>
      </c>
      <c r="O678" s="41">
        <v>79166.666666666672</v>
      </c>
      <c r="P678" s="41">
        <v>75000000</v>
      </c>
      <c r="Q678" s="41">
        <v>0</v>
      </c>
      <c r="R678" s="41">
        <v>44370370.370370246</v>
      </c>
      <c r="S678" s="41">
        <v>87962.962962962964</v>
      </c>
      <c r="T678" s="41">
        <v>30851851.85185159</v>
      </c>
      <c r="U678" s="41">
        <v>64814.814814814818</v>
      </c>
      <c r="V678" s="41">
        <v>416417592.59259188</v>
      </c>
      <c r="W678" s="41">
        <v>378240.74074074079</v>
      </c>
      <c r="X678" s="38">
        <f t="shared" si="60"/>
        <v>0.83283518518518374</v>
      </c>
      <c r="Y678" s="39">
        <f t="shared" si="61"/>
        <v>7.5648148148148157E-4</v>
      </c>
      <c r="Z678" s="39">
        <f t="shared" si="65"/>
        <v>9.0914654841455921E-4</v>
      </c>
      <c r="AA678" s="41">
        <f t="shared" si="62"/>
        <v>83582407.407408118</v>
      </c>
      <c r="AB678" s="39">
        <f t="shared" si="63"/>
        <v>4.5253630814564979E-3</v>
      </c>
      <c r="AC678" s="38">
        <f t="shared" si="64"/>
        <v>0.21967233565932934</v>
      </c>
      <c r="AD678" s="3"/>
    </row>
    <row r="679" spans="1:30" x14ac:dyDescent="0.25">
      <c r="A679" s="37">
        <v>46315</v>
      </c>
      <c r="B679" s="41">
        <v>17783333.33333331</v>
      </c>
      <c r="C679" s="41">
        <v>35185.185185185182</v>
      </c>
      <c r="D679" s="41">
        <v>50000000</v>
      </c>
      <c r="E679" s="41">
        <v>0</v>
      </c>
      <c r="F679" s="41">
        <v>50000000</v>
      </c>
      <c r="G679" s="41">
        <v>0</v>
      </c>
      <c r="H679" s="41">
        <v>50000000</v>
      </c>
      <c r="I679" s="41">
        <v>0</v>
      </c>
      <c r="J679" s="41">
        <v>33000000.000000179</v>
      </c>
      <c r="K679" s="41">
        <v>111111.11111111109</v>
      </c>
      <c r="L679" s="41">
        <v>10000000</v>
      </c>
      <c r="M679" s="41">
        <v>0</v>
      </c>
      <c r="N679" s="41">
        <v>55637499.999999523</v>
      </c>
      <c r="O679" s="41">
        <v>79166.666666666672</v>
      </c>
      <c r="P679" s="41">
        <v>75000000</v>
      </c>
      <c r="Q679" s="41">
        <v>0</v>
      </c>
      <c r="R679" s="41">
        <v>44458333.333333217</v>
      </c>
      <c r="S679" s="41">
        <v>87962.962962962964</v>
      </c>
      <c r="T679" s="41">
        <v>30916666.6666664</v>
      </c>
      <c r="U679" s="41">
        <v>64814.814814814818</v>
      </c>
      <c r="V679" s="41">
        <v>416795833.3333326</v>
      </c>
      <c r="W679" s="41">
        <v>378240.74074074079</v>
      </c>
      <c r="X679" s="38">
        <f t="shared" si="60"/>
        <v>0.83359166666666518</v>
      </c>
      <c r="Y679" s="39">
        <f t="shared" si="61"/>
        <v>7.5648148148148157E-4</v>
      </c>
      <c r="Z679" s="39">
        <f t="shared" si="65"/>
        <v>9.0832075173826301E-4</v>
      </c>
      <c r="AA679" s="41">
        <f t="shared" si="62"/>
        <v>83204166.666667402</v>
      </c>
      <c r="AB679" s="39">
        <f t="shared" si="63"/>
        <v>4.5459350882756768E-3</v>
      </c>
      <c r="AC679" s="38">
        <f t="shared" si="64"/>
        <v>0.21942924016530382</v>
      </c>
      <c r="AD679" s="3"/>
    </row>
    <row r="680" spans="1:30" x14ac:dyDescent="0.25">
      <c r="A680" s="37">
        <v>46316</v>
      </c>
      <c r="B680" s="41">
        <v>17818518.5185185</v>
      </c>
      <c r="C680" s="41">
        <v>35185.185185185182</v>
      </c>
      <c r="D680" s="41">
        <v>50000000</v>
      </c>
      <c r="E680" s="41">
        <v>0</v>
      </c>
      <c r="F680" s="41">
        <v>50000000</v>
      </c>
      <c r="G680" s="41">
        <v>0</v>
      </c>
      <c r="H680" s="41">
        <v>50000000</v>
      </c>
      <c r="I680" s="41">
        <v>0</v>
      </c>
      <c r="J680" s="41">
        <v>33111111.111111291</v>
      </c>
      <c r="K680" s="41">
        <v>111111.11111111109</v>
      </c>
      <c r="L680" s="41">
        <v>10000000</v>
      </c>
      <c r="M680" s="41">
        <v>0</v>
      </c>
      <c r="N680" s="41">
        <v>55716666.66666618</v>
      </c>
      <c r="O680" s="41">
        <v>79166.666666666672</v>
      </c>
      <c r="P680" s="41">
        <v>75000000</v>
      </c>
      <c r="Q680" s="41">
        <v>0</v>
      </c>
      <c r="R680" s="41">
        <v>44546296.296296179</v>
      </c>
      <c r="S680" s="41">
        <v>87962.962962962964</v>
      </c>
      <c r="T680" s="41">
        <v>30981481.481481209</v>
      </c>
      <c r="U680" s="41">
        <v>64814.814814814818</v>
      </c>
      <c r="V680" s="41">
        <v>417174074.07407337</v>
      </c>
      <c r="W680" s="41">
        <v>378240.74074074079</v>
      </c>
      <c r="X680" s="38">
        <f t="shared" si="60"/>
        <v>0.83434814814814673</v>
      </c>
      <c r="Y680" s="39">
        <f t="shared" si="61"/>
        <v>7.5648148148148157E-4</v>
      </c>
      <c r="Z680" s="39">
        <f t="shared" si="65"/>
        <v>9.0749645387707756E-4</v>
      </c>
      <c r="AA680" s="41">
        <f t="shared" si="62"/>
        <v>82825925.925926626</v>
      </c>
      <c r="AB680" s="39">
        <f t="shared" si="63"/>
        <v>4.5666949872556969E-3</v>
      </c>
      <c r="AC680" s="38">
        <f t="shared" si="64"/>
        <v>0.21918668210895517</v>
      </c>
      <c r="AD680" s="3"/>
    </row>
    <row r="681" spans="1:30" x14ac:dyDescent="0.25">
      <c r="A681" s="37">
        <v>46317</v>
      </c>
      <c r="B681" s="41">
        <v>17853703.703703679</v>
      </c>
      <c r="C681" s="41">
        <v>35185.185185185182</v>
      </c>
      <c r="D681" s="41">
        <v>50000000</v>
      </c>
      <c r="E681" s="41">
        <v>0</v>
      </c>
      <c r="F681" s="41">
        <v>50000000</v>
      </c>
      <c r="G681" s="41">
        <v>0</v>
      </c>
      <c r="H681" s="41">
        <v>50000000</v>
      </c>
      <c r="I681" s="41">
        <v>0</v>
      </c>
      <c r="J681" s="41">
        <v>33222222.222222399</v>
      </c>
      <c r="K681" s="41">
        <v>111111.11111111109</v>
      </c>
      <c r="L681" s="41">
        <v>10000000</v>
      </c>
      <c r="M681" s="41">
        <v>0</v>
      </c>
      <c r="N681" s="41">
        <v>55795833.333332837</v>
      </c>
      <c r="O681" s="41">
        <v>79166.666666666672</v>
      </c>
      <c r="P681" s="41">
        <v>75000000</v>
      </c>
      <c r="Q681" s="41">
        <v>0</v>
      </c>
      <c r="R681" s="41">
        <v>44634259.259259142</v>
      </c>
      <c r="S681" s="41">
        <v>87962.962962962964</v>
      </c>
      <c r="T681" s="41">
        <v>31046296.29629603</v>
      </c>
      <c r="U681" s="41">
        <v>64814.814814814818</v>
      </c>
      <c r="V681" s="41">
        <v>417552314.81481409</v>
      </c>
      <c r="W681" s="41">
        <v>378240.74074074079</v>
      </c>
      <c r="X681" s="38">
        <f t="shared" si="60"/>
        <v>0.83510462962962817</v>
      </c>
      <c r="Y681" s="39">
        <f t="shared" si="61"/>
        <v>7.5648148148148157E-4</v>
      </c>
      <c r="Z681" s="39">
        <f t="shared" si="65"/>
        <v>9.0667365075419433E-4</v>
      </c>
      <c r="AA681" s="41">
        <f t="shared" si="62"/>
        <v>82447685.185185909</v>
      </c>
      <c r="AB681" s="39">
        <f t="shared" si="63"/>
        <v>4.5876453643443537E-3</v>
      </c>
      <c r="AC681" s="38">
        <f t="shared" si="64"/>
        <v>0.21894465970999338</v>
      </c>
      <c r="AD681" s="3"/>
    </row>
    <row r="682" spans="1:30" x14ac:dyDescent="0.25">
      <c r="A682" s="37">
        <v>46318</v>
      </c>
      <c r="B682" s="41">
        <v>17888888.888888869</v>
      </c>
      <c r="C682" s="41">
        <v>35185.185185185182</v>
      </c>
      <c r="D682" s="41">
        <v>50000000</v>
      </c>
      <c r="E682" s="41">
        <v>0</v>
      </c>
      <c r="F682" s="41">
        <v>50000000</v>
      </c>
      <c r="G682" s="41">
        <v>0</v>
      </c>
      <c r="H682" s="41">
        <v>50000000</v>
      </c>
      <c r="I682" s="41">
        <v>0</v>
      </c>
      <c r="J682" s="41">
        <v>33333333.333333511</v>
      </c>
      <c r="K682" s="41">
        <v>111111.11111111109</v>
      </c>
      <c r="L682" s="41">
        <v>10000000</v>
      </c>
      <c r="M682" s="41">
        <v>0</v>
      </c>
      <c r="N682" s="41">
        <v>55874999.999999508</v>
      </c>
      <c r="O682" s="41">
        <v>79166.666666666672</v>
      </c>
      <c r="P682" s="41">
        <v>75000000</v>
      </c>
      <c r="Q682" s="41">
        <v>0</v>
      </c>
      <c r="R682" s="41">
        <v>44722222.222222097</v>
      </c>
      <c r="S682" s="41">
        <v>87962.962962962964</v>
      </c>
      <c r="T682" s="41">
        <v>31111111.11111084</v>
      </c>
      <c r="U682" s="41">
        <v>64814.814814814818</v>
      </c>
      <c r="V682" s="41">
        <v>417930555.55555493</v>
      </c>
      <c r="W682" s="41">
        <v>378240.74074074079</v>
      </c>
      <c r="X682" s="38">
        <f t="shared" si="60"/>
        <v>0.83586111111110983</v>
      </c>
      <c r="Y682" s="39">
        <f t="shared" si="61"/>
        <v>7.5648148148148157E-4</v>
      </c>
      <c r="Z682" s="39">
        <f t="shared" si="65"/>
        <v>9.0585233830757679E-4</v>
      </c>
      <c r="AA682" s="41">
        <f t="shared" si="62"/>
        <v>82069444.444445074</v>
      </c>
      <c r="AB682" s="39">
        <f t="shared" si="63"/>
        <v>4.6087888531618085E-3</v>
      </c>
      <c r="AC682" s="38">
        <f t="shared" si="64"/>
        <v>0.21870317119598273</v>
      </c>
      <c r="AD682" s="3"/>
    </row>
    <row r="683" spans="1:30" x14ac:dyDescent="0.25">
      <c r="A683" s="37">
        <v>46319</v>
      </c>
      <c r="B683" s="41">
        <v>17924074.07407406</v>
      </c>
      <c r="C683" s="41">
        <v>35185.185185185182</v>
      </c>
      <c r="D683" s="41">
        <v>50000000</v>
      </c>
      <c r="E683" s="41">
        <v>0</v>
      </c>
      <c r="F683" s="41">
        <v>50000000</v>
      </c>
      <c r="G683" s="41">
        <v>0</v>
      </c>
      <c r="H683" s="41">
        <v>50000000</v>
      </c>
      <c r="I683" s="41">
        <v>0</v>
      </c>
      <c r="J683" s="41">
        <v>33444444.444444619</v>
      </c>
      <c r="K683" s="41">
        <v>111111.11111111109</v>
      </c>
      <c r="L683" s="41">
        <v>10000000</v>
      </c>
      <c r="M683" s="41">
        <v>0</v>
      </c>
      <c r="N683" s="41">
        <v>55954166.666666172</v>
      </c>
      <c r="O683" s="41">
        <v>79166.666666666672</v>
      </c>
      <c r="P683" s="41">
        <v>75000000</v>
      </c>
      <c r="Q683" s="41">
        <v>0</v>
      </c>
      <c r="R683" s="41">
        <v>44810185.185185067</v>
      </c>
      <c r="S683" s="41">
        <v>87962.962962962964</v>
      </c>
      <c r="T683" s="41">
        <v>31175925.92592565</v>
      </c>
      <c r="U683" s="41">
        <v>64814.814814814818</v>
      </c>
      <c r="V683" s="41">
        <v>418308796.29629558</v>
      </c>
      <c r="W683" s="41">
        <v>378240.74074074079</v>
      </c>
      <c r="X683" s="38">
        <f t="shared" si="60"/>
        <v>0.83661759259259116</v>
      </c>
      <c r="Y683" s="39">
        <f t="shared" si="61"/>
        <v>7.5648148148148157E-4</v>
      </c>
      <c r="Z683" s="39">
        <f t="shared" si="65"/>
        <v>9.0503251248989325E-4</v>
      </c>
      <c r="AA683" s="41">
        <f t="shared" si="62"/>
        <v>81691203.703704417</v>
      </c>
      <c r="AB683" s="39">
        <f t="shared" si="63"/>
        <v>4.630128136104192E-3</v>
      </c>
      <c r="AC683" s="38">
        <f t="shared" si="64"/>
        <v>0.21846221480229888</v>
      </c>
      <c r="AD683" s="3"/>
    </row>
    <row r="684" spans="1:30" x14ac:dyDescent="0.25">
      <c r="A684" s="37">
        <v>46320</v>
      </c>
      <c r="B684" s="41">
        <v>17959259.259259239</v>
      </c>
      <c r="C684" s="41">
        <v>35185.185185185182</v>
      </c>
      <c r="D684" s="41">
        <v>50000000</v>
      </c>
      <c r="E684" s="41">
        <v>0</v>
      </c>
      <c r="F684" s="41">
        <v>50000000</v>
      </c>
      <c r="G684" s="41">
        <v>0</v>
      </c>
      <c r="H684" s="41">
        <v>50000000</v>
      </c>
      <c r="I684" s="41">
        <v>0</v>
      </c>
      <c r="J684" s="41">
        <v>33555555.555555731</v>
      </c>
      <c r="K684" s="41">
        <v>111111.11111111109</v>
      </c>
      <c r="L684" s="41">
        <v>10000000</v>
      </c>
      <c r="M684" s="41">
        <v>0</v>
      </c>
      <c r="N684" s="41">
        <v>56033333.333332837</v>
      </c>
      <c r="O684" s="41">
        <v>79166.666666666672</v>
      </c>
      <c r="P684" s="41">
        <v>75000000</v>
      </c>
      <c r="Q684" s="41">
        <v>0</v>
      </c>
      <c r="R684" s="41">
        <v>44898148.14814803</v>
      </c>
      <c r="S684" s="41">
        <v>87962.962962962964</v>
      </c>
      <c r="T684" s="41">
        <v>31240740.740740471</v>
      </c>
      <c r="U684" s="41">
        <v>64814.814814814818</v>
      </c>
      <c r="V684" s="41">
        <v>418687037.03703642</v>
      </c>
      <c r="W684" s="41">
        <v>378240.74074074079</v>
      </c>
      <c r="X684" s="38">
        <f t="shared" si="60"/>
        <v>0.83737407407407283</v>
      </c>
      <c r="Y684" s="39">
        <f t="shared" si="61"/>
        <v>7.5648148148148157E-4</v>
      </c>
      <c r="Z684" s="39">
        <f t="shared" si="65"/>
        <v>9.0421416926845144E-4</v>
      </c>
      <c r="AA684" s="41">
        <f t="shared" si="62"/>
        <v>81312962.962963581</v>
      </c>
      <c r="AB684" s="39">
        <f t="shared" si="63"/>
        <v>4.6516659454781135E-3</v>
      </c>
      <c r="AC684" s="38">
        <f t="shared" si="64"/>
        <v>0.21822178877208526</v>
      </c>
      <c r="AD684" s="3"/>
    </row>
    <row r="685" spans="1:30" x14ac:dyDescent="0.25">
      <c r="A685" s="37">
        <v>46321</v>
      </c>
      <c r="B685" s="41">
        <v>17994444.444444429</v>
      </c>
      <c r="C685" s="41">
        <v>35185.185185185182</v>
      </c>
      <c r="D685" s="41">
        <v>50000000</v>
      </c>
      <c r="E685" s="41">
        <v>0</v>
      </c>
      <c r="F685" s="41">
        <v>50000000</v>
      </c>
      <c r="G685" s="41">
        <v>0</v>
      </c>
      <c r="H685" s="41">
        <v>50000000</v>
      </c>
      <c r="I685" s="41">
        <v>0</v>
      </c>
      <c r="J685" s="41">
        <v>33666666.666666843</v>
      </c>
      <c r="K685" s="41">
        <v>111111.11111111109</v>
      </c>
      <c r="L685" s="41">
        <v>10000000</v>
      </c>
      <c r="M685" s="41">
        <v>0</v>
      </c>
      <c r="N685" s="41">
        <v>56112499.999999501</v>
      </c>
      <c r="O685" s="41">
        <v>79166.666666666672</v>
      </c>
      <c r="P685" s="41">
        <v>75000000</v>
      </c>
      <c r="Q685" s="41">
        <v>0</v>
      </c>
      <c r="R685" s="41">
        <v>44986111.111110993</v>
      </c>
      <c r="S685" s="41">
        <v>87962.962962962964</v>
      </c>
      <c r="T685" s="41">
        <v>31305555.55555528</v>
      </c>
      <c r="U685" s="41">
        <v>64814.814814814818</v>
      </c>
      <c r="V685" s="41">
        <v>419065277.77777702</v>
      </c>
      <c r="W685" s="41">
        <v>378240.74074074079</v>
      </c>
      <c r="X685" s="38">
        <f t="shared" si="60"/>
        <v>0.83813055555555405</v>
      </c>
      <c r="Y685" s="39">
        <f t="shared" si="61"/>
        <v>7.5648148148148157E-4</v>
      </c>
      <c r="Z685" s="39">
        <f t="shared" si="65"/>
        <v>9.0339730462513025E-4</v>
      </c>
      <c r="AA685" s="41">
        <f t="shared" si="62"/>
        <v>80934722.222222984</v>
      </c>
      <c r="AB685" s="39">
        <f t="shared" si="63"/>
        <v>4.6734050646668407E-3</v>
      </c>
      <c r="AC685" s="38">
        <f t="shared" si="64"/>
        <v>0.21798189135621115</v>
      </c>
      <c r="AD685" s="3"/>
    </row>
    <row r="686" spans="1:30" x14ac:dyDescent="0.25">
      <c r="A686" s="37">
        <v>46322</v>
      </c>
      <c r="B686" s="41">
        <v>18029629.629629619</v>
      </c>
      <c r="C686" s="41">
        <v>35185.185185185182</v>
      </c>
      <c r="D686" s="41">
        <v>50000000</v>
      </c>
      <c r="E686" s="41">
        <v>0</v>
      </c>
      <c r="F686" s="41">
        <v>50000000</v>
      </c>
      <c r="G686" s="41">
        <v>0</v>
      </c>
      <c r="H686" s="41">
        <v>50000000</v>
      </c>
      <c r="I686" s="41">
        <v>0</v>
      </c>
      <c r="J686" s="41">
        <v>33777777.777777947</v>
      </c>
      <c r="K686" s="41">
        <v>111111.11111111109</v>
      </c>
      <c r="L686" s="41">
        <v>10000000</v>
      </c>
      <c r="M686" s="41">
        <v>0</v>
      </c>
      <c r="N686" s="41">
        <v>56191666.666666158</v>
      </c>
      <c r="O686" s="41">
        <v>79166.666666666672</v>
      </c>
      <c r="P686" s="41">
        <v>75000000</v>
      </c>
      <c r="Q686" s="41">
        <v>0</v>
      </c>
      <c r="R686" s="41">
        <v>45074074.074073963</v>
      </c>
      <c r="S686" s="41">
        <v>87962.962962962964</v>
      </c>
      <c r="T686" s="41">
        <v>31370370.37037009</v>
      </c>
      <c r="U686" s="41">
        <v>64814.814814814818</v>
      </c>
      <c r="V686" s="41">
        <v>419443518.51851779</v>
      </c>
      <c r="W686" s="41">
        <v>378240.74074074079</v>
      </c>
      <c r="X686" s="38">
        <f t="shared" si="60"/>
        <v>0.8388870370370356</v>
      </c>
      <c r="Y686" s="39">
        <f t="shared" si="61"/>
        <v>7.5648148148148157E-4</v>
      </c>
      <c r="Z686" s="39">
        <f t="shared" si="65"/>
        <v>9.0258191455631703E-4</v>
      </c>
      <c r="AA686" s="41">
        <f t="shared" si="62"/>
        <v>80556481.481482208</v>
      </c>
      <c r="AB686" s="39">
        <f t="shared" si="63"/>
        <v>4.6953483293295066E-3</v>
      </c>
      <c r="AC686" s="38">
        <f t="shared" si="64"/>
        <v>0.21774252081322845</v>
      </c>
      <c r="AD686" s="3"/>
    </row>
    <row r="687" spans="1:30" x14ac:dyDescent="0.25">
      <c r="A687" s="37">
        <v>46323</v>
      </c>
      <c r="B687" s="41">
        <v>18064814.814814799</v>
      </c>
      <c r="C687" s="41">
        <v>35185.185185185182</v>
      </c>
      <c r="D687" s="41">
        <v>50000000</v>
      </c>
      <c r="E687" s="41">
        <v>0</v>
      </c>
      <c r="F687" s="41">
        <v>50000000</v>
      </c>
      <c r="G687" s="41">
        <v>0</v>
      </c>
      <c r="H687" s="41">
        <v>50000000</v>
      </c>
      <c r="I687" s="41">
        <v>0</v>
      </c>
      <c r="J687" s="41">
        <v>33888888.888889067</v>
      </c>
      <c r="K687" s="41">
        <v>111111.11111111109</v>
      </c>
      <c r="L687" s="41">
        <v>10000000</v>
      </c>
      <c r="M687" s="41">
        <v>0</v>
      </c>
      <c r="N687" s="41">
        <v>56270833.333332829</v>
      </c>
      <c r="O687" s="41">
        <v>79166.666666666672</v>
      </c>
      <c r="P687" s="41">
        <v>75000000</v>
      </c>
      <c r="Q687" s="41">
        <v>0</v>
      </c>
      <c r="R687" s="41">
        <v>45162037.037036918</v>
      </c>
      <c r="S687" s="41">
        <v>87962.962962962964</v>
      </c>
      <c r="T687" s="41">
        <v>31435185.185184911</v>
      </c>
      <c r="U687" s="41">
        <v>64814.814814814818</v>
      </c>
      <c r="V687" s="41">
        <v>419821759.25925851</v>
      </c>
      <c r="W687" s="41">
        <v>378240.74074074079</v>
      </c>
      <c r="X687" s="38">
        <f t="shared" si="60"/>
        <v>0.83964351851851704</v>
      </c>
      <c r="Y687" s="39">
        <f t="shared" si="61"/>
        <v>7.5648148148148157E-4</v>
      </c>
      <c r="Z687" s="39">
        <f t="shared" si="65"/>
        <v>9.0176799507283851E-4</v>
      </c>
      <c r="AA687" s="41">
        <f t="shared" si="62"/>
        <v>80178240.740741491</v>
      </c>
      <c r="AB687" s="39">
        <f t="shared" si="63"/>
        <v>4.7174986286340759E-3</v>
      </c>
      <c r="AC687" s="38">
        <f t="shared" si="64"/>
        <v>0.2175036754093303</v>
      </c>
      <c r="AD687" s="3"/>
    </row>
    <row r="688" spans="1:30" x14ac:dyDescent="0.25">
      <c r="A688" s="37">
        <v>46324</v>
      </c>
      <c r="B688" s="41">
        <v>18099999.999999989</v>
      </c>
      <c r="C688" s="41">
        <v>35185.185185185182</v>
      </c>
      <c r="D688" s="41">
        <v>50000000</v>
      </c>
      <c r="E688" s="41">
        <v>0</v>
      </c>
      <c r="F688" s="41">
        <v>50000000</v>
      </c>
      <c r="G688" s="41">
        <v>0</v>
      </c>
      <c r="H688" s="41">
        <v>50000000</v>
      </c>
      <c r="I688" s="41">
        <v>0</v>
      </c>
      <c r="J688" s="41">
        <v>34000000.000000179</v>
      </c>
      <c r="K688" s="41">
        <v>111111.11111111109</v>
      </c>
      <c r="L688" s="41">
        <v>10000000</v>
      </c>
      <c r="M688" s="41">
        <v>0</v>
      </c>
      <c r="N688" s="41">
        <v>56349999.999999493</v>
      </c>
      <c r="O688" s="41">
        <v>79166.666666666672</v>
      </c>
      <c r="P688" s="41">
        <v>75000000</v>
      </c>
      <c r="Q688" s="41">
        <v>0</v>
      </c>
      <c r="R688" s="41">
        <v>45249999.999999881</v>
      </c>
      <c r="S688" s="41">
        <v>87962.962962962964</v>
      </c>
      <c r="T688" s="41">
        <v>31499999.999999721</v>
      </c>
      <c r="U688" s="41">
        <v>64814.814814814818</v>
      </c>
      <c r="V688" s="41">
        <v>420199999.99999923</v>
      </c>
      <c r="W688" s="41">
        <v>378240.74074074079</v>
      </c>
      <c r="X688" s="38">
        <f t="shared" si="60"/>
        <v>0.84039999999999848</v>
      </c>
      <c r="Y688" s="39">
        <f t="shared" si="61"/>
        <v>7.5648148148148157E-4</v>
      </c>
      <c r="Z688" s="39">
        <f t="shared" si="65"/>
        <v>9.0095554219989918E-4</v>
      </c>
      <c r="AA688" s="41">
        <f t="shared" si="62"/>
        <v>79800000.000000775</v>
      </c>
      <c r="AB688" s="39">
        <f t="shared" si="63"/>
        <v>4.7398589065255278E-3</v>
      </c>
      <c r="AC688" s="38">
        <f t="shared" si="64"/>
        <v>0.21726535341830872</v>
      </c>
      <c r="AD688" s="3"/>
    </row>
    <row r="689" spans="1:30" x14ac:dyDescent="0.25">
      <c r="A689" s="37">
        <v>46325</v>
      </c>
      <c r="B689" s="41">
        <v>18135185.185185179</v>
      </c>
      <c r="C689" s="41">
        <v>35185.185185185182</v>
      </c>
      <c r="D689" s="41">
        <v>50000000</v>
      </c>
      <c r="E689" s="41">
        <v>0</v>
      </c>
      <c r="F689" s="41">
        <v>50000000</v>
      </c>
      <c r="G689" s="41">
        <v>0</v>
      </c>
      <c r="H689" s="41">
        <v>50000000</v>
      </c>
      <c r="I689" s="41">
        <v>0</v>
      </c>
      <c r="J689" s="41">
        <v>34111111.111111291</v>
      </c>
      <c r="K689" s="41">
        <v>111111.11111111109</v>
      </c>
      <c r="L689" s="41">
        <v>10000000</v>
      </c>
      <c r="M689" s="41">
        <v>0</v>
      </c>
      <c r="N689" s="41">
        <v>56429166.666666158</v>
      </c>
      <c r="O689" s="41">
        <v>79166.666666666672</v>
      </c>
      <c r="P689" s="41">
        <v>75000000</v>
      </c>
      <c r="Q689" s="41">
        <v>0</v>
      </c>
      <c r="R689" s="41">
        <v>45337962.962962843</v>
      </c>
      <c r="S689" s="41">
        <v>87962.962962962964</v>
      </c>
      <c r="T689" s="41">
        <v>31564814.81481453</v>
      </c>
      <c r="U689" s="41">
        <v>64814.814814814818</v>
      </c>
      <c r="V689" s="41">
        <v>420578240.74074</v>
      </c>
      <c r="W689" s="41">
        <v>378240.74074074079</v>
      </c>
      <c r="X689" s="38">
        <f t="shared" si="60"/>
        <v>0.84115648148148003</v>
      </c>
      <c r="Y689" s="39">
        <f t="shared" si="61"/>
        <v>7.5648148148148157E-4</v>
      </c>
      <c r="Z689" s="39">
        <f t="shared" si="65"/>
        <v>9.0014455197701452E-4</v>
      </c>
      <c r="AA689" s="41">
        <f t="shared" si="62"/>
        <v>79421759.259259999</v>
      </c>
      <c r="AB689" s="39">
        <f t="shared" si="63"/>
        <v>4.7624321630301922E-3</v>
      </c>
      <c r="AC689" s="38">
        <f t="shared" si="64"/>
        <v>0.21702755312151312</v>
      </c>
      <c r="AD689" s="3"/>
    </row>
    <row r="690" spans="1:30" x14ac:dyDescent="0.25">
      <c r="A690" s="37">
        <v>46326</v>
      </c>
      <c r="B690" s="41">
        <v>18170370.370370358</v>
      </c>
      <c r="C690" s="41">
        <v>35185.185185185182</v>
      </c>
      <c r="D690" s="41">
        <v>50000000</v>
      </c>
      <c r="E690" s="41">
        <v>0</v>
      </c>
      <c r="F690" s="41">
        <v>50000000</v>
      </c>
      <c r="G690" s="41">
        <v>0</v>
      </c>
      <c r="H690" s="41">
        <v>50000000</v>
      </c>
      <c r="I690" s="41">
        <v>0</v>
      </c>
      <c r="J690" s="41">
        <v>34222222.222222403</v>
      </c>
      <c r="K690" s="41">
        <v>111111.11111111109</v>
      </c>
      <c r="L690" s="41">
        <v>10000000</v>
      </c>
      <c r="M690" s="41">
        <v>0</v>
      </c>
      <c r="N690" s="41">
        <v>56508333.333332822</v>
      </c>
      <c r="O690" s="41">
        <v>79166.666666666672</v>
      </c>
      <c r="P690" s="41">
        <v>75000000</v>
      </c>
      <c r="Q690" s="41">
        <v>0</v>
      </c>
      <c r="R690" s="41">
        <v>45425925.925925814</v>
      </c>
      <c r="S690" s="41">
        <v>87962.962962962964</v>
      </c>
      <c r="T690" s="41">
        <v>31629629.629629351</v>
      </c>
      <c r="U690" s="41">
        <v>64814.814814814818</v>
      </c>
      <c r="V690" s="41">
        <v>420956481.48148078</v>
      </c>
      <c r="W690" s="41">
        <v>378240.74074074079</v>
      </c>
      <c r="X690" s="38">
        <f t="shared" si="60"/>
        <v>0.84191296296296159</v>
      </c>
      <c r="Y690" s="39">
        <f t="shared" si="61"/>
        <v>7.5648148148148157E-4</v>
      </c>
      <c r="Z690" s="39">
        <f t="shared" si="65"/>
        <v>8.993350204579471E-4</v>
      </c>
      <c r="AA690" s="41">
        <f t="shared" si="62"/>
        <v>79043518.518519223</v>
      </c>
      <c r="AB690" s="39">
        <f t="shared" si="63"/>
        <v>4.7852214555975546E-3</v>
      </c>
      <c r="AC690" s="38">
        <f t="shared" si="64"/>
        <v>0.21679027280780919</v>
      </c>
      <c r="AD690" s="3"/>
    </row>
    <row r="691" spans="1:30" x14ac:dyDescent="0.25">
      <c r="A691" s="37">
        <v>46327</v>
      </c>
      <c r="B691" s="41">
        <v>18205555.555555549</v>
      </c>
      <c r="C691" s="41">
        <v>35185.185185185182</v>
      </c>
      <c r="D691" s="41">
        <v>50000000</v>
      </c>
      <c r="E691" s="41">
        <v>0</v>
      </c>
      <c r="F691" s="41">
        <v>50000000</v>
      </c>
      <c r="G691" s="41">
        <v>0</v>
      </c>
      <c r="H691" s="41">
        <v>50000000</v>
      </c>
      <c r="I691" s="41">
        <v>0</v>
      </c>
      <c r="J691" s="41">
        <v>34333333.333333507</v>
      </c>
      <c r="K691" s="41">
        <v>111111.11111111109</v>
      </c>
      <c r="L691" s="41">
        <v>10000000</v>
      </c>
      <c r="M691" s="41">
        <v>0</v>
      </c>
      <c r="N691" s="41">
        <v>56587499.999999493</v>
      </c>
      <c r="O691" s="41">
        <v>79166.666666666672</v>
      </c>
      <c r="P691" s="41">
        <v>75000000</v>
      </c>
      <c r="Q691" s="41">
        <v>0</v>
      </c>
      <c r="R691" s="41">
        <v>45513888.888888769</v>
      </c>
      <c r="S691" s="41">
        <v>87962.962962962964</v>
      </c>
      <c r="T691" s="41">
        <v>31694444.444444161</v>
      </c>
      <c r="U691" s="41">
        <v>64814.814814814818</v>
      </c>
      <c r="V691" s="41">
        <v>421334722.22222149</v>
      </c>
      <c r="W691" s="41">
        <v>378240.74074074079</v>
      </c>
      <c r="X691" s="38">
        <f t="shared" si="60"/>
        <v>0.84266944444444303</v>
      </c>
      <c r="Y691" s="39">
        <f t="shared" si="61"/>
        <v>7.5648148148148157E-4</v>
      </c>
      <c r="Z691" s="39">
        <f t="shared" si="65"/>
        <v>8.9852694371064291E-4</v>
      </c>
      <c r="AA691" s="41">
        <f t="shared" si="62"/>
        <v>78665277.777778506</v>
      </c>
      <c r="AB691" s="39">
        <f t="shared" si="63"/>
        <v>4.8082299004807792E-3</v>
      </c>
      <c r="AC691" s="38">
        <f t="shared" si="64"/>
        <v>0.21655351077353763</v>
      </c>
      <c r="AD691" s="3"/>
    </row>
    <row r="692" spans="1:30" x14ac:dyDescent="0.25">
      <c r="A692" s="37">
        <v>46328</v>
      </c>
      <c r="B692" s="41">
        <v>18240740.740740739</v>
      </c>
      <c r="C692" s="41">
        <v>35185.185185185182</v>
      </c>
      <c r="D692" s="41">
        <v>50000000</v>
      </c>
      <c r="E692" s="41">
        <v>0</v>
      </c>
      <c r="F692" s="41">
        <v>50000000</v>
      </c>
      <c r="G692" s="41">
        <v>0</v>
      </c>
      <c r="H692" s="41">
        <v>50000000</v>
      </c>
      <c r="I692" s="41">
        <v>0</v>
      </c>
      <c r="J692" s="41">
        <v>34444444.444444627</v>
      </c>
      <c r="K692" s="41">
        <v>111111.11111111109</v>
      </c>
      <c r="L692" s="41">
        <v>10000000</v>
      </c>
      <c r="M692" s="41">
        <v>0</v>
      </c>
      <c r="N692" s="41">
        <v>56666666.66666615</v>
      </c>
      <c r="O692" s="41">
        <v>79166.666666666672</v>
      </c>
      <c r="P692" s="41">
        <v>75000000</v>
      </c>
      <c r="Q692" s="41">
        <v>0</v>
      </c>
      <c r="R692" s="41">
        <v>45601851.851851732</v>
      </c>
      <c r="S692" s="41">
        <v>87962.962962962964</v>
      </c>
      <c r="T692" s="41">
        <v>31759259.259258971</v>
      </c>
      <c r="U692" s="41">
        <v>64814.814814814818</v>
      </c>
      <c r="V692" s="41">
        <v>421712962.96296221</v>
      </c>
      <c r="W692" s="41">
        <v>378240.74074074079</v>
      </c>
      <c r="X692" s="38">
        <f t="shared" si="60"/>
        <v>0.84342592592592447</v>
      </c>
      <c r="Y692" s="39">
        <f t="shared" si="61"/>
        <v>7.5648148148148157E-4</v>
      </c>
      <c r="Z692" s="39">
        <f t="shared" si="65"/>
        <v>8.9772031781716784E-4</v>
      </c>
      <c r="AA692" s="41">
        <f t="shared" si="62"/>
        <v>78287037.03703779</v>
      </c>
      <c r="AB692" s="39">
        <f t="shared" si="63"/>
        <v>4.8314606741572579E-3</v>
      </c>
      <c r="AC692" s="38">
        <f t="shared" si="64"/>
        <v>0.21631726532247342</v>
      </c>
      <c r="AD692" s="3"/>
    </row>
    <row r="693" spans="1:30" x14ac:dyDescent="0.25">
      <c r="A693" s="37">
        <v>46329</v>
      </c>
      <c r="B693" s="41">
        <v>18275925.925925922</v>
      </c>
      <c r="C693" s="41">
        <v>35185.185185185182</v>
      </c>
      <c r="D693" s="41">
        <v>50000000</v>
      </c>
      <c r="E693" s="41">
        <v>0</v>
      </c>
      <c r="F693" s="41">
        <v>50000000</v>
      </c>
      <c r="G693" s="41">
        <v>0</v>
      </c>
      <c r="H693" s="41">
        <v>50000000</v>
      </c>
      <c r="I693" s="41">
        <v>0</v>
      </c>
      <c r="J693" s="41">
        <v>34555555.555555739</v>
      </c>
      <c r="K693" s="41">
        <v>111111.11111111109</v>
      </c>
      <c r="L693" s="41">
        <v>10000000</v>
      </c>
      <c r="M693" s="41">
        <v>0</v>
      </c>
      <c r="N693" s="41">
        <v>56745833.333332807</v>
      </c>
      <c r="O693" s="41">
        <v>79166.666666666672</v>
      </c>
      <c r="P693" s="41">
        <v>75000000</v>
      </c>
      <c r="Q693" s="41">
        <v>0</v>
      </c>
      <c r="R693" s="41">
        <v>45689814.814814687</v>
      </c>
      <c r="S693" s="41">
        <v>87962.962962962964</v>
      </c>
      <c r="T693" s="41">
        <v>31824074.074073792</v>
      </c>
      <c r="U693" s="41">
        <v>64814.814814814818</v>
      </c>
      <c r="V693" s="41">
        <v>422091203.70370293</v>
      </c>
      <c r="W693" s="41">
        <v>378240.74074074079</v>
      </c>
      <c r="X693" s="38">
        <f t="shared" si="60"/>
        <v>0.8441824074074058</v>
      </c>
      <c r="Y693" s="39">
        <f t="shared" si="61"/>
        <v>7.5648148148148157E-4</v>
      </c>
      <c r="Z693" s="39">
        <f t="shared" si="65"/>
        <v>8.9691513887364314E-4</v>
      </c>
      <c r="AA693" s="41">
        <f t="shared" si="62"/>
        <v>77908796.296297073</v>
      </c>
      <c r="AB693" s="39">
        <f t="shared" si="63"/>
        <v>4.8549170147905137E-3</v>
      </c>
      <c r="AC693" s="38">
        <f t="shared" si="64"/>
        <v>0.21608153476578543</v>
      </c>
      <c r="AD693" s="3"/>
    </row>
    <row r="694" spans="1:30" x14ac:dyDescent="0.25">
      <c r="A694" s="37">
        <v>46330</v>
      </c>
      <c r="B694" s="41">
        <v>18311111.111111108</v>
      </c>
      <c r="C694" s="41">
        <v>35185.185185185182</v>
      </c>
      <c r="D694" s="41">
        <v>50000000</v>
      </c>
      <c r="E694" s="41">
        <v>0</v>
      </c>
      <c r="F694" s="41">
        <v>50000000</v>
      </c>
      <c r="G694" s="41">
        <v>0</v>
      </c>
      <c r="H694" s="41">
        <v>50000000</v>
      </c>
      <c r="I694" s="41">
        <v>0</v>
      </c>
      <c r="J694" s="41">
        <v>34666666.66666685</v>
      </c>
      <c r="K694" s="41">
        <v>111111.11111111109</v>
      </c>
      <c r="L694" s="41">
        <v>10000000</v>
      </c>
      <c r="M694" s="41">
        <v>0</v>
      </c>
      <c r="N694" s="41">
        <v>56824999.999999478</v>
      </c>
      <c r="O694" s="41">
        <v>79166.666666666672</v>
      </c>
      <c r="P694" s="41">
        <v>75000000</v>
      </c>
      <c r="Q694" s="41">
        <v>0</v>
      </c>
      <c r="R694" s="41">
        <v>45777777.777777657</v>
      </c>
      <c r="S694" s="41">
        <v>87962.962962962964</v>
      </c>
      <c r="T694" s="41">
        <v>31888888.888888601</v>
      </c>
      <c r="U694" s="41">
        <v>64814.814814814818</v>
      </c>
      <c r="V694" s="41">
        <v>422469444.4444437</v>
      </c>
      <c r="W694" s="41">
        <v>378240.74074074079</v>
      </c>
      <c r="X694" s="38">
        <f t="shared" si="60"/>
        <v>0.84493888888888735</v>
      </c>
      <c r="Y694" s="39">
        <f t="shared" si="61"/>
        <v>7.5648148148148157E-4</v>
      </c>
      <c r="Z694" s="39">
        <f t="shared" si="65"/>
        <v>8.9611140299018397E-4</v>
      </c>
      <c r="AA694" s="41">
        <f t="shared" si="62"/>
        <v>77530555.555556297</v>
      </c>
      <c r="AB694" s="39">
        <f t="shared" si="63"/>
        <v>4.8786022237349213E-3</v>
      </c>
      <c r="AC694" s="38">
        <f t="shared" si="64"/>
        <v>0.215846317421996</v>
      </c>
      <c r="AD694" s="3"/>
    </row>
    <row r="695" spans="1:30" x14ac:dyDescent="0.25">
      <c r="A695" s="37">
        <v>46331</v>
      </c>
      <c r="B695" s="41">
        <v>18346296.296296291</v>
      </c>
      <c r="C695" s="41">
        <v>35185.185185185182</v>
      </c>
      <c r="D695" s="41">
        <v>50000000</v>
      </c>
      <c r="E695" s="41">
        <v>0</v>
      </c>
      <c r="F695" s="41">
        <v>50000000</v>
      </c>
      <c r="G695" s="41">
        <v>0</v>
      </c>
      <c r="H695" s="41">
        <v>50000000</v>
      </c>
      <c r="I695" s="41">
        <v>0</v>
      </c>
      <c r="J695" s="41">
        <v>34777777.777777962</v>
      </c>
      <c r="K695" s="41">
        <v>111111.11111111109</v>
      </c>
      <c r="L695" s="41">
        <v>10000000</v>
      </c>
      <c r="M695" s="41">
        <v>0</v>
      </c>
      <c r="N695" s="41">
        <v>56904166.666666143</v>
      </c>
      <c r="O695" s="41">
        <v>79166.666666666672</v>
      </c>
      <c r="P695" s="41">
        <v>75000000</v>
      </c>
      <c r="Q695" s="41">
        <v>0</v>
      </c>
      <c r="R695" s="41">
        <v>45865740.74074062</v>
      </c>
      <c r="S695" s="41">
        <v>87962.962962962964</v>
      </c>
      <c r="T695" s="41">
        <v>31953703.703703411</v>
      </c>
      <c r="U695" s="41">
        <v>64814.814814814818</v>
      </c>
      <c r="V695" s="41">
        <v>422847685.18518442</v>
      </c>
      <c r="W695" s="41">
        <v>378240.74074074079</v>
      </c>
      <c r="X695" s="38">
        <f t="shared" si="60"/>
        <v>0.84569537037036879</v>
      </c>
      <c r="Y695" s="39">
        <f t="shared" si="61"/>
        <v>7.5648148148148157E-4</v>
      </c>
      <c r="Z695" s="39">
        <f t="shared" si="65"/>
        <v>8.9530910629083578E-4</v>
      </c>
      <c r="AA695" s="41">
        <f t="shared" si="62"/>
        <v>77152314.814815581</v>
      </c>
      <c r="AB695" s="39">
        <f t="shared" si="63"/>
        <v>4.9025196670846628E-3</v>
      </c>
      <c r="AC695" s="38">
        <f t="shared" si="64"/>
        <v>0.21561161161694115</v>
      </c>
      <c r="AD695" s="3"/>
    </row>
    <row r="696" spans="1:30" x14ac:dyDescent="0.25">
      <c r="A696" s="37">
        <v>46332</v>
      </c>
      <c r="B696" s="41">
        <v>18381481.481481481</v>
      </c>
      <c r="C696" s="41">
        <v>35185.185185185182</v>
      </c>
      <c r="D696" s="41">
        <v>50000000</v>
      </c>
      <c r="E696" s="41">
        <v>0</v>
      </c>
      <c r="F696" s="41">
        <v>50000000</v>
      </c>
      <c r="G696" s="41">
        <v>0</v>
      </c>
      <c r="H696" s="41">
        <v>50000000</v>
      </c>
      <c r="I696" s="41">
        <v>0</v>
      </c>
      <c r="J696" s="41">
        <v>34888888.888889067</v>
      </c>
      <c r="K696" s="41">
        <v>111111.11111111109</v>
      </c>
      <c r="L696" s="41">
        <v>10000000</v>
      </c>
      <c r="M696" s="41">
        <v>0</v>
      </c>
      <c r="N696" s="41">
        <v>56983333.333332807</v>
      </c>
      <c r="O696" s="41">
        <v>79166.666666666672</v>
      </c>
      <c r="P696" s="41">
        <v>75000000</v>
      </c>
      <c r="Q696" s="41">
        <v>0</v>
      </c>
      <c r="R696" s="41">
        <v>45953703.703703582</v>
      </c>
      <c r="S696" s="41">
        <v>87962.962962962964</v>
      </c>
      <c r="T696" s="41">
        <v>32018518.518518232</v>
      </c>
      <c r="U696" s="41">
        <v>64814.814814814818</v>
      </c>
      <c r="V696" s="41">
        <v>423225925.9259252</v>
      </c>
      <c r="W696" s="41">
        <v>378240.74074074079</v>
      </c>
      <c r="X696" s="38">
        <f t="shared" si="60"/>
        <v>0.84645185185185035</v>
      </c>
      <c r="Y696" s="39">
        <f t="shared" si="61"/>
        <v>7.5648148148148157E-4</v>
      </c>
      <c r="Z696" s="39">
        <f t="shared" si="65"/>
        <v>8.9450824491351256E-4</v>
      </c>
      <c r="AA696" s="41">
        <f t="shared" si="62"/>
        <v>76774074.074074805</v>
      </c>
      <c r="AB696" s="39">
        <f t="shared" si="63"/>
        <v>4.9266727772685143E-3</v>
      </c>
      <c r="AC696" s="38">
        <f t="shared" si="64"/>
        <v>0.21537741568373067</v>
      </c>
      <c r="AD696" s="3"/>
    </row>
    <row r="697" spans="1:30" x14ac:dyDescent="0.25">
      <c r="A697" s="37">
        <v>46333</v>
      </c>
      <c r="B697" s="41">
        <v>18416666.666666672</v>
      </c>
      <c r="C697" s="41">
        <v>35185.185185185182</v>
      </c>
      <c r="D697" s="41">
        <v>50000000</v>
      </c>
      <c r="E697" s="41">
        <v>0</v>
      </c>
      <c r="F697" s="41">
        <v>50000000</v>
      </c>
      <c r="G697" s="41">
        <v>0</v>
      </c>
      <c r="H697" s="41">
        <v>50000000</v>
      </c>
      <c r="I697" s="41">
        <v>0</v>
      </c>
      <c r="J697" s="41">
        <v>35000000.000000194</v>
      </c>
      <c r="K697" s="41">
        <v>111111.11111111109</v>
      </c>
      <c r="L697" s="41">
        <v>10000000</v>
      </c>
      <c r="M697" s="41">
        <v>0</v>
      </c>
      <c r="N697" s="41">
        <v>57062499.999999471</v>
      </c>
      <c r="O697" s="41">
        <v>79166.666666666672</v>
      </c>
      <c r="P697" s="41">
        <v>75000000</v>
      </c>
      <c r="Q697" s="41">
        <v>0</v>
      </c>
      <c r="R697" s="41">
        <v>46041666.666666538</v>
      </c>
      <c r="S697" s="41">
        <v>87962.962962962964</v>
      </c>
      <c r="T697" s="41">
        <v>32083333.333333042</v>
      </c>
      <c r="U697" s="41">
        <v>64814.814814814818</v>
      </c>
      <c r="V697" s="41">
        <v>423604166.66666591</v>
      </c>
      <c r="W697" s="41">
        <v>378240.74074074079</v>
      </c>
      <c r="X697" s="38">
        <f t="shared" si="60"/>
        <v>0.84720833333333179</v>
      </c>
      <c r="Y697" s="39">
        <f t="shared" si="61"/>
        <v>7.5648148148148157E-4</v>
      </c>
      <c r="Z697" s="39">
        <f t="shared" si="65"/>
        <v>8.9370881500993422E-4</v>
      </c>
      <c r="AA697" s="41">
        <f t="shared" si="62"/>
        <v>76395833.333334088</v>
      </c>
      <c r="AB697" s="39">
        <f t="shared" si="63"/>
        <v>4.951065054691949E-3</v>
      </c>
      <c r="AC697" s="38">
        <f t="shared" si="64"/>
        <v>0.21514372796270889</v>
      </c>
      <c r="AD697" s="3"/>
    </row>
    <row r="698" spans="1:30" x14ac:dyDescent="0.25">
      <c r="A698" s="37">
        <v>46334</v>
      </c>
      <c r="B698" s="41">
        <v>18451851.851851851</v>
      </c>
      <c r="C698" s="41">
        <v>35185.185185185182</v>
      </c>
      <c r="D698" s="41">
        <v>50000000</v>
      </c>
      <c r="E698" s="41">
        <v>0</v>
      </c>
      <c r="F698" s="41">
        <v>50000000</v>
      </c>
      <c r="G698" s="41">
        <v>0</v>
      </c>
      <c r="H698" s="41">
        <v>50000000</v>
      </c>
      <c r="I698" s="41">
        <v>0</v>
      </c>
      <c r="J698" s="41">
        <v>35111111.111111298</v>
      </c>
      <c r="K698" s="41">
        <v>111111.11111111109</v>
      </c>
      <c r="L698" s="41">
        <v>10000000</v>
      </c>
      <c r="M698" s="41">
        <v>0</v>
      </c>
      <c r="N698" s="41">
        <v>57141666.666666143</v>
      </c>
      <c r="O698" s="41">
        <v>79166.666666666672</v>
      </c>
      <c r="P698" s="41">
        <v>75000000</v>
      </c>
      <c r="Q698" s="41">
        <v>0</v>
      </c>
      <c r="R698" s="41">
        <v>46129629.629629508</v>
      </c>
      <c r="S698" s="41">
        <v>87962.962962962964</v>
      </c>
      <c r="T698" s="41">
        <v>32148148.148147851</v>
      </c>
      <c r="U698" s="41">
        <v>64814.814814814818</v>
      </c>
      <c r="V698" s="41">
        <v>423982407.40740669</v>
      </c>
      <c r="W698" s="41">
        <v>378240.74074074079</v>
      </c>
      <c r="X698" s="38">
        <f t="shared" si="60"/>
        <v>0.84796481481481334</v>
      </c>
      <c r="Y698" s="39">
        <f t="shared" si="61"/>
        <v>7.5648148148148157E-4</v>
      </c>
      <c r="Z698" s="39">
        <f t="shared" si="65"/>
        <v>8.9291081274556585E-4</v>
      </c>
      <c r="AA698" s="41">
        <f t="shared" si="62"/>
        <v>76017592.592593312</v>
      </c>
      <c r="AB698" s="39">
        <f t="shared" si="63"/>
        <v>4.9757000694283264E-3</v>
      </c>
      <c r="AC698" s="38">
        <f t="shared" si="64"/>
        <v>0.21491054680141514</v>
      </c>
      <c r="AD698" s="3"/>
    </row>
    <row r="699" spans="1:30" x14ac:dyDescent="0.25">
      <c r="A699" s="37">
        <v>46335</v>
      </c>
      <c r="B699" s="41">
        <v>18487037.037037041</v>
      </c>
      <c r="C699" s="41">
        <v>35185.185185185182</v>
      </c>
      <c r="D699" s="41">
        <v>50000000</v>
      </c>
      <c r="E699" s="41">
        <v>0</v>
      </c>
      <c r="F699" s="41">
        <v>50000000</v>
      </c>
      <c r="G699" s="41">
        <v>0</v>
      </c>
      <c r="H699" s="41">
        <v>50000000</v>
      </c>
      <c r="I699" s="41">
        <v>0</v>
      </c>
      <c r="J699" s="41">
        <v>35222222.22222241</v>
      </c>
      <c r="K699" s="41">
        <v>111111.11111111109</v>
      </c>
      <c r="L699" s="41">
        <v>10000000</v>
      </c>
      <c r="M699" s="41">
        <v>0</v>
      </c>
      <c r="N699" s="41">
        <v>57220833.333332799</v>
      </c>
      <c r="O699" s="41">
        <v>79166.666666666672</v>
      </c>
      <c r="P699" s="41">
        <v>75000000</v>
      </c>
      <c r="Q699" s="41">
        <v>0</v>
      </c>
      <c r="R699" s="41">
        <v>46217592.59259247</v>
      </c>
      <c r="S699" s="41">
        <v>87962.962962962964</v>
      </c>
      <c r="T699" s="41">
        <v>32212962.962962668</v>
      </c>
      <c r="U699" s="41">
        <v>64814.814814814818</v>
      </c>
      <c r="V699" s="41">
        <v>424360648.1481474</v>
      </c>
      <c r="W699" s="41">
        <v>378240.74074074079</v>
      </c>
      <c r="X699" s="38">
        <f t="shared" si="60"/>
        <v>0.84872129629629478</v>
      </c>
      <c r="Y699" s="39">
        <f t="shared" si="61"/>
        <v>7.5648148148148157E-4</v>
      </c>
      <c r="Z699" s="39">
        <f t="shared" si="65"/>
        <v>8.9211423429955551E-4</v>
      </c>
      <c r="AA699" s="41">
        <f t="shared" si="62"/>
        <v>75639351.851852596</v>
      </c>
      <c r="AB699" s="39">
        <f t="shared" si="63"/>
        <v>5.0005814629607605E-3</v>
      </c>
      <c r="AC699" s="38">
        <f t="shared" si="64"/>
        <v>0.21467787055454521</v>
      </c>
      <c r="AD699" s="3"/>
    </row>
    <row r="700" spans="1:30" x14ac:dyDescent="0.25">
      <c r="A700" s="37">
        <v>46336</v>
      </c>
      <c r="B700" s="41">
        <v>18522222.222222231</v>
      </c>
      <c r="C700" s="41">
        <v>35185.185185185182</v>
      </c>
      <c r="D700" s="41">
        <v>50000000</v>
      </c>
      <c r="E700" s="41">
        <v>0</v>
      </c>
      <c r="F700" s="41">
        <v>50000000</v>
      </c>
      <c r="G700" s="41">
        <v>0</v>
      </c>
      <c r="H700" s="41">
        <v>50000000</v>
      </c>
      <c r="I700" s="41">
        <v>0</v>
      </c>
      <c r="J700" s="41">
        <v>35333333.333333522</v>
      </c>
      <c r="K700" s="41">
        <v>111111.11111111109</v>
      </c>
      <c r="L700" s="41">
        <v>10000000</v>
      </c>
      <c r="M700" s="41">
        <v>0</v>
      </c>
      <c r="N700" s="41">
        <v>57299999.999999464</v>
      </c>
      <c r="O700" s="41">
        <v>79166.666666666672</v>
      </c>
      <c r="P700" s="41">
        <v>75000000</v>
      </c>
      <c r="Q700" s="41">
        <v>0</v>
      </c>
      <c r="R700" s="41">
        <v>46305555.555555433</v>
      </c>
      <c r="S700" s="41">
        <v>87962.962962962964</v>
      </c>
      <c r="T700" s="41">
        <v>32277777.777777482</v>
      </c>
      <c r="U700" s="41">
        <v>64814.814814814818</v>
      </c>
      <c r="V700" s="41">
        <v>424738888.88888818</v>
      </c>
      <c r="W700" s="41">
        <v>378240.74074074079</v>
      </c>
      <c r="X700" s="38">
        <f t="shared" si="60"/>
        <v>0.84947777777777633</v>
      </c>
      <c r="Y700" s="39">
        <f t="shared" si="61"/>
        <v>7.5648148148148157E-4</v>
      </c>
      <c r="Z700" s="39">
        <f t="shared" si="65"/>
        <v>8.9131907586467393E-4</v>
      </c>
      <c r="AA700" s="41">
        <f t="shared" si="62"/>
        <v>75261111.11111182</v>
      </c>
      <c r="AB700" s="39">
        <f t="shared" si="63"/>
        <v>5.0257129499765782E-3</v>
      </c>
      <c r="AC700" s="38">
        <f t="shared" si="64"/>
        <v>0.21444569758391224</v>
      </c>
      <c r="AD700" s="3"/>
    </row>
    <row r="701" spans="1:30" x14ac:dyDescent="0.25">
      <c r="A701" s="37">
        <v>46337</v>
      </c>
      <c r="B701" s="41">
        <v>18557407.40740741</v>
      </c>
      <c r="C701" s="41">
        <v>35185.185185185182</v>
      </c>
      <c r="D701" s="41">
        <v>50000000</v>
      </c>
      <c r="E701" s="41">
        <v>0</v>
      </c>
      <c r="F701" s="41">
        <v>50000000</v>
      </c>
      <c r="G701" s="41">
        <v>0</v>
      </c>
      <c r="H701" s="41">
        <v>50000000</v>
      </c>
      <c r="I701" s="41">
        <v>0</v>
      </c>
      <c r="J701" s="41">
        <v>35444444.444444627</v>
      </c>
      <c r="K701" s="41">
        <v>111111.11111111109</v>
      </c>
      <c r="L701" s="41">
        <v>10000000</v>
      </c>
      <c r="M701" s="41">
        <v>0</v>
      </c>
      <c r="N701" s="41">
        <v>57379166.666666128</v>
      </c>
      <c r="O701" s="41">
        <v>79166.666666666672</v>
      </c>
      <c r="P701" s="41">
        <v>75000000</v>
      </c>
      <c r="Q701" s="41">
        <v>0</v>
      </c>
      <c r="R701" s="41">
        <v>46393518.518518403</v>
      </c>
      <c r="S701" s="41">
        <v>87962.962962962964</v>
      </c>
      <c r="T701" s="41">
        <v>32342592.592592299</v>
      </c>
      <c r="U701" s="41">
        <v>64814.814814814818</v>
      </c>
      <c r="V701" s="41">
        <v>425117129.62962878</v>
      </c>
      <c r="W701" s="41">
        <v>378240.74074074079</v>
      </c>
      <c r="X701" s="38">
        <f t="shared" si="60"/>
        <v>0.85023425925925755</v>
      </c>
      <c r="Y701" s="39">
        <f t="shared" si="61"/>
        <v>7.5648148148148157E-4</v>
      </c>
      <c r="Z701" s="39">
        <f t="shared" si="65"/>
        <v>8.9052533364725325E-4</v>
      </c>
      <c r="AA701" s="41">
        <f t="shared" si="62"/>
        <v>74882870.370371222</v>
      </c>
      <c r="AB701" s="39">
        <f t="shared" si="63"/>
        <v>5.0510983202160832E-3</v>
      </c>
      <c r="AC701" s="38">
        <f t="shared" si="64"/>
        <v>0.21421402625840874</v>
      </c>
      <c r="AD701" s="3"/>
    </row>
    <row r="702" spans="1:30" x14ac:dyDescent="0.25">
      <c r="A702" s="37">
        <v>46338</v>
      </c>
      <c r="B702" s="41">
        <v>18592592.592592601</v>
      </c>
      <c r="C702" s="41">
        <v>35185.185185185182</v>
      </c>
      <c r="D702" s="41">
        <v>50000000</v>
      </c>
      <c r="E702" s="41">
        <v>0</v>
      </c>
      <c r="F702" s="41">
        <v>50000000</v>
      </c>
      <c r="G702" s="41">
        <v>0</v>
      </c>
      <c r="H702" s="41">
        <v>50000000</v>
      </c>
      <c r="I702" s="41">
        <v>0</v>
      </c>
      <c r="J702" s="41">
        <v>35555555.555555753</v>
      </c>
      <c r="K702" s="41">
        <v>111111.11111111109</v>
      </c>
      <c r="L702" s="41">
        <v>10000000</v>
      </c>
      <c r="M702" s="41">
        <v>0</v>
      </c>
      <c r="N702" s="41">
        <v>57458333.333332792</v>
      </c>
      <c r="O702" s="41">
        <v>79166.666666666672</v>
      </c>
      <c r="P702" s="41">
        <v>75000000</v>
      </c>
      <c r="Q702" s="41">
        <v>0</v>
      </c>
      <c r="R702" s="41">
        <v>46481481.481481358</v>
      </c>
      <c r="S702" s="41">
        <v>87962.962962962964</v>
      </c>
      <c r="T702" s="41">
        <v>32407407.407407109</v>
      </c>
      <c r="U702" s="41">
        <v>64814.814814814818</v>
      </c>
      <c r="V702" s="41">
        <v>425495370.37036961</v>
      </c>
      <c r="W702" s="41">
        <v>378240.74074074079</v>
      </c>
      <c r="X702" s="38">
        <f t="shared" si="60"/>
        <v>0.85099074074073922</v>
      </c>
      <c r="Y702" s="39">
        <f t="shared" si="61"/>
        <v>7.5648148148148157E-4</v>
      </c>
      <c r="Z702" s="39">
        <f t="shared" si="65"/>
        <v>8.8973300386712784E-4</v>
      </c>
      <c r="AA702" s="41">
        <f t="shared" si="62"/>
        <v>74504629.629630387</v>
      </c>
      <c r="AB702" s="39">
        <f t="shared" si="63"/>
        <v>5.0767414403777534E-3</v>
      </c>
      <c r="AC702" s="38">
        <f t="shared" si="64"/>
        <v>0.21398285495396774</v>
      </c>
      <c r="AD702" s="3"/>
    </row>
    <row r="703" spans="1:30" x14ac:dyDescent="0.25">
      <c r="A703" s="37">
        <v>46339</v>
      </c>
      <c r="B703" s="41">
        <v>18627777.777777791</v>
      </c>
      <c r="C703" s="41">
        <v>35185.185185185182</v>
      </c>
      <c r="D703" s="41">
        <v>50000000</v>
      </c>
      <c r="E703" s="41">
        <v>0</v>
      </c>
      <c r="F703" s="41">
        <v>50000000</v>
      </c>
      <c r="G703" s="41">
        <v>0</v>
      </c>
      <c r="H703" s="41">
        <v>50000000</v>
      </c>
      <c r="I703" s="41">
        <v>0</v>
      </c>
      <c r="J703" s="41">
        <v>35666666.666666858</v>
      </c>
      <c r="K703" s="41">
        <v>111111.11111111109</v>
      </c>
      <c r="L703" s="41">
        <v>10000000</v>
      </c>
      <c r="M703" s="41">
        <v>0</v>
      </c>
      <c r="N703" s="41">
        <v>57537499.999999464</v>
      </c>
      <c r="O703" s="41">
        <v>79166.666666666672</v>
      </c>
      <c r="P703" s="41">
        <v>75000000</v>
      </c>
      <c r="Q703" s="41">
        <v>0</v>
      </c>
      <c r="R703" s="41">
        <v>46569444.444444321</v>
      </c>
      <c r="S703" s="41">
        <v>87962.962962962964</v>
      </c>
      <c r="T703" s="41">
        <v>32472222.222221918</v>
      </c>
      <c r="U703" s="41">
        <v>64814.814814814818</v>
      </c>
      <c r="V703" s="41">
        <v>425873611.11111033</v>
      </c>
      <c r="W703" s="41">
        <v>378240.74074074079</v>
      </c>
      <c r="X703" s="38">
        <f t="shared" si="60"/>
        <v>0.85174722222222066</v>
      </c>
      <c r="Y703" s="39">
        <f t="shared" si="61"/>
        <v>7.5648148148148157E-4</v>
      </c>
      <c r="Z703" s="39">
        <f t="shared" si="65"/>
        <v>8.8894208275757183E-4</v>
      </c>
      <c r="AA703" s="41">
        <f t="shared" si="62"/>
        <v>74126388.88888967</v>
      </c>
      <c r="AB703" s="39">
        <f t="shared" si="63"/>
        <v>5.1026462560815888E-3</v>
      </c>
      <c r="AC703" s="38">
        <f t="shared" si="64"/>
        <v>0.21375218205352561</v>
      </c>
      <c r="AD703" s="3"/>
    </row>
    <row r="704" spans="1:30" x14ac:dyDescent="0.25">
      <c r="A704" s="37">
        <v>46340</v>
      </c>
      <c r="B704" s="41">
        <v>18662962.96296297</v>
      </c>
      <c r="C704" s="41">
        <v>35185.185185185182</v>
      </c>
      <c r="D704" s="41">
        <v>50000000</v>
      </c>
      <c r="E704" s="41">
        <v>0</v>
      </c>
      <c r="F704" s="41">
        <v>50000000</v>
      </c>
      <c r="G704" s="41">
        <v>0</v>
      </c>
      <c r="H704" s="41">
        <v>50000000</v>
      </c>
      <c r="I704" s="41">
        <v>0</v>
      </c>
      <c r="J704" s="41">
        <v>35777777.77777797</v>
      </c>
      <c r="K704" s="41">
        <v>111111.11111111109</v>
      </c>
      <c r="L704" s="41">
        <v>10000000</v>
      </c>
      <c r="M704" s="41">
        <v>0</v>
      </c>
      <c r="N704" s="41">
        <v>57616666.66666612</v>
      </c>
      <c r="O704" s="41">
        <v>79166.666666666672</v>
      </c>
      <c r="P704" s="41">
        <v>75000000</v>
      </c>
      <c r="Q704" s="41">
        <v>0</v>
      </c>
      <c r="R704" s="41">
        <v>46657407.407407276</v>
      </c>
      <c r="S704" s="41">
        <v>87962.962962962964</v>
      </c>
      <c r="T704" s="41">
        <v>32537037.037036739</v>
      </c>
      <c r="U704" s="41">
        <v>64814.814814814818</v>
      </c>
      <c r="V704" s="41">
        <v>426251851.85185099</v>
      </c>
      <c r="W704" s="41">
        <v>378240.74074074079</v>
      </c>
      <c r="X704" s="38">
        <f t="shared" si="60"/>
        <v>0.85250370370370199</v>
      </c>
      <c r="Y704" s="39">
        <f t="shared" si="61"/>
        <v>7.5648148148148157E-4</v>
      </c>
      <c r="Z704" s="39">
        <f t="shared" si="65"/>
        <v>8.8815256656524287E-4</v>
      </c>
      <c r="AA704" s="41">
        <f t="shared" si="62"/>
        <v>73748148.148149014</v>
      </c>
      <c r="AB704" s="39">
        <f t="shared" si="63"/>
        <v>5.1288167938930707E-3</v>
      </c>
      <c r="AC704" s="38">
        <f t="shared" si="64"/>
        <v>0.21352200594698381</v>
      </c>
      <c r="AD704" s="3"/>
    </row>
    <row r="705" spans="1:30" x14ac:dyDescent="0.25">
      <c r="A705" s="37">
        <v>46341</v>
      </c>
      <c r="B705" s="41">
        <v>18698148.14814816</v>
      </c>
      <c r="C705" s="41">
        <v>35185.185185185182</v>
      </c>
      <c r="D705" s="41">
        <v>50000000</v>
      </c>
      <c r="E705" s="41">
        <v>0</v>
      </c>
      <c r="F705" s="41">
        <v>50000000</v>
      </c>
      <c r="G705" s="41">
        <v>0</v>
      </c>
      <c r="H705" s="41">
        <v>50000000</v>
      </c>
      <c r="I705" s="41">
        <v>0</v>
      </c>
      <c r="J705" s="41">
        <v>35888888.888889082</v>
      </c>
      <c r="K705" s="41">
        <v>111111.11111111109</v>
      </c>
      <c r="L705" s="41">
        <v>10000000</v>
      </c>
      <c r="M705" s="41">
        <v>0</v>
      </c>
      <c r="N705" s="41">
        <v>57695833.333332777</v>
      </c>
      <c r="O705" s="41">
        <v>79166.666666666672</v>
      </c>
      <c r="P705" s="41">
        <v>75000000</v>
      </c>
      <c r="Q705" s="41">
        <v>0</v>
      </c>
      <c r="R705" s="41">
        <v>46745370.370370246</v>
      </c>
      <c r="S705" s="41">
        <v>87962.962962962964</v>
      </c>
      <c r="T705" s="41">
        <v>32601851.851851549</v>
      </c>
      <c r="U705" s="41">
        <v>64814.814814814818</v>
      </c>
      <c r="V705" s="41">
        <v>426630092.59259182</v>
      </c>
      <c r="W705" s="41">
        <v>378240.74074074079</v>
      </c>
      <c r="X705" s="38">
        <f t="shared" si="60"/>
        <v>0.85326018518518365</v>
      </c>
      <c r="Y705" s="39">
        <f t="shared" si="61"/>
        <v>7.5648148148148157E-4</v>
      </c>
      <c r="Z705" s="39">
        <f t="shared" si="65"/>
        <v>8.8736445155012007E-4</v>
      </c>
      <c r="AA705" s="41">
        <f t="shared" si="62"/>
        <v>73369907.407408178</v>
      </c>
      <c r="AB705" s="39">
        <f t="shared" si="63"/>
        <v>5.1552571634096095E-3</v>
      </c>
      <c r="AC705" s="38">
        <f t="shared" si="64"/>
        <v>0.21329232503117143</v>
      </c>
      <c r="AD705" s="3"/>
    </row>
    <row r="706" spans="1:30" x14ac:dyDescent="0.25">
      <c r="A706" s="37">
        <v>46342</v>
      </c>
      <c r="B706" s="41">
        <v>18733333.333333351</v>
      </c>
      <c r="C706" s="41">
        <v>35185.185185185182</v>
      </c>
      <c r="D706" s="41">
        <v>50000000</v>
      </c>
      <c r="E706" s="41">
        <v>0</v>
      </c>
      <c r="F706" s="41">
        <v>50000000</v>
      </c>
      <c r="G706" s="41">
        <v>0</v>
      </c>
      <c r="H706" s="41">
        <v>50000000</v>
      </c>
      <c r="I706" s="41">
        <v>0</v>
      </c>
      <c r="J706" s="41">
        <v>36000000.000000194</v>
      </c>
      <c r="K706" s="41">
        <v>111111.11111111109</v>
      </c>
      <c r="L706" s="41">
        <v>10000000</v>
      </c>
      <c r="M706" s="41">
        <v>0</v>
      </c>
      <c r="N706" s="41">
        <v>57774999.999999449</v>
      </c>
      <c r="O706" s="41">
        <v>79166.666666666672</v>
      </c>
      <c r="P706" s="41">
        <v>75000000</v>
      </c>
      <c r="Q706" s="41">
        <v>0</v>
      </c>
      <c r="R706" s="41">
        <v>46833333.333333209</v>
      </c>
      <c r="S706" s="41">
        <v>87962.962962962964</v>
      </c>
      <c r="T706" s="41">
        <v>32666666.666666359</v>
      </c>
      <c r="U706" s="41">
        <v>64814.814814814818</v>
      </c>
      <c r="V706" s="41">
        <v>427008333.3333326</v>
      </c>
      <c r="W706" s="41">
        <v>378240.74074074079</v>
      </c>
      <c r="X706" s="38">
        <f t="shared" si="60"/>
        <v>0.8540166666666652</v>
      </c>
      <c r="Y706" s="39">
        <f t="shared" si="61"/>
        <v>7.5648148148148157E-4</v>
      </c>
      <c r="Z706" s="39">
        <f t="shared" si="65"/>
        <v>8.8657773398544539E-4</v>
      </c>
      <c r="AA706" s="41">
        <f t="shared" si="62"/>
        <v>72991666.666667402</v>
      </c>
      <c r="AB706" s="39">
        <f t="shared" si="63"/>
        <v>5.181971559411855E-3</v>
      </c>
      <c r="AC706" s="38">
        <f t="shared" si="64"/>
        <v>0.21306313770980845</v>
      </c>
      <c r="AD706" s="3"/>
    </row>
    <row r="707" spans="1:30" x14ac:dyDescent="0.25">
      <c r="A707" s="37">
        <v>46343</v>
      </c>
      <c r="B707" s="41">
        <v>18768518.51851853</v>
      </c>
      <c r="C707" s="41">
        <v>35185.185185185182</v>
      </c>
      <c r="D707" s="41">
        <v>50000000</v>
      </c>
      <c r="E707" s="41">
        <v>0</v>
      </c>
      <c r="F707" s="41">
        <v>50000000</v>
      </c>
      <c r="G707" s="41">
        <v>0</v>
      </c>
      <c r="H707" s="41">
        <v>50000000</v>
      </c>
      <c r="I707" s="41">
        <v>0</v>
      </c>
      <c r="J707" s="41">
        <v>36111111.111111313</v>
      </c>
      <c r="K707" s="41">
        <v>111111.11111111109</v>
      </c>
      <c r="L707" s="41">
        <v>10000000</v>
      </c>
      <c r="M707" s="41">
        <v>0</v>
      </c>
      <c r="N707" s="41">
        <v>57854166.666666113</v>
      </c>
      <c r="O707" s="41">
        <v>79166.666666666672</v>
      </c>
      <c r="P707" s="41">
        <v>75000000</v>
      </c>
      <c r="Q707" s="41">
        <v>0</v>
      </c>
      <c r="R707" s="41">
        <v>46921296.296296172</v>
      </c>
      <c r="S707" s="41">
        <v>87962.962962962964</v>
      </c>
      <c r="T707" s="41">
        <v>32731481.48148118</v>
      </c>
      <c r="U707" s="41">
        <v>64814.814814814818</v>
      </c>
      <c r="V707" s="41">
        <v>427386574.07407331</v>
      </c>
      <c r="W707" s="41">
        <v>378240.74074074079</v>
      </c>
      <c r="X707" s="38">
        <f t="shared" si="60"/>
        <v>0.85477314814814664</v>
      </c>
      <c r="Y707" s="39">
        <f t="shared" si="61"/>
        <v>7.5648148148148157E-4</v>
      </c>
      <c r="Z707" s="39">
        <f t="shared" si="65"/>
        <v>8.8579241015766623E-4</v>
      </c>
      <c r="AA707" s="41">
        <f t="shared" si="62"/>
        <v>72613425.925926685</v>
      </c>
      <c r="AB707" s="39">
        <f t="shared" si="63"/>
        <v>5.2089642640823202E-3</v>
      </c>
      <c r="AC707" s="38">
        <f t="shared" si="64"/>
        <v>0.21283444239346827</v>
      </c>
      <c r="AD707" s="3"/>
    </row>
    <row r="708" spans="1:30" x14ac:dyDescent="0.25">
      <c r="A708" s="37">
        <v>46344</v>
      </c>
      <c r="B708" s="41">
        <v>18803703.70370372</v>
      </c>
      <c r="C708" s="41">
        <v>35185.185185185182</v>
      </c>
      <c r="D708" s="41">
        <v>50000000</v>
      </c>
      <c r="E708" s="41">
        <v>0</v>
      </c>
      <c r="F708" s="41">
        <v>50000000</v>
      </c>
      <c r="G708" s="41">
        <v>0</v>
      </c>
      <c r="H708" s="41">
        <v>50000000</v>
      </c>
      <c r="I708" s="41">
        <v>0</v>
      </c>
      <c r="J708" s="41">
        <v>36222222.222222418</v>
      </c>
      <c r="K708" s="41">
        <v>111111.11111111109</v>
      </c>
      <c r="L708" s="41">
        <v>10000000</v>
      </c>
      <c r="M708" s="41">
        <v>0</v>
      </c>
      <c r="N708" s="41">
        <v>57933333.333332777</v>
      </c>
      <c r="O708" s="41">
        <v>79166.666666666672</v>
      </c>
      <c r="P708" s="41">
        <v>75000000</v>
      </c>
      <c r="Q708" s="41">
        <v>0</v>
      </c>
      <c r="R708" s="41">
        <v>47009259.259259127</v>
      </c>
      <c r="S708" s="41">
        <v>87962.962962962964</v>
      </c>
      <c r="T708" s="41">
        <v>32796296.296295989</v>
      </c>
      <c r="U708" s="41">
        <v>64814.814814814818</v>
      </c>
      <c r="V708" s="41">
        <v>427764814.81481397</v>
      </c>
      <c r="W708" s="41">
        <v>378240.74074074079</v>
      </c>
      <c r="X708" s="38">
        <f t="shared" si="60"/>
        <v>0.85552962962962797</v>
      </c>
      <c r="Y708" s="39">
        <f t="shared" si="61"/>
        <v>7.5648148148148157E-4</v>
      </c>
      <c r="Z708" s="39">
        <f t="shared" si="65"/>
        <v>8.8500847636637566E-4</v>
      </c>
      <c r="AA708" s="41">
        <f t="shared" si="62"/>
        <v>72235185.185186028</v>
      </c>
      <c r="AB708" s="39">
        <f t="shared" si="63"/>
        <v>5.2362396492936563E-3</v>
      </c>
      <c r="AC708" s="38">
        <f t="shared" si="64"/>
        <v>0.21260623749954116</v>
      </c>
      <c r="AD708" s="3"/>
    </row>
    <row r="709" spans="1:30" x14ac:dyDescent="0.25">
      <c r="A709" s="37">
        <v>46345</v>
      </c>
      <c r="B709" s="41">
        <v>18838888.88888891</v>
      </c>
      <c r="C709" s="41">
        <v>35185.185185185182</v>
      </c>
      <c r="D709" s="41">
        <v>50000000</v>
      </c>
      <c r="E709" s="41">
        <v>0</v>
      </c>
      <c r="F709" s="41">
        <v>50000000</v>
      </c>
      <c r="G709" s="41">
        <v>0</v>
      </c>
      <c r="H709" s="41">
        <v>50000000</v>
      </c>
      <c r="I709" s="41">
        <v>0</v>
      </c>
      <c r="J709" s="41">
        <v>36333333.33333353</v>
      </c>
      <c r="K709" s="41">
        <v>111111.11111111109</v>
      </c>
      <c r="L709" s="41">
        <v>10000000</v>
      </c>
      <c r="M709" s="41">
        <v>0</v>
      </c>
      <c r="N709" s="41">
        <v>58012499.999999441</v>
      </c>
      <c r="O709" s="41">
        <v>79166.666666666672</v>
      </c>
      <c r="P709" s="41">
        <v>75000000</v>
      </c>
      <c r="Q709" s="41">
        <v>0</v>
      </c>
      <c r="R709" s="41">
        <v>47097222.222222097</v>
      </c>
      <c r="S709" s="41">
        <v>87962.962962962964</v>
      </c>
      <c r="T709" s="41">
        <v>32861111.111110799</v>
      </c>
      <c r="U709" s="41">
        <v>64814.814814814818</v>
      </c>
      <c r="V709" s="41">
        <v>428143055.55555469</v>
      </c>
      <c r="W709" s="41">
        <v>378240.74074074079</v>
      </c>
      <c r="X709" s="38">
        <f t="shared" si="60"/>
        <v>0.85628611111110942</v>
      </c>
      <c r="Y709" s="39">
        <f t="shared" si="61"/>
        <v>7.5648148148148157E-4</v>
      </c>
      <c r="Z709" s="39">
        <f t="shared" si="65"/>
        <v>8.8422592892425499E-4</v>
      </c>
      <c r="AA709" s="41">
        <f t="shared" si="62"/>
        <v>71856944.444445312</v>
      </c>
      <c r="AB709" s="39">
        <f t="shared" si="63"/>
        <v>5.2638021789692116E-3</v>
      </c>
      <c r="AC709" s="38">
        <f t="shared" si="64"/>
        <v>0.21237852145219765</v>
      </c>
      <c r="AD709" s="3"/>
    </row>
    <row r="710" spans="1:30" x14ac:dyDescent="0.25">
      <c r="A710" s="37">
        <v>46346</v>
      </c>
      <c r="B710" s="41">
        <v>18874074.07407409</v>
      </c>
      <c r="C710" s="41">
        <v>35185.185185185182</v>
      </c>
      <c r="D710" s="41">
        <v>50000000</v>
      </c>
      <c r="E710" s="41">
        <v>0</v>
      </c>
      <c r="F710" s="41">
        <v>50000000</v>
      </c>
      <c r="G710" s="41">
        <v>0</v>
      </c>
      <c r="H710" s="41">
        <v>50000000</v>
      </c>
      <c r="I710" s="41">
        <v>0</v>
      </c>
      <c r="J710" s="41">
        <v>36444444.444444641</v>
      </c>
      <c r="K710" s="41">
        <v>111111.11111111109</v>
      </c>
      <c r="L710" s="41">
        <v>10000000</v>
      </c>
      <c r="M710" s="41">
        <v>0</v>
      </c>
      <c r="N710" s="41">
        <v>58091666.666666113</v>
      </c>
      <c r="O710" s="41">
        <v>79166.666666666672</v>
      </c>
      <c r="P710" s="41">
        <v>75000000</v>
      </c>
      <c r="Q710" s="41">
        <v>0</v>
      </c>
      <c r="R710" s="41">
        <v>47185185.18518506</v>
      </c>
      <c r="S710" s="41">
        <v>87962.962962962964</v>
      </c>
      <c r="T710" s="41">
        <v>32925925.92592562</v>
      </c>
      <c r="U710" s="41">
        <v>64814.814814814818</v>
      </c>
      <c r="V710" s="41">
        <v>428521296.29629552</v>
      </c>
      <c r="W710" s="41">
        <v>378240.74074074079</v>
      </c>
      <c r="X710" s="38">
        <f t="shared" si="60"/>
        <v>0.85704259259259108</v>
      </c>
      <c r="Y710" s="39">
        <f t="shared" si="61"/>
        <v>7.5648148148148157E-4</v>
      </c>
      <c r="Z710" s="39">
        <f t="shared" si="65"/>
        <v>8.8344476415701506E-4</v>
      </c>
      <c r="AA710" s="41">
        <f t="shared" si="62"/>
        <v>71478703.703704476</v>
      </c>
      <c r="AB710" s="39">
        <f t="shared" si="63"/>
        <v>5.2916564115185255E-3</v>
      </c>
      <c r="AC710" s="38">
        <f t="shared" si="64"/>
        <v>0.21215129268235236</v>
      </c>
      <c r="AD710" s="3"/>
    </row>
    <row r="711" spans="1:30" x14ac:dyDescent="0.25">
      <c r="A711" s="37">
        <v>46347</v>
      </c>
      <c r="B711" s="41">
        <v>18909259.25925928</v>
      </c>
      <c r="C711" s="41">
        <v>35185.185185185182</v>
      </c>
      <c r="D711" s="41">
        <v>50000000</v>
      </c>
      <c r="E711" s="41">
        <v>0</v>
      </c>
      <c r="F711" s="41">
        <v>50000000</v>
      </c>
      <c r="G711" s="41">
        <v>0</v>
      </c>
      <c r="H711" s="41">
        <v>50000000</v>
      </c>
      <c r="I711" s="41">
        <v>0</v>
      </c>
      <c r="J711" s="41">
        <v>36555555.555555753</v>
      </c>
      <c r="K711" s="41">
        <v>111111.11111111109</v>
      </c>
      <c r="L711" s="41">
        <v>10000000</v>
      </c>
      <c r="M711" s="41">
        <v>0</v>
      </c>
      <c r="N711" s="41">
        <v>58170833.33333277</v>
      </c>
      <c r="O711" s="41">
        <v>79166.666666666672</v>
      </c>
      <c r="P711" s="41">
        <v>75000000</v>
      </c>
      <c r="Q711" s="41">
        <v>0</v>
      </c>
      <c r="R711" s="41">
        <v>47273148.148148023</v>
      </c>
      <c r="S711" s="41">
        <v>87962.962962962964</v>
      </c>
      <c r="T711" s="41">
        <v>32990740.74074043</v>
      </c>
      <c r="U711" s="41">
        <v>64814.814814814818</v>
      </c>
      <c r="V711" s="41">
        <v>428899537.03703618</v>
      </c>
      <c r="W711" s="41">
        <v>378240.74074074079</v>
      </c>
      <c r="X711" s="38">
        <f t="shared" si="60"/>
        <v>0.85779907407407241</v>
      </c>
      <c r="Y711" s="39">
        <f t="shared" si="61"/>
        <v>7.5648148148148157E-4</v>
      </c>
      <c r="Z711" s="39">
        <f t="shared" si="65"/>
        <v>8.8266497840333959E-4</v>
      </c>
      <c r="AA711" s="41">
        <f t="shared" si="62"/>
        <v>71100462.96296382</v>
      </c>
      <c r="AB711" s="39">
        <f t="shared" si="63"/>
        <v>5.3198070023505488E-3</v>
      </c>
      <c r="AC711" s="38">
        <f t="shared" si="64"/>
        <v>0.21192454962762816</v>
      </c>
      <c r="AD711" s="3"/>
    </row>
    <row r="712" spans="1:30" x14ac:dyDescent="0.25">
      <c r="A712" s="37">
        <v>46348</v>
      </c>
      <c r="B712" s="41">
        <v>18944444.44444447</v>
      </c>
      <c r="C712" s="41">
        <v>35185.185185185182</v>
      </c>
      <c r="D712" s="41">
        <v>50000000</v>
      </c>
      <c r="E712" s="41">
        <v>0</v>
      </c>
      <c r="F712" s="41">
        <v>50000000</v>
      </c>
      <c r="G712" s="41">
        <v>0</v>
      </c>
      <c r="H712" s="41">
        <v>50000000</v>
      </c>
      <c r="I712" s="41">
        <v>0</v>
      </c>
      <c r="J712" s="41">
        <v>36666666.666666873</v>
      </c>
      <c r="K712" s="41">
        <v>111111.11111111109</v>
      </c>
      <c r="L712" s="41">
        <v>10000000</v>
      </c>
      <c r="M712" s="41">
        <v>0</v>
      </c>
      <c r="N712" s="41">
        <v>58249999.999999426</v>
      </c>
      <c r="O712" s="41">
        <v>79166.666666666672</v>
      </c>
      <c r="P712" s="41">
        <v>75000000</v>
      </c>
      <c r="Q712" s="41">
        <v>0</v>
      </c>
      <c r="R712" s="41">
        <v>47361111.111110993</v>
      </c>
      <c r="S712" s="41">
        <v>87962.962962962964</v>
      </c>
      <c r="T712" s="41">
        <v>33055555.555555239</v>
      </c>
      <c r="U712" s="41">
        <v>64814.814814814818</v>
      </c>
      <c r="V712" s="41">
        <v>429277777.77777702</v>
      </c>
      <c r="W712" s="41">
        <v>378240.74074074079</v>
      </c>
      <c r="X712" s="38">
        <f t="shared" si="60"/>
        <v>0.85855555555555407</v>
      </c>
      <c r="Y712" s="39">
        <f t="shared" si="61"/>
        <v>7.5648148148148157E-4</v>
      </c>
      <c r="Z712" s="39">
        <f t="shared" si="65"/>
        <v>8.8188656801482877E-4</v>
      </c>
      <c r="AA712" s="41">
        <f t="shared" si="62"/>
        <v>70722222.222222984</v>
      </c>
      <c r="AB712" s="39">
        <f t="shared" si="63"/>
        <v>5.3482587064676047E-3</v>
      </c>
      <c r="AC712" s="38">
        <f t="shared" si="64"/>
        <v>0.21169829073231972</v>
      </c>
      <c r="AD712" s="3"/>
    </row>
    <row r="713" spans="1:30" x14ac:dyDescent="0.25">
      <c r="A713" s="37">
        <v>46349</v>
      </c>
      <c r="B713" s="41">
        <v>18979629.629629649</v>
      </c>
      <c r="C713" s="41">
        <v>35185.185185185182</v>
      </c>
      <c r="D713" s="41">
        <v>50000000</v>
      </c>
      <c r="E713" s="41">
        <v>0</v>
      </c>
      <c r="F713" s="41">
        <v>50000000</v>
      </c>
      <c r="G713" s="41">
        <v>0</v>
      </c>
      <c r="H713" s="41">
        <v>50000000</v>
      </c>
      <c r="I713" s="41">
        <v>0</v>
      </c>
      <c r="J713" s="41">
        <v>36777777.777777977</v>
      </c>
      <c r="K713" s="41">
        <v>111111.11111111109</v>
      </c>
      <c r="L713" s="41">
        <v>10000000</v>
      </c>
      <c r="M713" s="41">
        <v>0</v>
      </c>
      <c r="N713" s="41">
        <v>58329166.666666098</v>
      </c>
      <c r="O713" s="41">
        <v>79166.666666666672</v>
      </c>
      <c r="P713" s="41">
        <v>75000000</v>
      </c>
      <c r="Q713" s="41">
        <v>0</v>
      </c>
      <c r="R713" s="41">
        <v>47449074.074073948</v>
      </c>
      <c r="S713" s="41">
        <v>87962.962962962964</v>
      </c>
      <c r="T713" s="41">
        <v>33120370.37037006</v>
      </c>
      <c r="U713" s="41">
        <v>64814.814814814818</v>
      </c>
      <c r="V713" s="41">
        <v>429656018.51851767</v>
      </c>
      <c r="W713" s="41">
        <v>378240.74074074079</v>
      </c>
      <c r="X713" s="38">
        <f t="shared" si="60"/>
        <v>0.85931203703703529</v>
      </c>
      <c r="Y713" s="39">
        <f t="shared" si="61"/>
        <v>7.5648148148148157E-4</v>
      </c>
      <c r="Z713" s="39">
        <f t="shared" si="65"/>
        <v>8.8110952935593976E-4</v>
      </c>
      <c r="AA713" s="41">
        <f t="shared" si="62"/>
        <v>70343981.481482327</v>
      </c>
      <c r="AB713" s="39">
        <f t="shared" si="63"/>
        <v>5.3770163811428648E-3</v>
      </c>
      <c r="AC713" s="38">
        <f t="shared" si="64"/>
        <v>0.21147251444735887</v>
      </c>
      <c r="AD713" s="3"/>
    </row>
    <row r="714" spans="1:30" x14ac:dyDescent="0.25">
      <c r="A714" s="37">
        <v>46350</v>
      </c>
      <c r="B714" s="41">
        <v>19014814.81481484</v>
      </c>
      <c r="C714" s="41">
        <v>35185.185185185182</v>
      </c>
      <c r="D714" s="41">
        <v>50000000</v>
      </c>
      <c r="E714" s="41">
        <v>0</v>
      </c>
      <c r="F714" s="41">
        <v>50000000</v>
      </c>
      <c r="G714" s="41">
        <v>0</v>
      </c>
      <c r="H714" s="41">
        <v>50000000</v>
      </c>
      <c r="I714" s="41">
        <v>0</v>
      </c>
      <c r="J714" s="41">
        <v>36888888.888889089</v>
      </c>
      <c r="K714" s="41">
        <v>111111.11111111109</v>
      </c>
      <c r="L714" s="41">
        <v>10000000</v>
      </c>
      <c r="M714" s="41">
        <v>0</v>
      </c>
      <c r="N714" s="41">
        <v>58408333.333332762</v>
      </c>
      <c r="O714" s="41">
        <v>79166.666666666672</v>
      </c>
      <c r="P714" s="41">
        <v>75000000</v>
      </c>
      <c r="Q714" s="41">
        <v>0</v>
      </c>
      <c r="R714" s="41">
        <v>47537037.037036911</v>
      </c>
      <c r="S714" s="41">
        <v>87962.962962962964</v>
      </c>
      <c r="T714" s="41">
        <v>33185185.18518487</v>
      </c>
      <c r="U714" s="41">
        <v>64814.814814814818</v>
      </c>
      <c r="V714" s="41">
        <v>430034259.25925851</v>
      </c>
      <c r="W714" s="41">
        <v>378240.74074074079</v>
      </c>
      <c r="X714" s="38">
        <f t="shared" si="60"/>
        <v>0.86006851851851707</v>
      </c>
      <c r="Y714" s="39">
        <f t="shared" si="61"/>
        <v>7.5648148148148157E-4</v>
      </c>
      <c r="Z714" s="39">
        <f t="shared" si="65"/>
        <v>8.8033385880393309E-4</v>
      </c>
      <c r="AA714" s="41">
        <f t="shared" si="62"/>
        <v>69965740.740741491</v>
      </c>
      <c r="AB714" s="39">
        <f t="shared" si="63"/>
        <v>5.4060849886848807E-3</v>
      </c>
      <c r="AC714" s="38">
        <f t="shared" si="64"/>
        <v>0.21124721923027817</v>
      </c>
      <c r="AD714" s="3"/>
    </row>
    <row r="715" spans="1:30" x14ac:dyDescent="0.25">
      <c r="A715" s="37">
        <v>46351</v>
      </c>
      <c r="B715" s="41">
        <v>19050000.00000003</v>
      </c>
      <c r="C715" s="41">
        <v>35185.185185185182</v>
      </c>
      <c r="D715" s="41">
        <v>50000000</v>
      </c>
      <c r="E715" s="41">
        <v>0</v>
      </c>
      <c r="F715" s="41">
        <v>50000000</v>
      </c>
      <c r="G715" s="41">
        <v>0</v>
      </c>
      <c r="H715" s="41">
        <v>50000000</v>
      </c>
      <c r="I715" s="41">
        <v>0</v>
      </c>
      <c r="J715" s="41">
        <v>37000000.000000201</v>
      </c>
      <c r="K715" s="41">
        <v>111111.11111111109</v>
      </c>
      <c r="L715" s="41">
        <v>10000000</v>
      </c>
      <c r="M715" s="41">
        <v>0</v>
      </c>
      <c r="N715" s="41">
        <v>58487499.999999426</v>
      </c>
      <c r="O715" s="41">
        <v>79166.666666666672</v>
      </c>
      <c r="P715" s="41">
        <v>75000000</v>
      </c>
      <c r="Q715" s="41">
        <v>0</v>
      </c>
      <c r="R715" s="41">
        <v>47624999.999999873</v>
      </c>
      <c r="S715" s="41">
        <v>87962.962962962964</v>
      </c>
      <c r="T715" s="41">
        <v>33249999.99999968</v>
      </c>
      <c r="U715" s="41">
        <v>64814.814814814818</v>
      </c>
      <c r="V715" s="41">
        <v>430412499.99999923</v>
      </c>
      <c r="W715" s="41">
        <v>378240.74074074079</v>
      </c>
      <c r="X715" s="38">
        <f t="shared" si="60"/>
        <v>0.8608249999999984</v>
      </c>
      <c r="Y715" s="39">
        <f t="shared" si="61"/>
        <v>7.5648148148148157E-4</v>
      </c>
      <c r="Z715" s="39">
        <f t="shared" si="65"/>
        <v>8.7955955274881365E-4</v>
      </c>
      <c r="AA715" s="41">
        <f t="shared" si="62"/>
        <v>69587500.000000775</v>
      </c>
      <c r="AB715" s="39">
        <f t="shared" si="63"/>
        <v>5.4354695992920648E-3</v>
      </c>
      <c r="AC715" s="38">
        <f t="shared" si="64"/>
        <v>0.21102240354517685</v>
      </c>
      <c r="AD715" s="3"/>
    </row>
    <row r="716" spans="1:30" x14ac:dyDescent="0.25">
      <c r="A716" s="37">
        <v>46352</v>
      </c>
      <c r="B716" s="41">
        <v>19085185.185185209</v>
      </c>
      <c r="C716" s="41">
        <v>35185.185185185182</v>
      </c>
      <c r="D716" s="41">
        <v>50000000</v>
      </c>
      <c r="E716" s="41">
        <v>0</v>
      </c>
      <c r="F716" s="41">
        <v>50000000</v>
      </c>
      <c r="G716" s="41">
        <v>0</v>
      </c>
      <c r="H716" s="41">
        <v>50000000</v>
      </c>
      <c r="I716" s="41">
        <v>0</v>
      </c>
      <c r="J716" s="41">
        <v>37111111.111111313</v>
      </c>
      <c r="K716" s="41">
        <v>111111.11111111109</v>
      </c>
      <c r="L716" s="41">
        <v>10000000</v>
      </c>
      <c r="M716" s="41">
        <v>0</v>
      </c>
      <c r="N716" s="41">
        <v>58566666.66666609</v>
      </c>
      <c r="O716" s="41">
        <v>79166.666666666672</v>
      </c>
      <c r="P716" s="41">
        <v>75000000</v>
      </c>
      <c r="Q716" s="41">
        <v>0</v>
      </c>
      <c r="R716" s="41">
        <v>47712962.962962843</v>
      </c>
      <c r="S716" s="41">
        <v>87962.962962962964</v>
      </c>
      <c r="T716" s="41">
        <v>33314814.814814501</v>
      </c>
      <c r="U716" s="41">
        <v>64814.814814814818</v>
      </c>
      <c r="V716" s="41">
        <v>430790740.74074</v>
      </c>
      <c r="W716" s="41">
        <v>378240.74074074079</v>
      </c>
      <c r="X716" s="38">
        <f t="shared" si="60"/>
        <v>0.86158148148147995</v>
      </c>
      <c r="Y716" s="39">
        <f t="shared" si="61"/>
        <v>7.5648148148148157E-4</v>
      </c>
      <c r="Z716" s="39">
        <f t="shared" si="65"/>
        <v>8.7878660759327734E-4</v>
      </c>
      <c r="AA716" s="41">
        <f t="shared" si="62"/>
        <v>69209259.259259999</v>
      </c>
      <c r="AB716" s="39">
        <f t="shared" si="63"/>
        <v>5.4651753940009587E-3</v>
      </c>
      <c r="AC716" s="38">
        <f t="shared" si="64"/>
        <v>0.21079806586268501</v>
      </c>
      <c r="AD716" s="3"/>
    </row>
    <row r="717" spans="1:30" x14ac:dyDescent="0.25">
      <c r="A717" s="37">
        <v>46353</v>
      </c>
      <c r="B717" s="41">
        <v>19120370.370370399</v>
      </c>
      <c r="C717" s="41">
        <v>35185.185185185182</v>
      </c>
      <c r="D717" s="41">
        <v>50000000</v>
      </c>
      <c r="E717" s="41">
        <v>0</v>
      </c>
      <c r="F717" s="41">
        <v>50000000</v>
      </c>
      <c r="G717" s="41">
        <v>0</v>
      </c>
      <c r="H717" s="41">
        <v>50000000</v>
      </c>
      <c r="I717" s="41">
        <v>0</v>
      </c>
      <c r="J717" s="41">
        <v>37222222.222222432</v>
      </c>
      <c r="K717" s="41">
        <v>111111.11111111109</v>
      </c>
      <c r="L717" s="41">
        <v>10000000</v>
      </c>
      <c r="M717" s="41">
        <v>0</v>
      </c>
      <c r="N717" s="41">
        <v>58645833.333332747</v>
      </c>
      <c r="O717" s="41">
        <v>79166.666666666672</v>
      </c>
      <c r="P717" s="41">
        <v>75000000</v>
      </c>
      <c r="Q717" s="41">
        <v>0</v>
      </c>
      <c r="R717" s="41">
        <v>47800925.925925799</v>
      </c>
      <c r="S717" s="41">
        <v>87962.962962962964</v>
      </c>
      <c r="T717" s="41">
        <v>33379629.62962931</v>
      </c>
      <c r="U717" s="41">
        <v>64814.814814814818</v>
      </c>
      <c r="V717" s="41">
        <v>431168981.48148072</v>
      </c>
      <c r="W717" s="41">
        <v>378240.74074074079</v>
      </c>
      <c r="X717" s="38">
        <f t="shared" si="60"/>
        <v>0.86233796296296139</v>
      </c>
      <c r="Y717" s="39">
        <f t="shared" si="61"/>
        <v>7.5648148148148157E-4</v>
      </c>
      <c r="Z717" s="39">
        <f t="shared" si="65"/>
        <v>8.7801501975265286E-4</v>
      </c>
      <c r="AA717" s="41">
        <f t="shared" si="62"/>
        <v>68831018.518519282</v>
      </c>
      <c r="AB717" s="39">
        <f t="shared" si="63"/>
        <v>5.495207667731569E-3</v>
      </c>
      <c r="AC717" s="38">
        <f t="shared" si="64"/>
        <v>0.2105742046599296</v>
      </c>
      <c r="AD717" s="3"/>
    </row>
    <row r="718" spans="1:30" x14ac:dyDescent="0.25">
      <c r="A718" s="37">
        <v>46354</v>
      </c>
      <c r="B718" s="41">
        <v>19155555.555555589</v>
      </c>
      <c r="C718" s="41">
        <v>35185.185185185182</v>
      </c>
      <c r="D718" s="41">
        <v>50000000</v>
      </c>
      <c r="E718" s="41">
        <v>0</v>
      </c>
      <c r="F718" s="41">
        <v>50000000</v>
      </c>
      <c r="G718" s="41">
        <v>0</v>
      </c>
      <c r="H718" s="41">
        <v>50000000</v>
      </c>
      <c r="I718" s="41">
        <v>0</v>
      </c>
      <c r="J718" s="41">
        <v>37333333.333333537</v>
      </c>
      <c r="K718" s="41">
        <v>111111.11111111109</v>
      </c>
      <c r="L718" s="41">
        <v>10000000</v>
      </c>
      <c r="M718" s="41">
        <v>0</v>
      </c>
      <c r="N718" s="41">
        <v>58724999.999999419</v>
      </c>
      <c r="O718" s="41">
        <v>79166.666666666672</v>
      </c>
      <c r="P718" s="41">
        <v>75000000</v>
      </c>
      <c r="Q718" s="41">
        <v>0</v>
      </c>
      <c r="R718" s="41">
        <v>47888888.888888761</v>
      </c>
      <c r="S718" s="41">
        <v>87962.962962962964</v>
      </c>
      <c r="T718" s="41">
        <v>33444444.44444412</v>
      </c>
      <c r="U718" s="41">
        <v>64814.814814814818</v>
      </c>
      <c r="V718" s="41">
        <v>431547222.22222137</v>
      </c>
      <c r="W718" s="41">
        <v>378240.74074074079</v>
      </c>
      <c r="X718" s="38">
        <f t="shared" si="60"/>
        <v>0.86309444444444272</v>
      </c>
      <c r="Y718" s="39">
        <f t="shared" si="61"/>
        <v>7.5648148148148157E-4</v>
      </c>
      <c r="Z718" s="39">
        <f t="shared" si="65"/>
        <v>8.7724478565484826E-4</v>
      </c>
      <c r="AA718" s="41">
        <f t="shared" si="62"/>
        <v>68452777.777778625</v>
      </c>
      <c r="AB718" s="39">
        <f t="shared" si="63"/>
        <v>5.5255718324337538E-3</v>
      </c>
      <c r="AC718" s="38">
        <f t="shared" si="64"/>
        <v>0.21035081842049957</v>
      </c>
      <c r="AD718" s="3"/>
    </row>
    <row r="719" spans="1:30" x14ac:dyDescent="0.25">
      <c r="A719" s="37">
        <v>46355</v>
      </c>
      <c r="B719" s="41">
        <v>19190740.740740769</v>
      </c>
      <c r="C719" s="41">
        <v>35185.185185185182</v>
      </c>
      <c r="D719" s="41">
        <v>50000000</v>
      </c>
      <c r="E719" s="41">
        <v>0</v>
      </c>
      <c r="F719" s="41">
        <v>50000000</v>
      </c>
      <c r="G719" s="41">
        <v>0</v>
      </c>
      <c r="H719" s="41">
        <v>50000000</v>
      </c>
      <c r="I719" s="41">
        <v>0</v>
      </c>
      <c r="J719" s="41">
        <v>37444444.444444649</v>
      </c>
      <c r="K719" s="41">
        <v>111111.11111111109</v>
      </c>
      <c r="L719" s="41">
        <v>10000000</v>
      </c>
      <c r="M719" s="41">
        <v>0</v>
      </c>
      <c r="N719" s="41">
        <v>58804166.666666083</v>
      </c>
      <c r="O719" s="41">
        <v>79166.666666666672</v>
      </c>
      <c r="P719" s="41">
        <v>75000000</v>
      </c>
      <c r="Q719" s="41">
        <v>0</v>
      </c>
      <c r="R719" s="41">
        <v>47976851.851851717</v>
      </c>
      <c r="S719" s="41">
        <v>87962.962962962964</v>
      </c>
      <c r="T719" s="41">
        <v>33509259.259258941</v>
      </c>
      <c r="U719" s="41">
        <v>64814.814814814818</v>
      </c>
      <c r="V719" s="41">
        <v>431925462.96296221</v>
      </c>
      <c r="W719" s="41">
        <v>378240.74074074079</v>
      </c>
      <c r="X719" s="38">
        <f t="shared" si="60"/>
        <v>0.86385092592592438</v>
      </c>
      <c r="Y719" s="39">
        <f t="shared" si="61"/>
        <v>7.5648148148148157E-4</v>
      </c>
      <c r="Z719" s="39">
        <f t="shared" si="65"/>
        <v>8.7647590174029467E-4</v>
      </c>
      <c r="AA719" s="41">
        <f t="shared" si="62"/>
        <v>68074537.03703779</v>
      </c>
      <c r="AB719" s="39">
        <f t="shared" si="63"/>
        <v>5.5562734203384841E-3</v>
      </c>
      <c r="AC719" s="38">
        <f t="shared" si="64"/>
        <v>0.21012790563441161</v>
      </c>
      <c r="AD719" s="3"/>
    </row>
    <row r="720" spans="1:30" x14ac:dyDescent="0.25">
      <c r="A720" s="37">
        <v>46356</v>
      </c>
      <c r="B720" s="41">
        <v>19225925.925925959</v>
      </c>
      <c r="C720" s="41">
        <v>35185.185185185182</v>
      </c>
      <c r="D720" s="41">
        <v>50000000</v>
      </c>
      <c r="E720" s="41">
        <v>0</v>
      </c>
      <c r="F720" s="41">
        <v>50000000</v>
      </c>
      <c r="G720" s="41">
        <v>0</v>
      </c>
      <c r="H720" s="41">
        <v>50000000</v>
      </c>
      <c r="I720" s="41">
        <v>0</v>
      </c>
      <c r="J720" s="41">
        <v>37555555.555555761</v>
      </c>
      <c r="K720" s="41">
        <v>111111.11111111109</v>
      </c>
      <c r="L720" s="41">
        <v>10000000</v>
      </c>
      <c r="M720" s="41">
        <v>0</v>
      </c>
      <c r="N720" s="41">
        <v>58883333.333332747</v>
      </c>
      <c r="O720" s="41">
        <v>79166.666666666672</v>
      </c>
      <c r="P720" s="41">
        <v>75000000</v>
      </c>
      <c r="Q720" s="41">
        <v>0</v>
      </c>
      <c r="R720" s="41">
        <v>48064814.814814687</v>
      </c>
      <c r="S720" s="41">
        <v>87962.962962962964</v>
      </c>
      <c r="T720" s="41">
        <v>33574074.074073747</v>
      </c>
      <c r="U720" s="41">
        <v>64814.814814814818</v>
      </c>
      <c r="V720" s="41">
        <v>432303703.70370293</v>
      </c>
      <c r="W720" s="41">
        <v>378240.74074074079</v>
      </c>
      <c r="X720" s="38">
        <f t="shared" si="60"/>
        <v>0.86460740740740583</v>
      </c>
      <c r="Y720" s="39">
        <f t="shared" si="61"/>
        <v>7.5648148148148157E-4</v>
      </c>
      <c r="Z720" s="39">
        <f t="shared" si="65"/>
        <v>8.7570836446189122E-4</v>
      </c>
      <c r="AA720" s="41">
        <f t="shared" si="62"/>
        <v>67696296.296297073</v>
      </c>
      <c r="AB720" s="39">
        <f t="shared" si="63"/>
        <v>5.5873180873180243E-3</v>
      </c>
      <c r="AC720" s="38">
        <f t="shared" si="64"/>
        <v>0.20990546479807659</v>
      </c>
      <c r="AD720" s="3"/>
    </row>
    <row r="721" spans="1:30" x14ac:dyDescent="0.25">
      <c r="A721" s="37">
        <v>46357</v>
      </c>
      <c r="B721" s="41">
        <v>19261111.111111149</v>
      </c>
      <c r="C721" s="41">
        <v>35185.185185185182</v>
      </c>
      <c r="D721" s="41">
        <v>50000000</v>
      </c>
      <c r="E721" s="41">
        <v>0</v>
      </c>
      <c r="F721" s="41">
        <v>50000000</v>
      </c>
      <c r="G721" s="41">
        <v>0</v>
      </c>
      <c r="H721" s="41">
        <v>50000000</v>
      </c>
      <c r="I721" s="41">
        <v>0</v>
      </c>
      <c r="J721" s="41">
        <v>37666666.666666873</v>
      </c>
      <c r="K721" s="41">
        <v>111111.11111111109</v>
      </c>
      <c r="L721" s="41">
        <v>10000000</v>
      </c>
      <c r="M721" s="41">
        <v>0</v>
      </c>
      <c r="N721" s="41">
        <v>58962499.999999411</v>
      </c>
      <c r="O721" s="41">
        <v>79166.666666666672</v>
      </c>
      <c r="P721" s="41">
        <v>75000000</v>
      </c>
      <c r="Q721" s="41">
        <v>0</v>
      </c>
      <c r="R721" s="41">
        <v>48152777.777777649</v>
      </c>
      <c r="S721" s="41">
        <v>87962.962962962964</v>
      </c>
      <c r="T721" s="41">
        <v>33638888.888888568</v>
      </c>
      <c r="U721" s="41">
        <v>64814.814814814818</v>
      </c>
      <c r="V721" s="41">
        <v>432681944.4444437</v>
      </c>
      <c r="W721" s="41">
        <v>378240.74074074079</v>
      </c>
      <c r="X721" s="38">
        <f t="shared" si="60"/>
        <v>0.86536388888888738</v>
      </c>
      <c r="Y721" s="39">
        <f t="shared" si="61"/>
        <v>7.5648148148148157E-4</v>
      </c>
      <c r="Z721" s="39">
        <f t="shared" si="65"/>
        <v>8.7494217028495224E-4</v>
      </c>
      <c r="AA721" s="41">
        <f t="shared" si="62"/>
        <v>67318055.555556297</v>
      </c>
      <c r="AB721" s="39">
        <f t="shared" si="63"/>
        <v>5.6187116163595365E-3</v>
      </c>
      <c r="AC721" s="38">
        <f t="shared" si="64"/>
        <v>0.20968349441426512</v>
      </c>
      <c r="AD721" s="3"/>
    </row>
    <row r="722" spans="1:30" x14ac:dyDescent="0.25">
      <c r="A722" s="37">
        <v>46358</v>
      </c>
      <c r="B722" s="41">
        <v>19296296.296296328</v>
      </c>
      <c r="C722" s="41">
        <v>35185.185185185182</v>
      </c>
      <c r="D722" s="41">
        <v>50000000</v>
      </c>
      <c r="E722" s="41">
        <v>0</v>
      </c>
      <c r="F722" s="41">
        <v>50000000</v>
      </c>
      <c r="G722" s="41">
        <v>0</v>
      </c>
      <c r="H722" s="41">
        <v>50000000</v>
      </c>
      <c r="I722" s="41">
        <v>0</v>
      </c>
      <c r="J722" s="41">
        <v>37777777.777777977</v>
      </c>
      <c r="K722" s="41">
        <v>111111.11111111109</v>
      </c>
      <c r="L722" s="41">
        <v>10000000</v>
      </c>
      <c r="M722" s="41">
        <v>0</v>
      </c>
      <c r="N722" s="41">
        <v>59041666.666666083</v>
      </c>
      <c r="O722" s="41">
        <v>79166.666666666672</v>
      </c>
      <c r="P722" s="41">
        <v>75000000</v>
      </c>
      <c r="Q722" s="41">
        <v>0</v>
      </c>
      <c r="R722" s="41">
        <v>48240740.740740612</v>
      </c>
      <c r="S722" s="41">
        <v>87962.962962962964</v>
      </c>
      <c r="T722" s="41">
        <v>33703703.703703381</v>
      </c>
      <c r="U722" s="41">
        <v>64814.814814814818</v>
      </c>
      <c r="V722" s="41">
        <v>433060185.18518442</v>
      </c>
      <c r="W722" s="41">
        <v>378240.74074074079</v>
      </c>
      <c r="X722" s="38">
        <f t="shared" si="60"/>
        <v>0.86612037037036882</v>
      </c>
      <c r="Y722" s="39">
        <f t="shared" si="61"/>
        <v>7.5648148148148157E-4</v>
      </c>
      <c r="Z722" s="39">
        <f t="shared" si="65"/>
        <v>8.7417731568715097E-4</v>
      </c>
      <c r="AA722" s="41">
        <f t="shared" si="62"/>
        <v>66939814.814815581</v>
      </c>
      <c r="AB722" s="39">
        <f t="shared" si="63"/>
        <v>5.6504599211563093E-3</v>
      </c>
      <c r="AC722" s="38">
        <f t="shared" si="64"/>
        <v>0.20946199299207452</v>
      </c>
      <c r="AD722" s="3"/>
    </row>
    <row r="723" spans="1:30" x14ac:dyDescent="0.25">
      <c r="A723" s="37">
        <v>46359</v>
      </c>
      <c r="B723" s="41">
        <v>19331481.481481519</v>
      </c>
      <c r="C723" s="41">
        <v>35185.185185185182</v>
      </c>
      <c r="D723" s="41">
        <v>50000000</v>
      </c>
      <c r="E723" s="41">
        <v>0</v>
      </c>
      <c r="F723" s="41">
        <v>50000000</v>
      </c>
      <c r="G723" s="41">
        <v>0</v>
      </c>
      <c r="H723" s="41">
        <v>50000000</v>
      </c>
      <c r="I723" s="41">
        <v>0</v>
      </c>
      <c r="J723" s="41">
        <v>37888888.888889097</v>
      </c>
      <c r="K723" s="41">
        <v>111111.11111111109</v>
      </c>
      <c r="L723" s="41">
        <v>10000000</v>
      </c>
      <c r="M723" s="41">
        <v>0</v>
      </c>
      <c r="N723" s="41">
        <v>59120833.33333274</v>
      </c>
      <c r="O723" s="41">
        <v>79166.666666666672</v>
      </c>
      <c r="P723" s="41">
        <v>75000000</v>
      </c>
      <c r="Q723" s="41">
        <v>0</v>
      </c>
      <c r="R723" s="41">
        <v>48328703.703703567</v>
      </c>
      <c r="S723" s="41">
        <v>87962.962962962964</v>
      </c>
      <c r="T723" s="41">
        <v>33768518.518518187</v>
      </c>
      <c r="U723" s="41">
        <v>64814.814814814818</v>
      </c>
      <c r="V723" s="41">
        <v>433438425.92592508</v>
      </c>
      <c r="W723" s="41">
        <v>378240.74074074079</v>
      </c>
      <c r="X723" s="38">
        <f t="shared" si="60"/>
        <v>0.86687685185185015</v>
      </c>
      <c r="Y723" s="39">
        <f t="shared" si="61"/>
        <v>7.5648148148148157E-4</v>
      </c>
      <c r="Z723" s="39">
        <f t="shared" si="65"/>
        <v>8.7341379715846692E-4</v>
      </c>
      <c r="AA723" s="41">
        <f t="shared" si="62"/>
        <v>66561574.074074924</v>
      </c>
      <c r="AB723" s="39">
        <f t="shared" si="63"/>
        <v>5.6825690498215221E-3</v>
      </c>
      <c r="AC723" s="38">
        <f t="shared" si="64"/>
        <v>0.20924095904689502</v>
      </c>
      <c r="AD723" s="3"/>
    </row>
    <row r="724" spans="1:30" x14ac:dyDescent="0.25">
      <c r="A724" s="37">
        <v>46360</v>
      </c>
      <c r="B724" s="41">
        <v>19366666.666666709</v>
      </c>
      <c r="C724" s="41">
        <v>35185.185185185182</v>
      </c>
      <c r="D724" s="41">
        <v>50000000</v>
      </c>
      <c r="E724" s="41">
        <v>0</v>
      </c>
      <c r="F724" s="41">
        <v>50000000</v>
      </c>
      <c r="G724" s="41">
        <v>0</v>
      </c>
      <c r="H724" s="41">
        <v>50000000</v>
      </c>
      <c r="I724" s="41">
        <v>0</v>
      </c>
      <c r="J724" s="41">
        <v>38000000.000000209</v>
      </c>
      <c r="K724" s="41">
        <v>111111.11111111109</v>
      </c>
      <c r="L724" s="41">
        <v>10000000</v>
      </c>
      <c r="M724" s="41">
        <v>0</v>
      </c>
      <c r="N724" s="41">
        <v>59199999.999999397</v>
      </c>
      <c r="O724" s="41">
        <v>79166.666666666672</v>
      </c>
      <c r="P724" s="41">
        <v>75000000</v>
      </c>
      <c r="Q724" s="41">
        <v>0</v>
      </c>
      <c r="R724" s="41">
        <v>48416666.666666538</v>
      </c>
      <c r="S724" s="41">
        <v>87962.962962962964</v>
      </c>
      <c r="T724" s="41">
        <v>33833333.333333008</v>
      </c>
      <c r="U724" s="41">
        <v>64814.814814814818</v>
      </c>
      <c r="V724" s="41">
        <v>433816666.66666579</v>
      </c>
      <c r="W724" s="41">
        <v>378240.74074074079</v>
      </c>
      <c r="X724" s="38">
        <f t="shared" si="60"/>
        <v>0.86763333333333159</v>
      </c>
      <c r="Y724" s="39">
        <f t="shared" si="61"/>
        <v>7.5648148148148157E-4</v>
      </c>
      <c r="Z724" s="39">
        <f t="shared" si="65"/>
        <v>8.7265161120113149E-4</v>
      </c>
      <c r="AA724" s="41">
        <f t="shared" si="62"/>
        <v>66183333.333334208</v>
      </c>
      <c r="AB724" s="39">
        <f t="shared" si="63"/>
        <v>5.7150451887293249E-3</v>
      </c>
      <c r="AC724" s="38">
        <f t="shared" si="64"/>
        <v>0.20902039110037673</v>
      </c>
      <c r="AD724" s="3"/>
    </row>
    <row r="725" spans="1:30" x14ac:dyDescent="0.25">
      <c r="A725" s="37">
        <v>46361</v>
      </c>
      <c r="B725" s="41">
        <v>19401851.851851892</v>
      </c>
      <c r="C725" s="41">
        <v>35185.185185185182</v>
      </c>
      <c r="D725" s="41">
        <v>50000000</v>
      </c>
      <c r="E725" s="41">
        <v>0</v>
      </c>
      <c r="F725" s="41">
        <v>50000000</v>
      </c>
      <c r="G725" s="41">
        <v>0</v>
      </c>
      <c r="H725" s="41">
        <v>50000000</v>
      </c>
      <c r="I725" s="41">
        <v>0</v>
      </c>
      <c r="J725" s="41">
        <v>38111111.111111321</v>
      </c>
      <c r="K725" s="41">
        <v>111111.11111111109</v>
      </c>
      <c r="L725" s="41">
        <v>10000000</v>
      </c>
      <c r="M725" s="41">
        <v>0</v>
      </c>
      <c r="N725" s="41">
        <v>59279166.666666068</v>
      </c>
      <c r="O725" s="41">
        <v>79166.666666666672</v>
      </c>
      <c r="P725" s="41">
        <v>75000000</v>
      </c>
      <c r="Q725" s="41">
        <v>0</v>
      </c>
      <c r="R725" s="41">
        <v>48504629.6296295</v>
      </c>
      <c r="S725" s="41">
        <v>87962.962962962964</v>
      </c>
      <c r="T725" s="41">
        <v>33898148.148147821</v>
      </c>
      <c r="U725" s="41">
        <v>64814.814814814818</v>
      </c>
      <c r="V725" s="41">
        <v>434194907.40740663</v>
      </c>
      <c r="W725" s="41">
        <v>378240.74074074079</v>
      </c>
      <c r="X725" s="38">
        <f t="shared" si="60"/>
        <v>0.86838981481481325</v>
      </c>
      <c r="Y725" s="39">
        <f t="shared" si="61"/>
        <v>7.5648148148148157E-4</v>
      </c>
      <c r="Z725" s="39">
        <f t="shared" si="65"/>
        <v>8.7189075432957445E-4</v>
      </c>
      <c r="AA725" s="41">
        <f t="shared" si="62"/>
        <v>65805092.592593372</v>
      </c>
      <c r="AB725" s="39">
        <f t="shared" si="63"/>
        <v>5.7478946664883696E-3</v>
      </c>
      <c r="AC725" s="38">
        <f t="shared" si="64"/>
        <v>0.20880028768039682</v>
      </c>
      <c r="AD725" s="3"/>
    </row>
    <row r="726" spans="1:30" x14ac:dyDescent="0.25">
      <c r="A726" s="37">
        <v>46362</v>
      </c>
      <c r="B726" s="41">
        <v>19437037.037037078</v>
      </c>
      <c r="C726" s="41">
        <v>35185.185185185182</v>
      </c>
      <c r="D726" s="41">
        <v>50000000</v>
      </c>
      <c r="E726" s="41">
        <v>0</v>
      </c>
      <c r="F726" s="41">
        <v>50000000</v>
      </c>
      <c r="G726" s="41">
        <v>0</v>
      </c>
      <c r="H726" s="41">
        <v>50000000</v>
      </c>
      <c r="I726" s="41">
        <v>0</v>
      </c>
      <c r="J726" s="41">
        <v>38222222.222222432</v>
      </c>
      <c r="K726" s="41">
        <v>111111.11111111109</v>
      </c>
      <c r="L726" s="41">
        <v>10000000</v>
      </c>
      <c r="M726" s="41">
        <v>0</v>
      </c>
      <c r="N726" s="41">
        <v>59358333.333332732</v>
      </c>
      <c r="O726" s="41">
        <v>79166.666666666672</v>
      </c>
      <c r="P726" s="41">
        <v>75000000</v>
      </c>
      <c r="Q726" s="41">
        <v>0</v>
      </c>
      <c r="R726" s="41">
        <v>48592592.592592463</v>
      </c>
      <c r="S726" s="41">
        <v>87962.962962962964</v>
      </c>
      <c r="T726" s="41">
        <v>33962962.962962627</v>
      </c>
      <c r="U726" s="41">
        <v>64814.814814814818</v>
      </c>
      <c r="V726" s="41">
        <v>434573148.14814728</v>
      </c>
      <c r="W726" s="41">
        <v>378240.74074074079</v>
      </c>
      <c r="X726" s="38">
        <f t="shared" si="60"/>
        <v>0.86914629629629458</v>
      </c>
      <c r="Y726" s="39">
        <f t="shared" si="61"/>
        <v>7.5648148148148157E-4</v>
      </c>
      <c r="Z726" s="39">
        <f t="shared" si="65"/>
        <v>8.7113122307037134E-4</v>
      </c>
      <c r="AA726" s="41">
        <f t="shared" si="62"/>
        <v>65426851.851852715</v>
      </c>
      <c r="AB726" s="39">
        <f t="shared" si="63"/>
        <v>5.7811239580531646E-3</v>
      </c>
      <c r="AC726" s="38">
        <f t="shared" si="64"/>
        <v>0.20858064732102671</v>
      </c>
      <c r="AD726" s="3"/>
    </row>
    <row r="727" spans="1:30" x14ac:dyDescent="0.25">
      <c r="A727" s="37">
        <v>46363</v>
      </c>
      <c r="B727" s="41">
        <v>19472222.222222261</v>
      </c>
      <c r="C727" s="41">
        <v>35185.185185185182</v>
      </c>
      <c r="D727" s="41">
        <v>50000000</v>
      </c>
      <c r="E727" s="41">
        <v>0</v>
      </c>
      <c r="F727" s="41">
        <v>50000000</v>
      </c>
      <c r="G727" s="41">
        <v>0</v>
      </c>
      <c r="H727" s="41">
        <v>50000000</v>
      </c>
      <c r="I727" s="41">
        <v>0</v>
      </c>
      <c r="J727" s="41">
        <v>38333333.333333537</v>
      </c>
      <c r="K727" s="41">
        <v>111111.11111111109</v>
      </c>
      <c r="L727" s="41">
        <v>10000000</v>
      </c>
      <c r="M727" s="41">
        <v>0</v>
      </c>
      <c r="N727" s="41">
        <v>59437499.999999397</v>
      </c>
      <c r="O727" s="41">
        <v>79166.666666666672</v>
      </c>
      <c r="P727" s="41">
        <v>75000000</v>
      </c>
      <c r="Q727" s="41">
        <v>0</v>
      </c>
      <c r="R727" s="41">
        <v>48680555.555555433</v>
      </c>
      <c r="S727" s="41">
        <v>87962.962962962964</v>
      </c>
      <c r="T727" s="41">
        <v>34027777.777777448</v>
      </c>
      <c r="U727" s="41">
        <v>64814.814814814818</v>
      </c>
      <c r="V727" s="41">
        <v>434951388.88888812</v>
      </c>
      <c r="W727" s="41">
        <v>378240.74074074079</v>
      </c>
      <c r="X727" s="38">
        <f t="shared" ref="X727:X790" si="66">V727/$B$6</f>
        <v>0.86990277777777625</v>
      </c>
      <c r="Y727" s="39">
        <f t="shared" ref="Y727:Y790" si="67">W727/$B$6</f>
        <v>7.5648148148148157E-4</v>
      </c>
      <c r="Z727" s="39">
        <f t="shared" si="65"/>
        <v>8.7037301396219124E-4</v>
      </c>
      <c r="AA727" s="41">
        <f t="shared" ref="AA727:AA790" si="68">$B$6-V727</f>
        <v>65048611.111111879</v>
      </c>
      <c r="AB727" s="39">
        <f t="shared" ref="AB727:AB790" si="69">W727/AA727</f>
        <v>5.8147396889789722E-3</v>
      </c>
      <c r="AC727" s="38">
        <f t="shared" ref="AC727:AC790" si="70" xml:space="preserve"> P727/(V727-P727)</f>
        <v>0.20836146856249924</v>
      </c>
      <c r="AD727" s="3"/>
    </row>
    <row r="728" spans="1:30" x14ac:dyDescent="0.25">
      <c r="A728" s="37">
        <v>46364</v>
      </c>
      <c r="B728" s="41">
        <v>19507407.407407451</v>
      </c>
      <c r="C728" s="41">
        <v>35185.185185185182</v>
      </c>
      <c r="D728" s="41">
        <v>50000000</v>
      </c>
      <c r="E728" s="41">
        <v>0</v>
      </c>
      <c r="F728" s="41">
        <v>50000000</v>
      </c>
      <c r="G728" s="41">
        <v>0</v>
      </c>
      <c r="H728" s="41">
        <v>50000000</v>
      </c>
      <c r="I728" s="41">
        <v>0</v>
      </c>
      <c r="J728" s="41">
        <v>38444444.444444656</v>
      </c>
      <c r="K728" s="41">
        <v>111111.11111111109</v>
      </c>
      <c r="L728" s="41">
        <v>10000000</v>
      </c>
      <c r="M728" s="41">
        <v>0</v>
      </c>
      <c r="N728" s="41">
        <v>59516666.666666061</v>
      </c>
      <c r="O728" s="41">
        <v>79166.666666666672</v>
      </c>
      <c r="P728" s="41">
        <v>75000000</v>
      </c>
      <c r="Q728" s="41">
        <v>0</v>
      </c>
      <c r="R728" s="41">
        <v>48768518.518518388</v>
      </c>
      <c r="S728" s="41">
        <v>87962.962962962964</v>
      </c>
      <c r="T728" s="41">
        <v>34092592.592592262</v>
      </c>
      <c r="U728" s="41">
        <v>64814.814814814818</v>
      </c>
      <c r="V728" s="41">
        <v>435329629.62962878</v>
      </c>
      <c r="W728" s="41">
        <v>378240.74074074079</v>
      </c>
      <c r="X728" s="38">
        <f t="shared" si="66"/>
        <v>0.87065925925925758</v>
      </c>
      <c r="Y728" s="39">
        <f t="shared" si="67"/>
        <v>7.5648148148148157E-4</v>
      </c>
      <c r="Z728" s="39">
        <f t="shared" ref="Z728:Z791" si="71">W728/V727</f>
        <v>8.6961612355574173E-4</v>
      </c>
      <c r="AA728" s="41">
        <f t="shared" si="68"/>
        <v>64670370.370371222</v>
      </c>
      <c r="AB728" s="39">
        <f t="shared" si="69"/>
        <v>5.8487486398258216E-3</v>
      </c>
      <c r="AC728" s="38">
        <f t="shared" si="70"/>
        <v>0.20814274995117688</v>
      </c>
      <c r="AD728" s="3"/>
    </row>
    <row r="729" spans="1:30" x14ac:dyDescent="0.25">
      <c r="A729" s="37">
        <v>46365</v>
      </c>
      <c r="B729" s="41">
        <v>19542592.592592642</v>
      </c>
      <c r="C729" s="41">
        <v>35185.185185185182</v>
      </c>
      <c r="D729" s="41">
        <v>50000000</v>
      </c>
      <c r="E729" s="41">
        <v>0</v>
      </c>
      <c r="F729" s="41">
        <v>50000000</v>
      </c>
      <c r="G729" s="41">
        <v>0</v>
      </c>
      <c r="H729" s="41">
        <v>50000000</v>
      </c>
      <c r="I729" s="41">
        <v>0</v>
      </c>
      <c r="J729" s="41">
        <v>38555555.555555768</v>
      </c>
      <c r="K729" s="41">
        <v>111111.11111111109</v>
      </c>
      <c r="L729" s="41">
        <v>10000000</v>
      </c>
      <c r="M729" s="41">
        <v>0</v>
      </c>
      <c r="N729" s="41">
        <v>59595833.333332717</v>
      </c>
      <c r="O729" s="41">
        <v>79166.666666666672</v>
      </c>
      <c r="P729" s="41">
        <v>75000000</v>
      </c>
      <c r="Q729" s="41">
        <v>0</v>
      </c>
      <c r="R729" s="41">
        <v>48856481.481481351</v>
      </c>
      <c r="S729" s="41">
        <v>87962.962962962964</v>
      </c>
      <c r="T729" s="41">
        <v>34157407.407407083</v>
      </c>
      <c r="U729" s="41">
        <v>64814.814814814818</v>
      </c>
      <c r="V729" s="41">
        <v>435707870.37036961</v>
      </c>
      <c r="W729" s="41">
        <v>378240.74074074079</v>
      </c>
      <c r="X729" s="38">
        <f t="shared" si="66"/>
        <v>0.87141574074073924</v>
      </c>
      <c r="Y729" s="39">
        <f t="shared" si="67"/>
        <v>7.5648148148148157E-4</v>
      </c>
      <c r="Z729" s="39">
        <f t="shared" si="71"/>
        <v>8.6886054841371976E-4</v>
      </c>
      <c r="AA729" s="41">
        <f t="shared" si="68"/>
        <v>64292129.629630387</v>
      </c>
      <c r="AB729" s="39">
        <f t="shared" si="69"/>
        <v>5.8831577507182237E-3</v>
      </c>
      <c r="AC729" s="38">
        <f t="shared" si="70"/>
        <v>0.20792449003951893</v>
      </c>
      <c r="AD729" s="3"/>
    </row>
    <row r="730" spans="1:30" x14ac:dyDescent="0.25">
      <c r="A730" s="37">
        <v>46366</v>
      </c>
      <c r="B730" s="41">
        <v>19577777.777777821</v>
      </c>
      <c r="C730" s="41">
        <v>35185.185185185182</v>
      </c>
      <c r="D730" s="41">
        <v>50000000</v>
      </c>
      <c r="E730" s="41">
        <v>0</v>
      </c>
      <c r="F730" s="41">
        <v>50000000</v>
      </c>
      <c r="G730" s="41">
        <v>0</v>
      </c>
      <c r="H730" s="41">
        <v>50000000</v>
      </c>
      <c r="I730" s="41">
        <v>0</v>
      </c>
      <c r="J730" s="41">
        <v>38666666.66666688</v>
      </c>
      <c r="K730" s="41">
        <v>111111.11111111109</v>
      </c>
      <c r="L730" s="41">
        <v>10000000</v>
      </c>
      <c r="M730" s="41">
        <v>0</v>
      </c>
      <c r="N730" s="41">
        <v>59674999.999999389</v>
      </c>
      <c r="O730" s="41">
        <v>79166.666666666672</v>
      </c>
      <c r="P730" s="41">
        <v>75000000</v>
      </c>
      <c r="Q730" s="41">
        <v>0</v>
      </c>
      <c r="R730" s="41">
        <v>48944444.444444314</v>
      </c>
      <c r="S730" s="41">
        <v>87962.962962962964</v>
      </c>
      <c r="T730" s="41">
        <v>34222222.222221889</v>
      </c>
      <c r="U730" s="41">
        <v>64814.814814814818</v>
      </c>
      <c r="V730" s="41">
        <v>436086111.11111033</v>
      </c>
      <c r="W730" s="41">
        <v>378240.74074074079</v>
      </c>
      <c r="X730" s="38">
        <f t="shared" si="66"/>
        <v>0.87217222222222068</v>
      </c>
      <c r="Y730" s="39">
        <f t="shared" si="67"/>
        <v>7.5648148148148157E-4</v>
      </c>
      <c r="Z730" s="39">
        <f t="shared" si="71"/>
        <v>8.6810628511075694E-4</v>
      </c>
      <c r="AA730" s="41">
        <f t="shared" si="68"/>
        <v>63913888.88888967</v>
      </c>
      <c r="AB730" s="39">
        <f t="shared" si="69"/>
        <v>5.9179741260665403E-3</v>
      </c>
      <c r="AC730" s="38">
        <f t="shared" si="70"/>
        <v>0.20770668738605025</v>
      </c>
      <c r="AD730" s="3"/>
    </row>
    <row r="731" spans="1:30" x14ac:dyDescent="0.25">
      <c r="A731" s="37">
        <v>46367</v>
      </c>
      <c r="B731" s="41">
        <v>19612962.962963011</v>
      </c>
      <c r="C731" s="41">
        <v>35185.185185185182</v>
      </c>
      <c r="D731" s="41">
        <v>50000000</v>
      </c>
      <c r="E731" s="41">
        <v>0</v>
      </c>
      <c r="F731" s="41">
        <v>50000000</v>
      </c>
      <c r="G731" s="41">
        <v>0</v>
      </c>
      <c r="H731" s="41">
        <v>50000000</v>
      </c>
      <c r="I731" s="41">
        <v>0</v>
      </c>
      <c r="J731" s="41">
        <v>38777777.777777992</v>
      </c>
      <c r="K731" s="41">
        <v>111111.11111111109</v>
      </c>
      <c r="L731" s="41">
        <v>10000000</v>
      </c>
      <c r="M731" s="41">
        <v>0</v>
      </c>
      <c r="N731" s="41">
        <v>59754166.666666053</v>
      </c>
      <c r="O731" s="41">
        <v>79166.666666666672</v>
      </c>
      <c r="P731" s="41">
        <v>75000000</v>
      </c>
      <c r="Q731" s="41">
        <v>0</v>
      </c>
      <c r="R731" s="41">
        <v>49032407.407407276</v>
      </c>
      <c r="S731" s="41">
        <v>87962.962962962964</v>
      </c>
      <c r="T731" s="41">
        <v>34287037.037036702</v>
      </c>
      <c r="U731" s="41">
        <v>64814.814814814818</v>
      </c>
      <c r="V731" s="41">
        <v>436464351.85185099</v>
      </c>
      <c r="W731" s="41">
        <v>378240.74074074079</v>
      </c>
      <c r="X731" s="38">
        <f t="shared" si="66"/>
        <v>0.87292870370370201</v>
      </c>
      <c r="Y731" s="39">
        <f t="shared" si="67"/>
        <v>7.5648148148148157E-4</v>
      </c>
      <c r="Z731" s="39">
        <f t="shared" si="71"/>
        <v>8.6735333023336958E-4</v>
      </c>
      <c r="AA731" s="41">
        <f t="shared" si="68"/>
        <v>63535648.148149014</v>
      </c>
      <c r="AB731" s="39">
        <f t="shared" si="69"/>
        <v>5.9532050394572088E-3</v>
      </c>
      <c r="AC731" s="38">
        <f t="shared" si="70"/>
        <v>0.20748934055532905</v>
      </c>
      <c r="AD731" s="3"/>
    </row>
    <row r="732" spans="1:30" x14ac:dyDescent="0.25">
      <c r="A732" s="37">
        <v>46368</v>
      </c>
      <c r="B732" s="41">
        <v>19648148.148148201</v>
      </c>
      <c r="C732" s="41">
        <v>35185.185185185182</v>
      </c>
      <c r="D732" s="41">
        <v>50000000</v>
      </c>
      <c r="E732" s="41">
        <v>0</v>
      </c>
      <c r="F732" s="41">
        <v>50000000</v>
      </c>
      <c r="G732" s="41">
        <v>0</v>
      </c>
      <c r="H732" s="41">
        <v>50000000</v>
      </c>
      <c r="I732" s="41">
        <v>0</v>
      </c>
      <c r="J732" s="41">
        <v>38888888.888889097</v>
      </c>
      <c r="K732" s="41">
        <v>111111.11111111109</v>
      </c>
      <c r="L732" s="41">
        <v>10000000</v>
      </c>
      <c r="M732" s="41">
        <v>0</v>
      </c>
      <c r="N732" s="41">
        <v>59833333.333332717</v>
      </c>
      <c r="O732" s="41">
        <v>79166.666666666672</v>
      </c>
      <c r="P732" s="41">
        <v>75000000</v>
      </c>
      <c r="Q732" s="41">
        <v>0</v>
      </c>
      <c r="R732" s="41">
        <v>49120370.370370239</v>
      </c>
      <c r="S732" s="41">
        <v>87962.962962962964</v>
      </c>
      <c r="T732" s="41">
        <v>34351851.851851523</v>
      </c>
      <c r="U732" s="41">
        <v>64814.814814814818</v>
      </c>
      <c r="V732" s="41">
        <v>436842592.59259182</v>
      </c>
      <c r="W732" s="41">
        <v>378240.74074074079</v>
      </c>
      <c r="X732" s="38">
        <f t="shared" si="66"/>
        <v>0.87368518518518368</v>
      </c>
      <c r="Y732" s="39">
        <f t="shared" si="67"/>
        <v>7.5648148148148157E-4</v>
      </c>
      <c r="Z732" s="39">
        <f t="shared" si="71"/>
        <v>8.6660168037990643E-4</v>
      </c>
      <c r="AA732" s="41">
        <f t="shared" si="68"/>
        <v>63157407.407408178</v>
      </c>
      <c r="AB732" s="39">
        <f t="shared" si="69"/>
        <v>5.9888579387185909E-3</v>
      </c>
      <c r="AC732" s="38">
        <f t="shared" si="70"/>
        <v>0.20727244811791543</v>
      </c>
      <c r="AD732" s="3"/>
    </row>
    <row r="733" spans="1:30" x14ac:dyDescent="0.25">
      <c r="A733" s="37">
        <v>46369</v>
      </c>
      <c r="B733" s="41">
        <v>19683333.333333381</v>
      </c>
      <c r="C733" s="41">
        <v>35185.185185185182</v>
      </c>
      <c r="D733" s="41">
        <v>50000000</v>
      </c>
      <c r="E733" s="41">
        <v>0</v>
      </c>
      <c r="F733" s="41">
        <v>50000000</v>
      </c>
      <c r="G733" s="41">
        <v>0</v>
      </c>
      <c r="H733" s="41">
        <v>50000000</v>
      </c>
      <c r="I733" s="41">
        <v>0</v>
      </c>
      <c r="J733" s="41">
        <v>39000000.000000224</v>
      </c>
      <c r="K733" s="41">
        <v>111111.11111111109</v>
      </c>
      <c r="L733" s="41">
        <v>10000000</v>
      </c>
      <c r="M733" s="41">
        <v>0</v>
      </c>
      <c r="N733" s="41">
        <v>59912499.999999382</v>
      </c>
      <c r="O733" s="41">
        <v>79166.666666666672</v>
      </c>
      <c r="P733" s="41">
        <v>75000000</v>
      </c>
      <c r="Q733" s="41">
        <v>0</v>
      </c>
      <c r="R733" s="41">
        <v>49208333.333333202</v>
      </c>
      <c r="S733" s="41">
        <v>87962.962962962964</v>
      </c>
      <c r="T733" s="41">
        <v>34416666.666666329</v>
      </c>
      <c r="U733" s="41">
        <v>64814.814814814818</v>
      </c>
      <c r="V733" s="41">
        <v>437220833.33333248</v>
      </c>
      <c r="W733" s="41">
        <v>378240.74074074079</v>
      </c>
      <c r="X733" s="38">
        <f t="shared" si="66"/>
        <v>0.87444166666666501</v>
      </c>
      <c r="Y733" s="39">
        <f t="shared" si="67"/>
        <v>7.5648148148148157E-4</v>
      </c>
      <c r="Z733" s="39">
        <f t="shared" si="71"/>
        <v>8.6585133216049675E-4</v>
      </c>
      <c r="AA733" s="41">
        <f t="shared" si="68"/>
        <v>62779166.666667521</v>
      </c>
      <c r="AB733" s="39">
        <f t="shared" si="69"/>
        <v>6.0249404511698778E-3</v>
      </c>
      <c r="AC733" s="38">
        <f t="shared" si="70"/>
        <v>0.20705600865034041</v>
      </c>
      <c r="AD733" s="3"/>
    </row>
    <row r="734" spans="1:30" x14ac:dyDescent="0.25">
      <c r="A734" s="37">
        <v>46370</v>
      </c>
      <c r="B734" s="41">
        <v>19718518.518518571</v>
      </c>
      <c r="C734" s="41">
        <v>35185.185185185182</v>
      </c>
      <c r="D734" s="41">
        <v>50000000</v>
      </c>
      <c r="E734" s="41">
        <v>0</v>
      </c>
      <c r="F734" s="41">
        <v>50000000</v>
      </c>
      <c r="G734" s="41">
        <v>0</v>
      </c>
      <c r="H734" s="41">
        <v>50000000</v>
      </c>
      <c r="I734" s="41">
        <v>0</v>
      </c>
      <c r="J734" s="41">
        <v>39111111.111111328</v>
      </c>
      <c r="K734" s="41">
        <v>111111.11111111109</v>
      </c>
      <c r="L734" s="41">
        <v>10000000</v>
      </c>
      <c r="M734" s="41">
        <v>0</v>
      </c>
      <c r="N734" s="41">
        <v>59991666.666666053</v>
      </c>
      <c r="O734" s="41">
        <v>79166.666666666672</v>
      </c>
      <c r="P734" s="41">
        <v>75000000</v>
      </c>
      <c r="Q734" s="41">
        <v>0</v>
      </c>
      <c r="R734" s="41">
        <v>49296296.296296157</v>
      </c>
      <c r="S734" s="41">
        <v>87962.962962962964</v>
      </c>
      <c r="T734" s="41">
        <v>34481481.481481142</v>
      </c>
      <c r="U734" s="41">
        <v>64814.814814814818</v>
      </c>
      <c r="V734" s="41">
        <v>437599074.07407331</v>
      </c>
      <c r="W734" s="41">
        <v>378240.74074074079</v>
      </c>
      <c r="X734" s="38">
        <f t="shared" si="66"/>
        <v>0.87519814814814667</v>
      </c>
      <c r="Y734" s="39">
        <f t="shared" si="67"/>
        <v>7.5648148148148157E-4</v>
      </c>
      <c r="Z734" s="39">
        <f t="shared" si="71"/>
        <v>8.6510228219700152E-4</v>
      </c>
      <c r="AA734" s="41">
        <f t="shared" si="68"/>
        <v>62400925.925926685</v>
      </c>
      <c r="AB734" s="39">
        <f t="shared" si="69"/>
        <v>6.0614603890611057E-3</v>
      </c>
      <c r="AC734" s="38">
        <f t="shared" si="70"/>
        <v>0.20684002073507413</v>
      </c>
      <c r="AD734" s="3"/>
    </row>
    <row r="735" spans="1:30" x14ac:dyDescent="0.25">
      <c r="A735" s="37">
        <v>46371</v>
      </c>
      <c r="B735" s="41">
        <v>19753703.703703761</v>
      </c>
      <c r="C735" s="41">
        <v>35185.185185185182</v>
      </c>
      <c r="D735" s="41">
        <v>50000000</v>
      </c>
      <c r="E735" s="41">
        <v>0</v>
      </c>
      <c r="F735" s="41">
        <v>50000000</v>
      </c>
      <c r="G735" s="41">
        <v>0</v>
      </c>
      <c r="H735" s="41">
        <v>50000000</v>
      </c>
      <c r="I735" s="41">
        <v>0</v>
      </c>
      <c r="J735" s="41">
        <v>39222222.22222244</v>
      </c>
      <c r="K735" s="41">
        <v>111111.11111111109</v>
      </c>
      <c r="L735" s="41">
        <v>10000000</v>
      </c>
      <c r="M735" s="41">
        <v>0</v>
      </c>
      <c r="N735" s="41">
        <v>60070833.33333271</v>
      </c>
      <c r="O735" s="41">
        <v>79166.666666666672</v>
      </c>
      <c r="P735" s="41">
        <v>75000000</v>
      </c>
      <c r="Q735" s="41">
        <v>0</v>
      </c>
      <c r="R735" s="41">
        <v>49384259.259259127</v>
      </c>
      <c r="S735" s="41">
        <v>87962.962962962964</v>
      </c>
      <c r="T735" s="41">
        <v>34546296.296295963</v>
      </c>
      <c r="U735" s="41">
        <v>64814.814814814818</v>
      </c>
      <c r="V735" s="41">
        <v>437977314.81481397</v>
      </c>
      <c r="W735" s="41">
        <v>378240.74074074079</v>
      </c>
      <c r="X735" s="38">
        <f t="shared" si="66"/>
        <v>0.87595462962962789</v>
      </c>
      <c r="Y735" s="39">
        <f t="shared" si="67"/>
        <v>7.5648148148148157E-4</v>
      </c>
      <c r="Z735" s="39">
        <f t="shared" si="71"/>
        <v>8.6435452712295999E-4</v>
      </c>
      <c r="AA735" s="41">
        <f t="shared" si="68"/>
        <v>62022685.185186028</v>
      </c>
      <c r="AB735" s="39">
        <f t="shared" si="69"/>
        <v>6.0984257552119444E-3</v>
      </c>
      <c r="AC735" s="38">
        <f t="shared" si="70"/>
        <v>0.20662448296049565</v>
      </c>
      <c r="AD735" s="3"/>
    </row>
    <row r="736" spans="1:30" x14ac:dyDescent="0.25">
      <c r="A736" s="37">
        <v>46372</v>
      </c>
      <c r="B736" s="41">
        <v>19788888.88888894</v>
      </c>
      <c r="C736" s="41">
        <v>35185.185185185182</v>
      </c>
      <c r="D736" s="41">
        <v>50000000</v>
      </c>
      <c r="E736" s="41">
        <v>0</v>
      </c>
      <c r="F736" s="41">
        <v>50000000</v>
      </c>
      <c r="G736" s="41">
        <v>0</v>
      </c>
      <c r="H736" s="41">
        <v>50000000</v>
      </c>
      <c r="I736" s="41">
        <v>0</v>
      </c>
      <c r="J736" s="41">
        <v>39333333.333333552</v>
      </c>
      <c r="K736" s="41">
        <v>111111.11111111109</v>
      </c>
      <c r="L736" s="41">
        <v>10000000</v>
      </c>
      <c r="M736" s="41">
        <v>0</v>
      </c>
      <c r="N736" s="41">
        <v>60149999.999999367</v>
      </c>
      <c r="O736" s="41">
        <v>79166.666666666672</v>
      </c>
      <c r="P736" s="41">
        <v>75000000</v>
      </c>
      <c r="Q736" s="41">
        <v>0</v>
      </c>
      <c r="R736" s="41">
        <v>49472222.22222209</v>
      </c>
      <c r="S736" s="41">
        <v>87962.962962962964</v>
      </c>
      <c r="T736" s="41">
        <v>34611111.111110769</v>
      </c>
      <c r="U736" s="41">
        <v>64814.814814814818</v>
      </c>
      <c r="V736" s="41">
        <v>438355555.55555469</v>
      </c>
      <c r="W736" s="41">
        <v>378240.74074074079</v>
      </c>
      <c r="X736" s="38">
        <f t="shared" si="66"/>
        <v>0.87671111111110933</v>
      </c>
      <c r="Y736" s="39">
        <f t="shared" si="67"/>
        <v>7.5648148148148157E-4</v>
      </c>
      <c r="Z736" s="39">
        <f t="shared" si="71"/>
        <v>8.6360806358354184E-4</v>
      </c>
      <c r="AA736" s="41">
        <f t="shared" si="68"/>
        <v>61644444.444445312</v>
      </c>
      <c r="AB736" s="39">
        <f t="shared" si="69"/>
        <v>6.1358447488583621E-3</v>
      </c>
      <c r="AC736" s="38">
        <f t="shared" si="70"/>
        <v>0.20640939392086161</v>
      </c>
      <c r="AD736" s="3"/>
    </row>
    <row r="737" spans="1:30" x14ac:dyDescent="0.25">
      <c r="A737" s="37">
        <v>46373</v>
      </c>
      <c r="B737" s="41">
        <v>19824074.074074131</v>
      </c>
      <c r="C737" s="41">
        <v>35185.185185185182</v>
      </c>
      <c r="D737" s="41">
        <v>50000000</v>
      </c>
      <c r="E737" s="41">
        <v>0</v>
      </c>
      <c r="F737" s="41">
        <v>50000000</v>
      </c>
      <c r="G737" s="41">
        <v>0</v>
      </c>
      <c r="H737" s="41">
        <v>50000000</v>
      </c>
      <c r="I737" s="41">
        <v>0</v>
      </c>
      <c r="J737" s="41">
        <v>39444444.444444656</v>
      </c>
      <c r="K737" s="41">
        <v>111111.11111111109</v>
      </c>
      <c r="L737" s="41">
        <v>10000000</v>
      </c>
      <c r="M737" s="41">
        <v>0</v>
      </c>
      <c r="N737" s="41">
        <v>60229166.666666038</v>
      </c>
      <c r="O737" s="41">
        <v>79166.666666666672</v>
      </c>
      <c r="P737" s="41">
        <v>75000000</v>
      </c>
      <c r="Q737" s="41">
        <v>0</v>
      </c>
      <c r="R737" s="41">
        <v>49560185.185185052</v>
      </c>
      <c r="S737" s="41">
        <v>87962.962962962964</v>
      </c>
      <c r="T737" s="41">
        <v>34675925.925925583</v>
      </c>
      <c r="U737" s="41">
        <v>64814.814814814818</v>
      </c>
      <c r="V737" s="41">
        <v>438733796.29629552</v>
      </c>
      <c r="W737" s="41">
        <v>378240.74074074079</v>
      </c>
      <c r="X737" s="38">
        <f t="shared" si="66"/>
        <v>0.87746759259259099</v>
      </c>
      <c r="Y737" s="39">
        <f t="shared" si="67"/>
        <v>7.5648148148148157E-4</v>
      </c>
      <c r="Z737" s="39">
        <f t="shared" si="71"/>
        <v>8.6286288823549475E-4</v>
      </c>
      <c r="AA737" s="41">
        <f t="shared" si="68"/>
        <v>61266203.703704476</v>
      </c>
      <c r="AB737" s="39">
        <f t="shared" si="69"/>
        <v>6.1737257717156442E-3</v>
      </c>
      <c r="AC737" s="38">
        <f t="shared" si="70"/>
        <v>0.20619475221627581</v>
      </c>
      <c r="AD737" s="3"/>
    </row>
    <row r="738" spans="1:30" x14ac:dyDescent="0.25">
      <c r="A738" s="37">
        <v>46374</v>
      </c>
      <c r="B738" s="41">
        <v>19859259.259259321</v>
      </c>
      <c r="C738" s="41">
        <v>35185.185185185182</v>
      </c>
      <c r="D738" s="41">
        <v>50000000</v>
      </c>
      <c r="E738" s="41">
        <v>0</v>
      </c>
      <c r="F738" s="41">
        <v>50000000</v>
      </c>
      <c r="G738" s="41">
        <v>0</v>
      </c>
      <c r="H738" s="41">
        <v>50000000</v>
      </c>
      <c r="I738" s="41">
        <v>0</v>
      </c>
      <c r="J738" s="41">
        <v>39555555.555555783</v>
      </c>
      <c r="K738" s="41">
        <v>111111.11111111109</v>
      </c>
      <c r="L738" s="41">
        <v>10000000</v>
      </c>
      <c r="M738" s="41">
        <v>0</v>
      </c>
      <c r="N738" s="41">
        <v>60308333.333332703</v>
      </c>
      <c r="O738" s="41">
        <v>79166.666666666672</v>
      </c>
      <c r="P738" s="41">
        <v>75000000</v>
      </c>
      <c r="Q738" s="41">
        <v>0</v>
      </c>
      <c r="R738" s="41">
        <v>49648148.148148023</v>
      </c>
      <c r="S738" s="41">
        <v>87962.962962962964</v>
      </c>
      <c r="T738" s="41">
        <v>34740740.740740404</v>
      </c>
      <c r="U738" s="41">
        <v>64814.814814814818</v>
      </c>
      <c r="V738" s="41">
        <v>439112037.03703618</v>
      </c>
      <c r="W738" s="41">
        <v>378240.74074074079</v>
      </c>
      <c r="X738" s="38">
        <f t="shared" si="66"/>
        <v>0.87822407407407233</v>
      </c>
      <c r="Y738" s="39">
        <f t="shared" si="67"/>
        <v>7.5648148148148157E-4</v>
      </c>
      <c r="Z738" s="39">
        <f t="shared" si="71"/>
        <v>8.6211899774709581E-4</v>
      </c>
      <c r="AA738" s="41">
        <f t="shared" si="68"/>
        <v>60887962.96296382</v>
      </c>
      <c r="AB738" s="39">
        <f t="shared" si="69"/>
        <v>6.2120774342674665E-3</v>
      </c>
      <c r="AC738" s="38">
        <f t="shared" si="70"/>
        <v>0.20598055645265928</v>
      </c>
      <c r="AD738" s="3"/>
    </row>
    <row r="739" spans="1:30" x14ac:dyDescent="0.25">
      <c r="A739" s="37">
        <v>46375</v>
      </c>
      <c r="B739" s="41">
        <v>19894444.4444445</v>
      </c>
      <c r="C739" s="41">
        <v>35185.185185185182</v>
      </c>
      <c r="D739" s="41">
        <v>50000000</v>
      </c>
      <c r="E739" s="41">
        <v>0</v>
      </c>
      <c r="F739" s="41">
        <v>50000000</v>
      </c>
      <c r="G739" s="41">
        <v>0</v>
      </c>
      <c r="H739" s="41">
        <v>50000000</v>
      </c>
      <c r="I739" s="41">
        <v>0</v>
      </c>
      <c r="J739" s="41">
        <v>39666666.666666888</v>
      </c>
      <c r="K739" s="41">
        <v>111111.11111111109</v>
      </c>
      <c r="L739" s="41">
        <v>10000000</v>
      </c>
      <c r="M739" s="41">
        <v>0</v>
      </c>
      <c r="N739" s="41">
        <v>60387499.999999367</v>
      </c>
      <c r="O739" s="41">
        <v>79166.666666666672</v>
      </c>
      <c r="P739" s="41">
        <v>75000000</v>
      </c>
      <c r="Q739" s="41">
        <v>0</v>
      </c>
      <c r="R739" s="41">
        <v>49736111.111110978</v>
      </c>
      <c r="S739" s="41">
        <v>87962.962962962964</v>
      </c>
      <c r="T739" s="41">
        <v>34805555.55555521</v>
      </c>
      <c r="U739" s="41">
        <v>64814.814814814818</v>
      </c>
      <c r="V739" s="41">
        <v>439490277.77777702</v>
      </c>
      <c r="W739" s="41">
        <v>378240.74074074079</v>
      </c>
      <c r="X739" s="38">
        <f t="shared" si="66"/>
        <v>0.87898055555555399</v>
      </c>
      <c r="Y739" s="39">
        <f t="shared" si="67"/>
        <v>7.5648148148148157E-4</v>
      </c>
      <c r="Z739" s="39">
        <f t="shared" si="71"/>
        <v>8.6137638879810229E-4</v>
      </c>
      <c r="AA739" s="41">
        <f t="shared" si="68"/>
        <v>60509722.222222984</v>
      </c>
      <c r="AB739" s="39">
        <f t="shared" si="69"/>
        <v>6.2509085622909528E-3</v>
      </c>
      <c r="AC739" s="38">
        <f t="shared" si="70"/>
        <v>0.20576680524171928</v>
      </c>
      <c r="AD739" s="3"/>
    </row>
    <row r="740" spans="1:30" x14ac:dyDescent="0.25">
      <c r="A740" s="37">
        <v>46376</v>
      </c>
      <c r="B740" s="41">
        <v>19929629.62962969</v>
      </c>
      <c r="C740" s="41">
        <v>35185.185185185182</v>
      </c>
      <c r="D740" s="41">
        <v>50000000</v>
      </c>
      <c r="E740" s="41">
        <v>0</v>
      </c>
      <c r="F740" s="41">
        <v>50000000</v>
      </c>
      <c r="G740" s="41">
        <v>0</v>
      </c>
      <c r="H740" s="41">
        <v>50000000</v>
      </c>
      <c r="I740" s="41">
        <v>0</v>
      </c>
      <c r="J740" s="41">
        <v>39777777.777778</v>
      </c>
      <c r="K740" s="41">
        <v>111111.11111111109</v>
      </c>
      <c r="L740" s="41">
        <v>10000000</v>
      </c>
      <c r="M740" s="41">
        <v>0</v>
      </c>
      <c r="N740" s="41">
        <v>60466666.666666031</v>
      </c>
      <c r="O740" s="41">
        <v>79166.666666666672</v>
      </c>
      <c r="P740" s="41">
        <v>75000000</v>
      </c>
      <c r="Q740" s="41">
        <v>0</v>
      </c>
      <c r="R740" s="41">
        <v>49824074.074073941</v>
      </c>
      <c r="S740" s="41">
        <v>87962.962962962964</v>
      </c>
      <c r="T740" s="41">
        <v>34870370.370370023</v>
      </c>
      <c r="U740" s="41">
        <v>64814.814814814818</v>
      </c>
      <c r="V740" s="41">
        <v>439868518.51851761</v>
      </c>
      <c r="W740" s="41">
        <v>378240.74074074079</v>
      </c>
      <c r="X740" s="38">
        <f t="shared" si="66"/>
        <v>0.87973703703703521</v>
      </c>
      <c r="Y740" s="39">
        <f t="shared" si="67"/>
        <v>7.5648148148148157E-4</v>
      </c>
      <c r="Z740" s="39">
        <f t="shared" si="71"/>
        <v>8.6063505807970045E-4</v>
      </c>
      <c r="AA740" s="41">
        <f t="shared" si="68"/>
        <v>60131481.481482387</v>
      </c>
      <c r="AB740" s="39">
        <f t="shared" si="69"/>
        <v>6.2902282036277589E-3</v>
      </c>
      <c r="AC740" s="38">
        <f t="shared" si="70"/>
        <v>0.20555349720092017</v>
      </c>
      <c r="AD740" s="3"/>
    </row>
    <row r="741" spans="1:30" x14ac:dyDescent="0.25">
      <c r="A741" s="37">
        <v>46377</v>
      </c>
      <c r="B741" s="41">
        <v>19964814.81481488</v>
      </c>
      <c r="C741" s="41">
        <v>35185.185185185182</v>
      </c>
      <c r="D741" s="41">
        <v>50000000</v>
      </c>
      <c r="E741" s="41">
        <v>0</v>
      </c>
      <c r="F741" s="41">
        <v>50000000</v>
      </c>
      <c r="G741" s="41">
        <v>0</v>
      </c>
      <c r="H741" s="41">
        <v>50000000</v>
      </c>
      <c r="I741" s="41">
        <v>0</v>
      </c>
      <c r="J741" s="41">
        <v>39888888.888889112</v>
      </c>
      <c r="K741" s="41">
        <v>111111.11111111109</v>
      </c>
      <c r="L741" s="41">
        <v>10000000</v>
      </c>
      <c r="M741" s="41">
        <v>0</v>
      </c>
      <c r="N741" s="41">
        <v>60545833.333332703</v>
      </c>
      <c r="O741" s="41">
        <v>79166.666666666672</v>
      </c>
      <c r="P741" s="41">
        <v>75000000</v>
      </c>
      <c r="Q741" s="41">
        <v>0</v>
      </c>
      <c r="R741" s="41">
        <v>49912037.037036903</v>
      </c>
      <c r="S741" s="41">
        <v>87962.962962962964</v>
      </c>
      <c r="T741" s="41">
        <v>34935185.185184836</v>
      </c>
      <c r="U741" s="41">
        <v>64814.814814814818</v>
      </c>
      <c r="V741" s="41">
        <v>440246759.25925839</v>
      </c>
      <c r="W741" s="41">
        <v>378240.74074074079</v>
      </c>
      <c r="X741" s="38">
        <f t="shared" si="66"/>
        <v>0.88049351851851676</v>
      </c>
      <c r="Y741" s="39">
        <f t="shared" si="67"/>
        <v>7.5648148148148157E-4</v>
      </c>
      <c r="Z741" s="39">
        <f t="shared" si="71"/>
        <v>8.5989500229445852E-4</v>
      </c>
      <c r="AA741" s="41">
        <f t="shared" si="68"/>
        <v>59753240.740741611</v>
      </c>
      <c r="AB741" s="39">
        <f t="shared" si="69"/>
        <v>6.3300456352126276E-3</v>
      </c>
      <c r="AC741" s="38">
        <f t="shared" si="70"/>
        <v>0.20534063095345281</v>
      </c>
      <c r="AD741" s="3"/>
    </row>
    <row r="742" spans="1:30" x14ac:dyDescent="0.25">
      <c r="A742" s="37">
        <v>46378</v>
      </c>
      <c r="B742" s="41">
        <v>20000000</v>
      </c>
      <c r="C742" s="41">
        <v>35185.185185185182</v>
      </c>
      <c r="D742" s="41">
        <v>50000000</v>
      </c>
      <c r="E742" s="41">
        <v>0</v>
      </c>
      <c r="F742" s="41">
        <v>50000000</v>
      </c>
      <c r="G742" s="41">
        <v>0</v>
      </c>
      <c r="H742" s="41">
        <v>50000000</v>
      </c>
      <c r="I742" s="41">
        <v>0</v>
      </c>
      <c r="J742" s="41">
        <v>40000000</v>
      </c>
      <c r="K742" s="41">
        <v>111111.11111111109</v>
      </c>
      <c r="L742" s="41">
        <v>10000000</v>
      </c>
      <c r="M742" s="41">
        <v>0</v>
      </c>
      <c r="N742" s="41">
        <v>60624999.999999359</v>
      </c>
      <c r="O742" s="41">
        <v>79166.666666666672</v>
      </c>
      <c r="P742" s="41">
        <v>75000000</v>
      </c>
      <c r="Q742" s="41">
        <v>0</v>
      </c>
      <c r="R742" s="41">
        <v>49999999.999999873</v>
      </c>
      <c r="S742" s="41">
        <v>87962.962962962964</v>
      </c>
      <c r="T742" s="41">
        <v>34999999.99999965</v>
      </c>
      <c r="U742" s="41">
        <v>64814.814814814818</v>
      </c>
      <c r="V742" s="41">
        <v>440624999.99999893</v>
      </c>
      <c r="W742" s="41">
        <v>378240.74074074079</v>
      </c>
      <c r="X742" s="38">
        <f t="shared" si="66"/>
        <v>0.88124999999999787</v>
      </c>
      <c r="Y742" s="39">
        <f t="shared" si="67"/>
        <v>7.5648148148148157E-4</v>
      </c>
      <c r="Z742" s="39">
        <f t="shared" si="71"/>
        <v>8.5915621815627573E-4</v>
      </c>
      <c r="AA742" s="41">
        <f t="shared" si="68"/>
        <v>59375000.000001073</v>
      </c>
      <c r="AB742" s="39">
        <f t="shared" si="69"/>
        <v>6.3703703703702564E-3</v>
      </c>
      <c r="AC742" s="38">
        <f t="shared" si="70"/>
        <v>0.20512820512820573</v>
      </c>
      <c r="AD742" s="3"/>
    </row>
    <row r="743" spans="1:30" x14ac:dyDescent="0.25">
      <c r="A743" s="37">
        <v>46379</v>
      </c>
      <c r="B743" s="41">
        <v>20000000</v>
      </c>
      <c r="C743" s="41">
        <v>0</v>
      </c>
      <c r="D743" s="41">
        <v>50000000</v>
      </c>
      <c r="E743" s="41">
        <v>0</v>
      </c>
      <c r="F743" s="41">
        <v>50000000</v>
      </c>
      <c r="G743" s="41">
        <v>0</v>
      </c>
      <c r="H743" s="41">
        <v>50000000</v>
      </c>
      <c r="I743" s="41">
        <v>0</v>
      </c>
      <c r="J743" s="41">
        <v>40000000</v>
      </c>
      <c r="K743" s="41">
        <v>0</v>
      </c>
      <c r="L743" s="41">
        <v>10000000</v>
      </c>
      <c r="M743" s="41">
        <v>0</v>
      </c>
      <c r="N743" s="41">
        <v>60704166.666666023</v>
      </c>
      <c r="O743" s="41">
        <v>79166.666666666672</v>
      </c>
      <c r="P743" s="41">
        <v>75000000</v>
      </c>
      <c r="Q743" s="41">
        <v>0</v>
      </c>
      <c r="R743" s="41">
        <v>50000000</v>
      </c>
      <c r="S743" s="41">
        <v>0</v>
      </c>
      <c r="T743" s="41">
        <v>35000000</v>
      </c>
      <c r="U743" s="41">
        <v>0</v>
      </c>
      <c r="V743" s="41">
        <v>440704166.66666597</v>
      </c>
      <c r="W743" s="41">
        <v>79166.666666666672</v>
      </c>
      <c r="X743" s="38">
        <f t="shared" si="66"/>
        <v>0.88140833333333191</v>
      </c>
      <c r="Y743" s="39">
        <f t="shared" si="67"/>
        <v>1.5833333333333335E-4</v>
      </c>
      <c r="Z743" s="39">
        <f t="shared" si="71"/>
        <v>1.7966903073286098E-4</v>
      </c>
      <c r="AA743" s="41">
        <f t="shared" si="68"/>
        <v>59295833.333334029</v>
      </c>
      <c r="AB743" s="39">
        <f t="shared" si="69"/>
        <v>1.3351134846461793E-3</v>
      </c>
      <c r="AC743" s="38">
        <f t="shared" si="70"/>
        <v>0.20508379951919281</v>
      </c>
      <c r="AD743" s="3"/>
    </row>
    <row r="744" spans="1:30" x14ac:dyDescent="0.25">
      <c r="A744" s="37">
        <v>46380</v>
      </c>
      <c r="B744" s="41">
        <v>20000000</v>
      </c>
      <c r="C744" s="41">
        <v>0</v>
      </c>
      <c r="D744" s="41">
        <v>50000000</v>
      </c>
      <c r="E744" s="41">
        <v>0</v>
      </c>
      <c r="F744" s="41">
        <v>50000000</v>
      </c>
      <c r="G744" s="41">
        <v>0</v>
      </c>
      <c r="H744" s="41">
        <v>50000000</v>
      </c>
      <c r="I744" s="41">
        <v>0</v>
      </c>
      <c r="J744" s="41">
        <v>40000000</v>
      </c>
      <c r="K744" s="41">
        <v>0</v>
      </c>
      <c r="L744" s="41">
        <v>10000000</v>
      </c>
      <c r="M744" s="41">
        <v>0</v>
      </c>
      <c r="N744" s="41">
        <v>60783333.333332688</v>
      </c>
      <c r="O744" s="41">
        <v>79166.666666666672</v>
      </c>
      <c r="P744" s="41">
        <v>75000000</v>
      </c>
      <c r="Q744" s="41">
        <v>0</v>
      </c>
      <c r="R744" s="41">
        <v>50000000</v>
      </c>
      <c r="S744" s="41">
        <v>0</v>
      </c>
      <c r="T744" s="41">
        <v>35000000</v>
      </c>
      <c r="U744" s="41">
        <v>0</v>
      </c>
      <c r="V744" s="41">
        <v>440783333.33333272</v>
      </c>
      <c r="W744" s="41">
        <v>79166.666666666672</v>
      </c>
      <c r="X744" s="38">
        <f t="shared" si="66"/>
        <v>0.88156666666666539</v>
      </c>
      <c r="Y744" s="39">
        <f t="shared" si="67"/>
        <v>1.5833333333333335E-4</v>
      </c>
      <c r="Z744" s="39">
        <f t="shared" si="71"/>
        <v>1.7963675557110335E-4</v>
      </c>
      <c r="AA744" s="41">
        <f t="shared" si="68"/>
        <v>59216666.666667283</v>
      </c>
      <c r="AB744" s="39">
        <f t="shared" si="69"/>
        <v>1.3368983957219114E-3</v>
      </c>
      <c r="AC744" s="38">
        <f t="shared" si="70"/>
        <v>0.20503941313163565</v>
      </c>
      <c r="AD744" s="3"/>
    </row>
    <row r="745" spans="1:30" x14ac:dyDescent="0.25">
      <c r="A745" s="37">
        <v>46381</v>
      </c>
      <c r="B745" s="41">
        <v>20000000</v>
      </c>
      <c r="C745" s="41">
        <v>0</v>
      </c>
      <c r="D745" s="41">
        <v>50000000</v>
      </c>
      <c r="E745" s="41">
        <v>0</v>
      </c>
      <c r="F745" s="41">
        <v>50000000</v>
      </c>
      <c r="G745" s="41">
        <v>0</v>
      </c>
      <c r="H745" s="41">
        <v>50000000</v>
      </c>
      <c r="I745" s="41">
        <v>0</v>
      </c>
      <c r="J745" s="41">
        <v>40000000</v>
      </c>
      <c r="K745" s="41">
        <v>0</v>
      </c>
      <c r="L745" s="41">
        <v>10000000</v>
      </c>
      <c r="M745" s="41">
        <v>0</v>
      </c>
      <c r="N745" s="41">
        <v>60862499.999999352</v>
      </c>
      <c r="O745" s="41">
        <v>79166.666666666672</v>
      </c>
      <c r="P745" s="41">
        <v>75000000</v>
      </c>
      <c r="Q745" s="41">
        <v>0</v>
      </c>
      <c r="R745" s="41">
        <v>50000000</v>
      </c>
      <c r="S745" s="41">
        <v>0</v>
      </c>
      <c r="T745" s="41">
        <v>35000000</v>
      </c>
      <c r="U745" s="41">
        <v>0</v>
      </c>
      <c r="V745" s="41">
        <v>440862499.99999928</v>
      </c>
      <c r="W745" s="41">
        <v>79166.666666666672</v>
      </c>
      <c r="X745" s="38">
        <f t="shared" si="66"/>
        <v>0.88172499999999854</v>
      </c>
      <c r="Y745" s="39">
        <f t="shared" si="67"/>
        <v>1.5833333333333335E-4</v>
      </c>
      <c r="Z745" s="39">
        <f t="shared" si="71"/>
        <v>1.7960449200287394E-4</v>
      </c>
      <c r="AA745" s="41">
        <f t="shared" si="68"/>
        <v>59137500.000000715</v>
      </c>
      <c r="AB745" s="39">
        <f t="shared" si="69"/>
        <v>1.3386880856760214E-3</v>
      </c>
      <c r="AC745" s="38">
        <f t="shared" si="70"/>
        <v>0.20499504595305654</v>
      </c>
      <c r="AD745" s="3"/>
    </row>
    <row r="746" spans="1:30" x14ac:dyDescent="0.25">
      <c r="A746" s="37">
        <v>46382</v>
      </c>
      <c r="B746" s="41">
        <v>20000000</v>
      </c>
      <c r="C746" s="41">
        <v>0</v>
      </c>
      <c r="D746" s="41">
        <v>50000000</v>
      </c>
      <c r="E746" s="41">
        <v>0</v>
      </c>
      <c r="F746" s="41">
        <v>50000000</v>
      </c>
      <c r="G746" s="41">
        <v>0</v>
      </c>
      <c r="H746" s="41">
        <v>50000000</v>
      </c>
      <c r="I746" s="41">
        <v>0</v>
      </c>
      <c r="J746" s="41">
        <v>40000000</v>
      </c>
      <c r="K746" s="41">
        <v>0</v>
      </c>
      <c r="L746" s="41">
        <v>10000000</v>
      </c>
      <c r="M746" s="41">
        <v>0</v>
      </c>
      <c r="N746" s="41">
        <v>60941666.666666023</v>
      </c>
      <c r="O746" s="41">
        <v>79166.666666666672</v>
      </c>
      <c r="P746" s="41">
        <v>75000000</v>
      </c>
      <c r="Q746" s="41">
        <v>0</v>
      </c>
      <c r="R746" s="41">
        <v>50000000</v>
      </c>
      <c r="S746" s="41">
        <v>0</v>
      </c>
      <c r="T746" s="41">
        <v>35000000</v>
      </c>
      <c r="U746" s="41">
        <v>0</v>
      </c>
      <c r="V746" s="41">
        <v>440941666.66666597</v>
      </c>
      <c r="W746" s="41">
        <v>79166.666666666672</v>
      </c>
      <c r="X746" s="38">
        <f t="shared" si="66"/>
        <v>0.88188333333333191</v>
      </c>
      <c r="Y746" s="39">
        <f t="shared" si="67"/>
        <v>1.5833333333333335E-4</v>
      </c>
      <c r="Z746" s="39">
        <f t="shared" si="71"/>
        <v>1.7957224002192702E-4</v>
      </c>
      <c r="AA746" s="41">
        <f t="shared" si="68"/>
        <v>59058333.333334029</v>
      </c>
      <c r="AB746" s="39">
        <f t="shared" si="69"/>
        <v>1.3404825737265258E-3</v>
      </c>
      <c r="AC746" s="38">
        <f t="shared" si="70"/>
        <v>0.20495069797098847</v>
      </c>
      <c r="AD746" s="3"/>
    </row>
    <row r="747" spans="1:30" x14ac:dyDescent="0.25">
      <c r="A747" s="37">
        <v>46383</v>
      </c>
      <c r="B747" s="41">
        <v>20000000</v>
      </c>
      <c r="C747" s="41">
        <v>0</v>
      </c>
      <c r="D747" s="41">
        <v>50000000</v>
      </c>
      <c r="E747" s="41">
        <v>0</v>
      </c>
      <c r="F747" s="41">
        <v>50000000</v>
      </c>
      <c r="G747" s="41">
        <v>0</v>
      </c>
      <c r="H747" s="41">
        <v>50000000</v>
      </c>
      <c r="I747" s="41">
        <v>0</v>
      </c>
      <c r="J747" s="41">
        <v>40000000</v>
      </c>
      <c r="K747" s="41">
        <v>0</v>
      </c>
      <c r="L747" s="41">
        <v>10000000</v>
      </c>
      <c r="M747" s="41">
        <v>0</v>
      </c>
      <c r="N747" s="41">
        <v>61020833.33333268</v>
      </c>
      <c r="O747" s="41">
        <v>79166.666666666672</v>
      </c>
      <c r="P747" s="41">
        <v>75000000</v>
      </c>
      <c r="Q747" s="41">
        <v>0</v>
      </c>
      <c r="R747" s="41">
        <v>50000000</v>
      </c>
      <c r="S747" s="41">
        <v>0</v>
      </c>
      <c r="T747" s="41">
        <v>35000000</v>
      </c>
      <c r="U747" s="41">
        <v>0</v>
      </c>
      <c r="V747" s="41">
        <v>441020833.33333272</v>
      </c>
      <c r="W747" s="41">
        <v>79166.666666666672</v>
      </c>
      <c r="X747" s="38">
        <f t="shared" si="66"/>
        <v>0.88204166666666539</v>
      </c>
      <c r="Y747" s="39">
        <f t="shared" si="67"/>
        <v>1.5833333333333335E-4</v>
      </c>
      <c r="Z747" s="39">
        <f t="shared" si="71"/>
        <v>1.7953999962202135E-4</v>
      </c>
      <c r="AA747" s="41">
        <f t="shared" si="68"/>
        <v>58979166.666667283</v>
      </c>
      <c r="AB747" s="39">
        <f t="shared" si="69"/>
        <v>1.3422818791946169E-3</v>
      </c>
      <c r="AC747" s="38">
        <f t="shared" si="70"/>
        <v>0.20490636917297547</v>
      </c>
      <c r="AD747" s="3"/>
    </row>
    <row r="748" spans="1:30" x14ac:dyDescent="0.25">
      <c r="A748" s="37">
        <v>46384</v>
      </c>
      <c r="B748" s="41">
        <v>20000000</v>
      </c>
      <c r="C748" s="41">
        <v>0</v>
      </c>
      <c r="D748" s="41">
        <v>50000000</v>
      </c>
      <c r="E748" s="41">
        <v>0</v>
      </c>
      <c r="F748" s="41">
        <v>50000000</v>
      </c>
      <c r="G748" s="41">
        <v>0</v>
      </c>
      <c r="H748" s="41">
        <v>50000000</v>
      </c>
      <c r="I748" s="41">
        <v>0</v>
      </c>
      <c r="J748" s="41">
        <v>40000000</v>
      </c>
      <c r="K748" s="41">
        <v>0</v>
      </c>
      <c r="L748" s="41">
        <v>10000000</v>
      </c>
      <c r="M748" s="41">
        <v>0</v>
      </c>
      <c r="N748" s="41">
        <v>61099999.999999337</v>
      </c>
      <c r="O748" s="41">
        <v>79166.666666666672</v>
      </c>
      <c r="P748" s="41">
        <v>75000000</v>
      </c>
      <c r="Q748" s="41">
        <v>0</v>
      </c>
      <c r="R748" s="41">
        <v>50000000</v>
      </c>
      <c r="S748" s="41">
        <v>0</v>
      </c>
      <c r="T748" s="41">
        <v>35000000</v>
      </c>
      <c r="U748" s="41">
        <v>0</v>
      </c>
      <c r="V748" s="41">
        <v>441099999.99999928</v>
      </c>
      <c r="W748" s="41">
        <v>79166.666666666672</v>
      </c>
      <c r="X748" s="38">
        <f t="shared" si="66"/>
        <v>0.88219999999999854</v>
      </c>
      <c r="Y748" s="39">
        <f t="shared" si="67"/>
        <v>1.5833333333333335E-4</v>
      </c>
      <c r="Z748" s="39">
        <f t="shared" si="71"/>
        <v>1.795077707969203E-4</v>
      </c>
      <c r="AA748" s="41">
        <f t="shared" si="68"/>
        <v>58900000.000000715</v>
      </c>
      <c r="AB748" s="39">
        <f t="shared" si="69"/>
        <v>1.3440860215053602E-3</v>
      </c>
      <c r="AC748" s="38">
        <f t="shared" si="70"/>
        <v>0.20486205954657238</v>
      </c>
      <c r="AD748" s="3"/>
    </row>
    <row r="749" spans="1:30" x14ac:dyDescent="0.25">
      <c r="A749" s="37">
        <v>46385</v>
      </c>
      <c r="B749" s="41">
        <v>20000000</v>
      </c>
      <c r="C749" s="41">
        <v>0</v>
      </c>
      <c r="D749" s="41">
        <v>50000000</v>
      </c>
      <c r="E749" s="41">
        <v>0</v>
      </c>
      <c r="F749" s="41">
        <v>50000000</v>
      </c>
      <c r="G749" s="41">
        <v>0</v>
      </c>
      <c r="H749" s="41">
        <v>50000000</v>
      </c>
      <c r="I749" s="41">
        <v>0</v>
      </c>
      <c r="J749" s="41">
        <v>40000000</v>
      </c>
      <c r="K749" s="41">
        <v>0</v>
      </c>
      <c r="L749" s="41">
        <v>10000000</v>
      </c>
      <c r="M749" s="41">
        <v>0</v>
      </c>
      <c r="N749" s="41">
        <v>61179166.666666009</v>
      </c>
      <c r="O749" s="41">
        <v>79166.666666666672</v>
      </c>
      <c r="P749" s="41">
        <v>75000000</v>
      </c>
      <c r="Q749" s="41">
        <v>0</v>
      </c>
      <c r="R749" s="41">
        <v>50000000</v>
      </c>
      <c r="S749" s="41">
        <v>0</v>
      </c>
      <c r="T749" s="41">
        <v>35000000</v>
      </c>
      <c r="U749" s="41">
        <v>0</v>
      </c>
      <c r="V749" s="41">
        <v>441179166.66666597</v>
      </c>
      <c r="W749" s="41">
        <v>79166.666666666672</v>
      </c>
      <c r="X749" s="38">
        <f t="shared" si="66"/>
        <v>0.88235833333333191</v>
      </c>
      <c r="Y749" s="39">
        <f t="shared" si="67"/>
        <v>1.5833333333333335E-4</v>
      </c>
      <c r="Z749" s="39">
        <f t="shared" si="71"/>
        <v>1.7947555354039176E-4</v>
      </c>
      <c r="AA749" s="41">
        <f t="shared" si="68"/>
        <v>58820833.333334029</v>
      </c>
      <c r="AB749" s="39">
        <f t="shared" si="69"/>
        <v>1.3458950201884095E-3</v>
      </c>
      <c r="AC749" s="38">
        <f t="shared" si="70"/>
        <v>0.20481776907934451</v>
      </c>
      <c r="AD749" s="3"/>
    </row>
    <row r="750" spans="1:30" x14ac:dyDescent="0.25">
      <c r="A750" s="37">
        <v>46386</v>
      </c>
      <c r="B750" s="41">
        <v>20000000</v>
      </c>
      <c r="C750" s="41">
        <v>0</v>
      </c>
      <c r="D750" s="41">
        <v>50000000</v>
      </c>
      <c r="E750" s="41">
        <v>0</v>
      </c>
      <c r="F750" s="41">
        <v>50000000</v>
      </c>
      <c r="G750" s="41">
        <v>0</v>
      </c>
      <c r="H750" s="41">
        <v>50000000</v>
      </c>
      <c r="I750" s="41">
        <v>0</v>
      </c>
      <c r="J750" s="41">
        <v>40000000</v>
      </c>
      <c r="K750" s="41">
        <v>0</v>
      </c>
      <c r="L750" s="41">
        <v>10000000</v>
      </c>
      <c r="M750" s="41">
        <v>0</v>
      </c>
      <c r="N750" s="41">
        <v>61258333.333332673</v>
      </c>
      <c r="O750" s="41">
        <v>79166.666666666672</v>
      </c>
      <c r="P750" s="41">
        <v>75000000</v>
      </c>
      <c r="Q750" s="41">
        <v>0</v>
      </c>
      <c r="R750" s="41">
        <v>50000000</v>
      </c>
      <c r="S750" s="41">
        <v>0</v>
      </c>
      <c r="T750" s="41">
        <v>35000000</v>
      </c>
      <c r="U750" s="41">
        <v>0</v>
      </c>
      <c r="V750" s="41">
        <v>441258333.33333272</v>
      </c>
      <c r="W750" s="41">
        <v>79166.666666666672</v>
      </c>
      <c r="X750" s="38">
        <f t="shared" si="66"/>
        <v>0.88251666666666539</v>
      </c>
      <c r="Y750" s="39">
        <f t="shared" si="67"/>
        <v>1.5833333333333335E-4</v>
      </c>
      <c r="Z750" s="39">
        <f t="shared" si="71"/>
        <v>1.7944334784620789E-4</v>
      </c>
      <c r="AA750" s="41">
        <f t="shared" si="68"/>
        <v>58741666.666667283</v>
      </c>
      <c r="AB750" s="39">
        <f t="shared" si="69"/>
        <v>1.3477088948786922E-3</v>
      </c>
      <c r="AC750" s="38">
        <f t="shared" si="70"/>
        <v>0.20477349775886816</v>
      </c>
      <c r="AD750" s="3"/>
    </row>
    <row r="751" spans="1:30" x14ac:dyDescent="0.25">
      <c r="A751" s="37">
        <v>46387</v>
      </c>
      <c r="B751" s="41">
        <v>20000000</v>
      </c>
      <c r="C751" s="41">
        <v>0</v>
      </c>
      <c r="D751" s="41">
        <v>50000000</v>
      </c>
      <c r="E751" s="41">
        <v>0</v>
      </c>
      <c r="F751" s="41">
        <v>50000000</v>
      </c>
      <c r="G751" s="41">
        <v>0</v>
      </c>
      <c r="H751" s="41">
        <v>50000000</v>
      </c>
      <c r="I751" s="41">
        <v>0</v>
      </c>
      <c r="J751" s="41">
        <v>40000000</v>
      </c>
      <c r="K751" s="41">
        <v>0</v>
      </c>
      <c r="L751" s="41">
        <v>10000000</v>
      </c>
      <c r="M751" s="41">
        <v>0</v>
      </c>
      <c r="N751" s="41">
        <v>61337499.999999337</v>
      </c>
      <c r="O751" s="41">
        <v>79166.666666666672</v>
      </c>
      <c r="P751" s="41">
        <v>75000000</v>
      </c>
      <c r="Q751" s="41">
        <v>0</v>
      </c>
      <c r="R751" s="41">
        <v>50000000</v>
      </c>
      <c r="S751" s="41">
        <v>0</v>
      </c>
      <c r="T751" s="41">
        <v>35000000</v>
      </c>
      <c r="U751" s="41">
        <v>0</v>
      </c>
      <c r="V751" s="41">
        <v>441337499.99999928</v>
      </c>
      <c r="W751" s="41">
        <v>79166.666666666672</v>
      </c>
      <c r="X751" s="38">
        <f t="shared" si="66"/>
        <v>0.88267499999999854</v>
      </c>
      <c r="Y751" s="39">
        <f t="shared" si="67"/>
        <v>1.5833333333333335E-4</v>
      </c>
      <c r="Z751" s="39">
        <f t="shared" si="71"/>
        <v>1.7941115370814553E-4</v>
      </c>
      <c r="AA751" s="41">
        <f t="shared" si="68"/>
        <v>58662500.000000715</v>
      </c>
      <c r="AB751" s="39">
        <f t="shared" si="69"/>
        <v>1.3495276653171227E-3</v>
      </c>
      <c r="AC751" s="38">
        <f t="shared" si="70"/>
        <v>0.20472924557273045</v>
      </c>
      <c r="AD751" s="3"/>
    </row>
    <row r="752" spans="1:30" x14ac:dyDescent="0.25">
      <c r="A752" s="37">
        <v>46388</v>
      </c>
      <c r="B752" s="41">
        <v>20000000</v>
      </c>
      <c r="C752" s="41">
        <v>0</v>
      </c>
      <c r="D752" s="41">
        <v>50000000</v>
      </c>
      <c r="E752" s="41">
        <v>0</v>
      </c>
      <c r="F752" s="41">
        <v>50000000</v>
      </c>
      <c r="G752" s="41">
        <v>0</v>
      </c>
      <c r="H752" s="41">
        <v>50000000</v>
      </c>
      <c r="I752" s="41">
        <v>0</v>
      </c>
      <c r="J752" s="41">
        <v>40000000</v>
      </c>
      <c r="K752" s="41">
        <v>0</v>
      </c>
      <c r="L752" s="41">
        <v>10000000</v>
      </c>
      <c r="M752" s="41">
        <v>0</v>
      </c>
      <c r="N752" s="41">
        <v>61416666.666666001</v>
      </c>
      <c r="O752" s="41">
        <v>79166.666666666672</v>
      </c>
      <c r="P752" s="41">
        <v>75000000</v>
      </c>
      <c r="Q752" s="41">
        <v>0</v>
      </c>
      <c r="R752" s="41">
        <v>50000000</v>
      </c>
      <c r="S752" s="41">
        <v>0</v>
      </c>
      <c r="T752" s="41">
        <v>35000000</v>
      </c>
      <c r="U752" s="41">
        <v>0</v>
      </c>
      <c r="V752" s="41">
        <v>441416666.66666597</v>
      </c>
      <c r="W752" s="41">
        <v>79166.666666666672</v>
      </c>
      <c r="X752" s="38">
        <f t="shared" si="66"/>
        <v>0.88283333333333192</v>
      </c>
      <c r="Y752" s="39">
        <f t="shared" si="67"/>
        <v>1.5833333333333335E-4</v>
      </c>
      <c r="Z752" s="39">
        <f t="shared" si="71"/>
        <v>1.7937897111998594E-4</v>
      </c>
      <c r="AA752" s="41">
        <f t="shared" si="68"/>
        <v>58583333.333334029</v>
      </c>
      <c r="AB752" s="39">
        <f t="shared" si="69"/>
        <v>1.3513513513513354E-3</v>
      </c>
      <c r="AC752" s="38">
        <f t="shared" si="70"/>
        <v>0.20468501250852894</v>
      </c>
      <c r="AD752" s="3"/>
    </row>
    <row r="753" spans="1:30" x14ac:dyDescent="0.25">
      <c r="A753" s="37">
        <v>46389</v>
      </c>
      <c r="B753" s="41">
        <v>20000000</v>
      </c>
      <c r="C753" s="41">
        <v>0</v>
      </c>
      <c r="D753" s="41">
        <v>50000000</v>
      </c>
      <c r="E753" s="41">
        <v>0</v>
      </c>
      <c r="F753" s="41">
        <v>50000000</v>
      </c>
      <c r="G753" s="41">
        <v>0</v>
      </c>
      <c r="H753" s="41">
        <v>50000000</v>
      </c>
      <c r="I753" s="41">
        <v>0</v>
      </c>
      <c r="J753" s="41">
        <v>40000000</v>
      </c>
      <c r="K753" s="41">
        <v>0</v>
      </c>
      <c r="L753" s="41">
        <v>10000000</v>
      </c>
      <c r="M753" s="41">
        <v>0</v>
      </c>
      <c r="N753" s="41">
        <v>61495833.333332673</v>
      </c>
      <c r="O753" s="41">
        <v>79166.666666666672</v>
      </c>
      <c r="P753" s="41">
        <v>75000000</v>
      </c>
      <c r="Q753" s="41">
        <v>0</v>
      </c>
      <c r="R753" s="41">
        <v>50000000</v>
      </c>
      <c r="S753" s="41">
        <v>0</v>
      </c>
      <c r="T753" s="41">
        <v>35000000</v>
      </c>
      <c r="U753" s="41">
        <v>0</v>
      </c>
      <c r="V753" s="41">
        <v>441495833.33333272</v>
      </c>
      <c r="W753" s="41">
        <v>79166.666666666672</v>
      </c>
      <c r="X753" s="38">
        <f t="shared" si="66"/>
        <v>0.8829916666666654</v>
      </c>
      <c r="Y753" s="39">
        <f t="shared" si="67"/>
        <v>1.5833333333333335E-4</v>
      </c>
      <c r="Z753" s="39">
        <f t="shared" si="71"/>
        <v>1.7934680007551472E-4</v>
      </c>
      <c r="AA753" s="41">
        <f t="shared" si="68"/>
        <v>58504166.666667283</v>
      </c>
      <c r="AB753" s="39">
        <f t="shared" si="69"/>
        <v>1.3531799729363863E-3</v>
      </c>
      <c r="AC753" s="38">
        <f t="shared" si="70"/>
        <v>0.20464079855387204</v>
      </c>
      <c r="AD753" s="3"/>
    </row>
    <row r="754" spans="1:30" x14ac:dyDescent="0.25">
      <c r="A754" s="37">
        <v>46390</v>
      </c>
      <c r="B754" s="41">
        <v>20000000</v>
      </c>
      <c r="C754" s="41">
        <v>0</v>
      </c>
      <c r="D754" s="41">
        <v>50000000</v>
      </c>
      <c r="E754" s="41">
        <v>0</v>
      </c>
      <c r="F754" s="41">
        <v>50000000</v>
      </c>
      <c r="G754" s="41">
        <v>0</v>
      </c>
      <c r="H754" s="41">
        <v>50000000</v>
      </c>
      <c r="I754" s="41">
        <v>0</v>
      </c>
      <c r="J754" s="41">
        <v>40000000</v>
      </c>
      <c r="K754" s="41">
        <v>0</v>
      </c>
      <c r="L754" s="41">
        <v>10000000</v>
      </c>
      <c r="M754" s="41">
        <v>0</v>
      </c>
      <c r="N754" s="41">
        <v>61574999.999999329</v>
      </c>
      <c r="O754" s="41">
        <v>79166.666666666672</v>
      </c>
      <c r="P754" s="41">
        <v>75000000</v>
      </c>
      <c r="Q754" s="41">
        <v>0</v>
      </c>
      <c r="R754" s="41">
        <v>50000000</v>
      </c>
      <c r="S754" s="41">
        <v>0</v>
      </c>
      <c r="T754" s="41">
        <v>35000000</v>
      </c>
      <c r="U754" s="41">
        <v>0</v>
      </c>
      <c r="V754" s="41">
        <v>441574999.99999928</v>
      </c>
      <c r="W754" s="41">
        <v>79166.666666666672</v>
      </c>
      <c r="X754" s="38">
        <f t="shared" si="66"/>
        <v>0.88314999999999855</v>
      </c>
      <c r="Y754" s="39">
        <f t="shared" si="67"/>
        <v>1.5833333333333335E-4</v>
      </c>
      <c r="Z754" s="39">
        <f t="shared" si="71"/>
        <v>1.7931464056852205E-4</v>
      </c>
      <c r="AA754" s="41">
        <f t="shared" si="68"/>
        <v>58425000.000000715</v>
      </c>
      <c r="AB754" s="39">
        <f t="shared" si="69"/>
        <v>1.3550135501354849E-3</v>
      </c>
      <c r="AC754" s="38">
        <f t="shared" si="70"/>
        <v>0.20459660369637903</v>
      </c>
      <c r="AD754" s="3"/>
    </row>
    <row r="755" spans="1:30" x14ac:dyDescent="0.25">
      <c r="A755" s="37">
        <v>46391</v>
      </c>
      <c r="B755" s="41">
        <v>20000000</v>
      </c>
      <c r="C755" s="41">
        <v>0</v>
      </c>
      <c r="D755" s="41">
        <v>50000000</v>
      </c>
      <c r="E755" s="41">
        <v>0</v>
      </c>
      <c r="F755" s="41">
        <v>50000000</v>
      </c>
      <c r="G755" s="41">
        <v>0</v>
      </c>
      <c r="H755" s="41">
        <v>50000000</v>
      </c>
      <c r="I755" s="41">
        <v>0</v>
      </c>
      <c r="J755" s="41">
        <v>40000000</v>
      </c>
      <c r="K755" s="41">
        <v>0</v>
      </c>
      <c r="L755" s="41">
        <v>10000000</v>
      </c>
      <c r="M755" s="41">
        <v>0</v>
      </c>
      <c r="N755" s="41">
        <v>61654166.666665994</v>
      </c>
      <c r="O755" s="41">
        <v>79166.666666666672</v>
      </c>
      <c r="P755" s="41">
        <v>75000000</v>
      </c>
      <c r="Q755" s="41">
        <v>0</v>
      </c>
      <c r="R755" s="41">
        <v>50000000</v>
      </c>
      <c r="S755" s="41">
        <v>0</v>
      </c>
      <c r="T755" s="41">
        <v>35000000</v>
      </c>
      <c r="U755" s="41">
        <v>0</v>
      </c>
      <c r="V755" s="41">
        <v>441654166.66666597</v>
      </c>
      <c r="W755" s="41">
        <v>79166.666666666672</v>
      </c>
      <c r="X755" s="38">
        <f t="shared" si="66"/>
        <v>0.88330833333333192</v>
      </c>
      <c r="Y755" s="39">
        <f t="shared" si="67"/>
        <v>1.5833333333333335E-4</v>
      </c>
      <c r="Z755" s="39">
        <f t="shared" si="71"/>
        <v>1.7928249259280258E-4</v>
      </c>
      <c r="AA755" s="41">
        <f t="shared" si="68"/>
        <v>58345833.333334029</v>
      </c>
      <c r="AB755" s="39">
        <f t="shared" si="69"/>
        <v>1.3568521031207437E-3</v>
      </c>
      <c r="AC755" s="38">
        <f t="shared" si="70"/>
        <v>0.20455242792367961</v>
      </c>
      <c r="AD755" s="3"/>
    </row>
    <row r="756" spans="1:30" x14ac:dyDescent="0.25">
      <c r="A756" s="37">
        <v>46392</v>
      </c>
      <c r="B756" s="41">
        <v>20000000</v>
      </c>
      <c r="C756" s="41">
        <v>0</v>
      </c>
      <c r="D756" s="41">
        <v>50000000</v>
      </c>
      <c r="E756" s="41">
        <v>0</v>
      </c>
      <c r="F756" s="41">
        <v>50000000</v>
      </c>
      <c r="G756" s="41">
        <v>0</v>
      </c>
      <c r="H756" s="41">
        <v>50000000</v>
      </c>
      <c r="I756" s="41">
        <v>0</v>
      </c>
      <c r="J756" s="41">
        <v>40000000</v>
      </c>
      <c r="K756" s="41">
        <v>0</v>
      </c>
      <c r="L756" s="41">
        <v>10000000</v>
      </c>
      <c r="M756" s="41">
        <v>0</v>
      </c>
      <c r="N756" s="41">
        <v>61733333.333332658</v>
      </c>
      <c r="O756" s="41">
        <v>79166.666666666672</v>
      </c>
      <c r="P756" s="41">
        <v>75000000</v>
      </c>
      <c r="Q756" s="41">
        <v>0</v>
      </c>
      <c r="R756" s="41">
        <v>50000000</v>
      </c>
      <c r="S756" s="41">
        <v>0</v>
      </c>
      <c r="T756" s="41">
        <v>35000000</v>
      </c>
      <c r="U756" s="41">
        <v>0</v>
      </c>
      <c r="V756" s="41">
        <v>441733333.33333272</v>
      </c>
      <c r="W756" s="41">
        <v>79166.666666666672</v>
      </c>
      <c r="X756" s="38">
        <f t="shared" si="66"/>
        <v>0.8834666666666654</v>
      </c>
      <c r="Y756" s="39">
        <f t="shared" si="67"/>
        <v>1.5833333333333335E-4</v>
      </c>
      <c r="Z756" s="39">
        <f t="shared" si="71"/>
        <v>1.7925035614215526E-4</v>
      </c>
      <c r="AA756" s="41">
        <f t="shared" si="68"/>
        <v>58266666.666667283</v>
      </c>
      <c r="AB756" s="39">
        <f t="shared" si="69"/>
        <v>1.3586956521738987E-3</v>
      </c>
      <c r="AC756" s="38">
        <f t="shared" si="70"/>
        <v>0.20450827122341428</v>
      </c>
      <c r="AD756" s="3"/>
    </row>
    <row r="757" spans="1:30" x14ac:dyDescent="0.25">
      <c r="A757" s="37">
        <v>46393</v>
      </c>
      <c r="B757" s="41">
        <v>20000000</v>
      </c>
      <c r="C757" s="41">
        <v>0</v>
      </c>
      <c r="D757" s="41">
        <v>50000000</v>
      </c>
      <c r="E757" s="41">
        <v>0</v>
      </c>
      <c r="F757" s="41">
        <v>50000000</v>
      </c>
      <c r="G757" s="41">
        <v>0</v>
      </c>
      <c r="H757" s="41">
        <v>50000000</v>
      </c>
      <c r="I757" s="41">
        <v>0</v>
      </c>
      <c r="J757" s="41">
        <v>40000000</v>
      </c>
      <c r="K757" s="41">
        <v>0</v>
      </c>
      <c r="L757" s="41">
        <v>10000000</v>
      </c>
      <c r="M757" s="41">
        <v>0</v>
      </c>
      <c r="N757" s="41">
        <v>61812499.999999322</v>
      </c>
      <c r="O757" s="41">
        <v>79166.666666666672</v>
      </c>
      <c r="P757" s="41">
        <v>75000000</v>
      </c>
      <c r="Q757" s="41">
        <v>0</v>
      </c>
      <c r="R757" s="41">
        <v>50000000</v>
      </c>
      <c r="S757" s="41">
        <v>0</v>
      </c>
      <c r="T757" s="41">
        <v>35000000</v>
      </c>
      <c r="U757" s="41">
        <v>0</v>
      </c>
      <c r="V757" s="41">
        <v>441812499.99999928</v>
      </c>
      <c r="W757" s="41">
        <v>79166.666666666672</v>
      </c>
      <c r="X757" s="38">
        <f t="shared" si="66"/>
        <v>0.88362499999999855</v>
      </c>
      <c r="Y757" s="39">
        <f t="shared" si="67"/>
        <v>1.5833333333333335E-4</v>
      </c>
      <c r="Z757" s="39">
        <f t="shared" si="71"/>
        <v>1.7921823121038361E-4</v>
      </c>
      <c r="AA757" s="41">
        <f t="shared" si="68"/>
        <v>58187500.000000715</v>
      </c>
      <c r="AB757" s="39">
        <f t="shared" si="69"/>
        <v>1.3605442176870583E-3</v>
      </c>
      <c r="AC757" s="38">
        <f t="shared" si="70"/>
        <v>0.20446413358323434</v>
      </c>
      <c r="AD757" s="3"/>
    </row>
    <row r="758" spans="1:30" x14ac:dyDescent="0.25">
      <c r="A758" s="37">
        <v>46394</v>
      </c>
      <c r="B758" s="41">
        <v>20000000</v>
      </c>
      <c r="C758" s="41">
        <v>0</v>
      </c>
      <c r="D758" s="41">
        <v>50000000</v>
      </c>
      <c r="E758" s="41">
        <v>0</v>
      </c>
      <c r="F758" s="41">
        <v>50000000</v>
      </c>
      <c r="G758" s="41">
        <v>0</v>
      </c>
      <c r="H758" s="41">
        <v>50000000</v>
      </c>
      <c r="I758" s="41">
        <v>0</v>
      </c>
      <c r="J758" s="41">
        <v>40000000</v>
      </c>
      <c r="K758" s="41">
        <v>0</v>
      </c>
      <c r="L758" s="41">
        <v>10000000</v>
      </c>
      <c r="M758" s="41">
        <v>0</v>
      </c>
      <c r="N758" s="41">
        <v>61891666.666665994</v>
      </c>
      <c r="O758" s="41">
        <v>79166.666666666672</v>
      </c>
      <c r="P758" s="41">
        <v>75000000</v>
      </c>
      <c r="Q758" s="41">
        <v>0</v>
      </c>
      <c r="R758" s="41">
        <v>50000000</v>
      </c>
      <c r="S758" s="41">
        <v>0</v>
      </c>
      <c r="T758" s="41">
        <v>35000000</v>
      </c>
      <c r="U758" s="41">
        <v>0</v>
      </c>
      <c r="V758" s="41">
        <v>441891666.66666597</v>
      </c>
      <c r="W758" s="41">
        <v>79166.666666666672</v>
      </c>
      <c r="X758" s="38">
        <f t="shared" si="66"/>
        <v>0.88378333333333192</v>
      </c>
      <c r="Y758" s="39">
        <f t="shared" si="67"/>
        <v>1.5833333333333335E-4</v>
      </c>
      <c r="Z758" s="39">
        <f t="shared" si="71"/>
        <v>1.7918611779129564E-4</v>
      </c>
      <c r="AA758" s="41">
        <f t="shared" si="68"/>
        <v>58108333.333334029</v>
      </c>
      <c r="AB758" s="39">
        <f t="shared" si="69"/>
        <v>1.3623978201634714E-3</v>
      </c>
      <c r="AC758" s="38">
        <f t="shared" si="70"/>
        <v>0.20442001499080148</v>
      </c>
      <c r="AD758" s="3"/>
    </row>
    <row r="759" spans="1:30" x14ac:dyDescent="0.25">
      <c r="A759" s="37">
        <v>46395</v>
      </c>
      <c r="B759" s="41">
        <v>20000000</v>
      </c>
      <c r="C759" s="41">
        <v>0</v>
      </c>
      <c r="D759" s="41">
        <v>50000000</v>
      </c>
      <c r="E759" s="41">
        <v>0</v>
      </c>
      <c r="F759" s="41">
        <v>50000000</v>
      </c>
      <c r="G759" s="41">
        <v>0</v>
      </c>
      <c r="H759" s="41">
        <v>50000000</v>
      </c>
      <c r="I759" s="41">
        <v>0</v>
      </c>
      <c r="J759" s="41">
        <v>40000000</v>
      </c>
      <c r="K759" s="41">
        <v>0</v>
      </c>
      <c r="L759" s="41">
        <v>10000000</v>
      </c>
      <c r="M759" s="41">
        <v>0</v>
      </c>
      <c r="N759" s="41">
        <v>61970833.33333265</v>
      </c>
      <c r="O759" s="41">
        <v>79166.666666666672</v>
      </c>
      <c r="P759" s="41">
        <v>75000000</v>
      </c>
      <c r="Q759" s="41">
        <v>0</v>
      </c>
      <c r="R759" s="41">
        <v>50000000</v>
      </c>
      <c r="S759" s="41">
        <v>0</v>
      </c>
      <c r="T759" s="41">
        <v>35000000</v>
      </c>
      <c r="U759" s="41">
        <v>0</v>
      </c>
      <c r="V759" s="41">
        <v>441970833.33333272</v>
      </c>
      <c r="W759" s="41">
        <v>79166.666666666672</v>
      </c>
      <c r="X759" s="38">
        <f t="shared" si="66"/>
        <v>0.8839416666666654</v>
      </c>
      <c r="Y759" s="39">
        <f t="shared" si="67"/>
        <v>1.5833333333333335E-4</v>
      </c>
      <c r="Z759" s="39">
        <f t="shared" si="71"/>
        <v>1.791540158787036E-4</v>
      </c>
      <c r="AA759" s="41">
        <f t="shared" si="68"/>
        <v>58029166.666667283</v>
      </c>
      <c r="AB759" s="39">
        <f t="shared" si="69"/>
        <v>1.3642564802182667E-3</v>
      </c>
      <c r="AC759" s="38">
        <f t="shared" si="70"/>
        <v>0.20437591543378822</v>
      </c>
      <c r="AD759" s="3"/>
    </row>
    <row r="760" spans="1:30" x14ac:dyDescent="0.25">
      <c r="A760" s="37">
        <v>46396</v>
      </c>
      <c r="B760" s="41">
        <v>20000000</v>
      </c>
      <c r="C760" s="41">
        <v>0</v>
      </c>
      <c r="D760" s="41">
        <v>50000000</v>
      </c>
      <c r="E760" s="41">
        <v>0</v>
      </c>
      <c r="F760" s="41">
        <v>50000000</v>
      </c>
      <c r="G760" s="41">
        <v>0</v>
      </c>
      <c r="H760" s="41">
        <v>50000000</v>
      </c>
      <c r="I760" s="41">
        <v>0</v>
      </c>
      <c r="J760" s="41">
        <v>40000000</v>
      </c>
      <c r="K760" s="41">
        <v>0</v>
      </c>
      <c r="L760" s="41">
        <v>10000000</v>
      </c>
      <c r="M760" s="41">
        <v>0</v>
      </c>
      <c r="N760" s="41">
        <v>62049999.999999307</v>
      </c>
      <c r="O760" s="41">
        <v>79166.666666666672</v>
      </c>
      <c r="P760" s="41">
        <v>75000000</v>
      </c>
      <c r="Q760" s="41">
        <v>0</v>
      </c>
      <c r="R760" s="41">
        <v>50000000</v>
      </c>
      <c r="S760" s="41">
        <v>0</v>
      </c>
      <c r="T760" s="41">
        <v>35000000</v>
      </c>
      <c r="U760" s="41">
        <v>0</v>
      </c>
      <c r="V760" s="41">
        <v>442049999.99999928</v>
      </c>
      <c r="W760" s="41">
        <v>79166.666666666672</v>
      </c>
      <c r="X760" s="38">
        <f t="shared" si="66"/>
        <v>0.88409999999999855</v>
      </c>
      <c r="Y760" s="39">
        <f t="shared" si="67"/>
        <v>1.5833333333333335E-4</v>
      </c>
      <c r="Z760" s="39">
        <f t="shared" si="71"/>
        <v>1.7912192546642433E-4</v>
      </c>
      <c r="AA760" s="41">
        <f t="shared" si="68"/>
        <v>57950000.000000715</v>
      </c>
      <c r="AB760" s="39">
        <f t="shared" si="69"/>
        <v>1.3661202185792183E-3</v>
      </c>
      <c r="AC760" s="38">
        <f t="shared" si="70"/>
        <v>0.2043318348998778</v>
      </c>
      <c r="AD760" s="3"/>
    </row>
    <row r="761" spans="1:30" x14ac:dyDescent="0.25">
      <c r="A761" s="37">
        <v>46397</v>
      </c>
      <c r="B761" s="41">
        <v>20000000</v>
      </c>
      <c r="C761" s="41">
        <v>0</v>
      </c>
      <c r="D761" s="41">
        <v>50000000</v>
      </c>
      <c r="E761" s="41">
        <v>0</v>
      </c>
      <c r="F761" s="41">
        <v>50000000</v>
      </c>
      <c r="G761" s="41">
        <v>0</v>
      </c>
      <c r="H761" s="41">
        <v>50000000</v>
      </c>
      <c r="I761" s="41">
        <v>0</v>
      </c>
      <c r="J761" s="41">
        <v>40000000</v>
      </c>
      <c r="K761" s="41">
        <v>0</v>
      </c>
      <c r="L761" s="41">
        <v>10000000</v>
      </c>
      <c r="M761" s="41">
        <v>0</v>
      </c>
      <c r="N761" s="41">
        <v>62129166.666665979</v>
      </c>
      <c r="O761" s="41">
        <v>79166.666666666672</v>
      </c>
      <c r="P761" s="41">
        <v>75000000</v>
      </c>
      <c r="Q761" s="41">
        <v>0</v>
      </c>
      <c r="R761" s="41">
        <v>50000000</v>
      </c>
      <c r="S761" s="41">
        <v>0</v>
      </c>
      <c r="T761" s="41">
        <v>35000000</v>
      </c>
      <c r="U761" s="41">
        <v>0</v>
      </c>
      <c r="V761" s="41">
        <v>442129166.66666597</v>
      </c>
      <c r="W761" s="41">
        <v>79166.666666666672</v>
      </c>
      <c r="X761" s="38">
        <f t="shared" si="66"/>
        <v>0.88425833333333193</v>
      </c>
      <c r="Y761" s="39">
        <f t="shared" si="67"/>
        <v>1.5833333333333335E-4</v>
      </c>
      <c r="Z761" s="39">
        <f t="shared" si="71"/>
        <v>1.7908984654827915E-4</v>
      </c>
      <c r="AA761" s="41">
        <f t="shared" si="68"/>
        <v>57870833.333334029</v>
      </c>
      <c r="AB761" s="39">
        <f t="shared" si="69"/>
        <v>1.367989056087535E-3</v>
      </c>
      <c r="AC761" s="38">
        <f t="shared" si="70"/>
        <v>0.20428777337676379</v>
      </c>
      <c r="AD761" s="3"/>
    </row>
    <row r="762" spans="1:30" x14ac:dyDescent="0.25">
      <c r="A762" s="37">
        <v>46398</v>
      </c>
      <c r="B762" s="41">
        <v>20000000</v>
      </c>
      <c r="C762" s="41">
        <v>0</v>
      </c>
      <c r="D762" s="41">
        <v>50000000</v>
      </c>
      <c r="E762" s="41">
        <v>0</v>
      </c>
      <c r="F762" s="41">
        <v>50000000</v>
      </c>
      <c r="G762" s="41">
        <v>0</v>
      </c>
      <c r="H762" s="41">
        <v>50000000</v>
      </c>
      <c r="I762" s="41">
        <v>0</v>
      </c>
      <c r="J762" s="41">
        <v>40000000</v>
      </c>
      <c r="K762" s="41">
        <v>0</v>
      </c>
      <c r="L762" s="41">
        <v>10000000</v>
      </c>
      <c r="M762" s="41">
        <v>0</v>
      </c>
      <c r="N762" s="41">
        <v>62208333.333332643</v>
      </c>
      <c r="O762" s="41">
        <v>79166.666666666672</v>
      </c>
      <c r="P762" s="41">
        <v>75000000</v>
      </c>
      <c r="Q762" s="41">
        <v>0</v>
      </c>
      <c r="R762" s="41">
        <v>50000000</v>
      </c>
      <c r="S762" s="41">
        <v>0</v>
      </c>
      <c r="T762" s="41">
        <v>35000000</v>
      </c>
      <c r="U762" s="41">
        <v>0</v>
      </c>
      <c r="V762" s="41">
        <v>442208333.33333272</v>
      </c>
      <c r="W762" s="41">
        <v>79166.666666666672</v>
      </c>
      <c r="X762" s="38">
        <f t="shared" si="66"/>
        <v>0.88441666666666541</v>
      </c>
      <c r="Y762" s="39">
        <f t="shared" si="67"/>
        <v>1.5833333333333335E-4</v>
      </c>
      <c r="Z762" s="39">
        <f t="shared" si="71"/>
        <v>1.790577791180936E-4</v>
      </c>
      <c r="AA762" s="41">
        <f t="shared" si="68"/>
        <v>57791666.666667283</v>
      </c>
      <c r="AB762" s="39">
        <f t="shared" si="69"/>
        <v>1.3698630136986156E-3</v>
      </c>
      <c r="AC762" s="38">
        <f t="shared" si="70"/>
        <v>0.20424373085215058</v>
      </c>
      <c r="AD762" s="3"/>
    </row>
    <row r="763" spans="1:30" x14ac:dyDescent="0.25">
      <c r="A763" s="37">
        <v>46399</v>
      </c>
      <c r="B763" s="41">
        <v>20000000</v>
      </c>
      <c r="C763" s="41">
        <v>0</v>
      </c>
      <c r="D763" s="41">
        <v>50000000</v>
      </c>
      <c r="E763" s="41">
        <v>0</v>
      </c>
      <c r="F763" s="41">
        <v>50000000</v>
      </c>
      <c r="G763" s="41">
        <v>0</v>
      </c>
      <c r="H763" s="41">
        <v>50000000</v>
      </c>
      <c r="I763" s="41">
        <v>0</v>
      </c>
      <c r="J763" s="41">
        <v>40000000</v>
      </c>
      <c r="K763" s="41">
        <v>0</v>
      </c>
      <c r="L763" s="41">
        <v>10000000</v>
      </c>
      <c r="M763" s="41">
        <v>0</v>
      </c>
      <c r="N763" s="41">
        <v>62287499.999999307</v>
      </c>
      <c r="O763" s="41">
        <v>79166.666666666672</v>
      </c>
      <c r="P763" s="41">
        <v>75000000</v>
      </c>
      <c r="Q763" s="41">
        <v>0</v>
      </c>
      <c r="R763" s="41">
        <v>50000000</v>
      </c>
      <c r="S763" s="41">
        <v>0</v>
      </c>
      <c r="T763" s="41">
        <v>35000000</v>
      </c>
      <c r="U763" s="41">
        <v>0</v>
      </c>
      <c r="V763" s="41">
        <v>442287499.99999928</v>
      </c>
      <c r="W763" s="41">
        <v>79166.666666666672</v>
      </c>
      <c r="X763" s="38">
        <f t="shared" si="66"/>
        <v>0.88457499999999856</v>
      </c>
      <c r="Y763" s="39">
        <f t="shared" si="67"/>
        <v>1.5833333333333335E-4</v>
      </c>
      <c r="Z763" s="39">
        <f t="shared" si="71"/>
        <v>1.7902572316969779E-4</v>
      </c>
      <c r="AA763" s="41">
        <f t="shared" si="68"/>
        <v>57712500.000000715</v>
      </c>
      <c r="AB763" s="39">
        <f t="shared" si="69"/>
        <v>1.3717421124828362E-3</v>
      </c>
      <c r="AC763" s="38">
        <f t="shared" si="70"/>
        <v>0.20419970731375325</v>
      </c>
      <c r="AD763" s="3"/>
    </row>
    <row r="764" spans="1:30" x14ac:dyDescent="0.25">
      <c r="A764" s="37">
        <v>46400</v>
      </c>
      <c r="B764" s="41">
        <v>20000000</v>
      </c>
      <c r="C764" s="41">
        <v>0</v>
      </c>
      <c r="D764" s="41">
        <v>50000000</v>
      </c>
      <c r="E764" s="41">
        <v>0</v>
      </c>
      <c r="F764" s="41">
        <v>50000000</v>
      </c>
      <c r="G764" s="41">
        <v>0</v>
      </c>
      <c r="H764" s="41">
        <v>50000000</v>
      </c>
      <c r="I764" s="41">
        <v>0</v>
      </c>
      <c r="J764" s="41">
        <v>40000000</v>
      </c>
      <c r="K764" s="41">
        <v>0</v>
      </c>
      <c r="L764" s="41">
        <v>10000000</v>
      </c>
      <c r="M764" s="41">
        <v>0</v>
      </c>
      <c r="N764" s="41">
        <v>62366666.666665971</v>
      </c>
      <c r="O764" s="41">
        <v>79166.666666666672</v>
      </c>
      <c r="P764" s="41">
        <v>75000000</v>
      </c>
      <c r="Q764" s="41">
        <v>0</v>
      </c>
      <c r="R764" s="41">
        <v>50000000</v>
      </c>
      <c r="S764" s="41">
        <v>0</v>
      </c>
      <c r="T764" s="41">
        <v>35000000</v>
      </c>
      <c r="U764" s="41">
        <v>0</v>
      </c>
      <c r="V764" s="41">
        <v>442366666.66666597</v>
      </c>
      <c r="W764" s="41">
        <v>79166.666666666672</v>
      </c>
      <c r="X764" s="38">
        <f t="shared" si="66"/>
        <v>0.88473333333333193</v>
      </c>
      <c r="Y764" s="39">
        <f t="shared" si="67"/>
        <v>1.5833333333333335E-4</v>
      </c>
      <c r="Z764" s="39">
        <f t="shared" si="71"/>
        <v>1.7899367869692631E-4</v>
      </c>
      <c r="AA764" s="41">
        <f t="shared" si="68"/>
        <v>57633333.333334029</v>
      </c>
      <c r="AB764" s="39">
        <f t="shared" si="69"/>
        <v>1.373626373626357E-3</v>
      </c>
      <c r="AC764" s="38">
        <f t="shared" si="70"/>
        <v>0.20415570274929717</v>
      </c>
      <c r="AD764" s="3"/>
    </row>
    <row r="765" spans="1:30" x14ac:dyDescent="0.25">
      <c r="A765" s="37">
        <v>46401</v>
      </c>
      <c r="B765" s="41">
        <v>20000000</v>
      </c>
      <c r="C765" s="41">
        <v>0</v>
      </c>
      <c r="D765" s="41">
        <v>50000000</v>
      </c>
      <c r="E765" s="41">
        <v>0</v>
      </c>
      <c r="F765" s="41">
        <v>50000000</v>
      </c>
      <c r="G765" s="41">
        <v>0</v>
      </c>
      <c r="H765" s="41">
        <v>50000000</v>
      </c>
      <c r="I765" s="41">
        <v>0</v>
      </c>
      <c r="J765" s="41">
        <v>40000000</v>
      </c>
      <c r="K765" s="41">
        <v>0</v>
      </c>
      <c r="L765" s="41">
        <v>10000000</v>
      </c>
      <c r="M765" s="41">
        <v>0</v>
      </c>
      <c r="N765" s="41">
        <v>62445833.333332643</v>
      </c>
      <c r="O765" s="41">
        <v>79166.666666666672</v>
      </c>
      <c r="P765" s="41">
        <v>75000000</v>
      </c>
      <c r="Q765" s="41">
        <v>0</v>
      </c>
      <c r="R765" s="41">
        <v>50000000</v>
      </c>
      <c r="S765" s="41">
        <v>0</v>
      </c>
      <c r="T765" s="41">
        <v>35000000</v>
      </c>
      <c r="U765" s="41">
        <v>0</v>
      </c>
      <c r="V765" s="41">
        <v>442445833.33333272</v>
      </c>
      <c r="W765" s="41">
        <v>79166.666666666672</v>
      </c>
      <c r="X765" s="38">
        <f t="shared" si="66"/>
        <v>0.88489166666666541</v>
      </c>
      <c r="Y765" s="39">
        <f t="shared" si="67"/>
        <v>1.5833333333333335E-4</v>
      </c>
      <c r="Z765" s="39">
        <f t="shared" si="71"/>
        <v>1.7896164569361795E-4</v>
      </c>
      <c r="AA765" s="41">
        <f t="shared" si="68"/>
        <v>57554166.666667283</v>
      </c>
      <c r="AB765" s="39">
        <f t="shared" si="69"/>
        <v>1.3755158184318972E-3</v>
      </c>
      <c r="AC765" s="38">
        <f t="shared" si="70"/>
        <v>0.20411171714651855</v>
      </c>
      <c r="AD765" s="3"/>
    </row>
    <row r="766" spans="1:30" x14ac:dyDescent="0.25">
      <c r="A766" s="37">
        <v>46402</v>
      </c>
      <c r="B766" s="41">
        <v>20000000</v>
      </c>
      <c r="C766" s="41">
        <v>0</v>
      </c>
      <c r="D766" s="41">
        <v>50000000</v>
      </c>
      <c r="E766" s="41">
        <v>0</v>
      </c>
      <c r="F766" s="41">
        <v>50000000</v>
      </c>
      <c r="G766" s="41">
        <v>0</v>
      </c>
      <c r="H766" s="41">
        <v>50000000</v>
      </c>
      <c r="I766" s="41">
        <v>0</v>
      </c>
      <c r="J766" s="41">
        <v>40000000</v>
      </c>
      <c r="K766" s="41">
        <v>0</v>
      </c>
      <c r="L766" s="41">
        <v>10000000</v>
      </c>
      <c r="M766" s="41">
        <v>0</v>
      </c>
      <c r="N766" s="41">
        <v>62524999.9999993</v>
      </c>
      <c r="O766" s="41">
        <v>79166.666666666672</v>
      </c>
      <c r="P766" s="41">
        <v>75000000</v>
      </c>
      <c r="Q766" s="41">
        <v>0</v>
      </c>
      <c r="R766" s="41">
        <v>50000000</v>
      </c>
      <c r="S766" s="41">
        <v>0</v>
      </c>
      <c r="T766" s="41">
        <v>35000000</v>
      </c>
      <c r="U766" s="41">
        <v>0</v>
      </c>
      <c r="V766" s="41">
        <v>442524999.99999928</v>
      </c>
      <c r="W766" s="41">
        <v>79166.666666666672</v>
      </c>
      <c r="X766" s="38">
        <f t="shared" si="66"/>
        <v>0.88504999999999856</v>
      </c>
      <c r="Y766" s="39">
        <f t="shared" si="67"/>
        <v>1.5833333333333335E-4</v>
      </c>
      <c r="Z766" s="39">
        <f t="shared" si="71"/>
        <v>1.7892962415361606E-4</v>
      </c>
      <c r="AA766" s="41">
        <f t="shared" si="68"/>
        <v>57475000.000000715</v>
      </c>
      <c r="AB766" s="39">
        <f t="shared" si="69"/>
        <v>1.3774104683195421E-3</v>
      </c>
      <c r="AC766" s="38">
        <f t="shared" si="70"/>
        <v>0.20406775049316414</v>
      </c>
      <c r="AD766" s="3"/>
    </row>
    <row r="767" spans="1:30" x14ac:dyDescent="0.25">
      <c r="A767" s="37">
        <v>46403</v>
      </c>
      <c r="B767" s="41">
        <v>20000000</v>
      </c>
      <c r="C767" s="41">
        <v>0</v>
      </c>
      <c r="D767" s="41">
        <v>50000000</v>
      </c>
      <c r="E767" s="41">
        <v>0</v>
      </c>
      <c r="F767" s="41">
        <v>50000000</v>
      </c>
      <c r="G767" s="41">
        <v>0</v>
      </c>
      <c r="H767" s="41">
        <v>50000000</v>
      </c>
      <c r="I767" s="41">
        <v>0</v>
      </c>
      <c r="J767" s="41">
        <v>40000000</v>
      </c>
      <c r="K767" s="41">
        <v>0</v>
      </c>
      <c r="L767" s="41">
        <v>10000000</v>
      </c>
      <c r="M767" s="41">
        <v>0</v>
      </c>
      <c r="N767" s="41">
        <v>62604166.666665956</v>
      </c>
      <c r="O767" s="41">
        <v>79166.666666666672</v>
      </c>
      <c r="P767" s="41">
        <v>75000000</v>
      </c>
      <c r="Q767" s="41">
        <v>0</v>
      </c>
      <c r="R767" s="41">
        <v>50000000</v>
      </c>
      <c r="S767" s="41">
        <v>0</v>
      </c>
      <c r="T767" s="41">
        <v>35000000</v>
      </c>
      <c r="U767" s="41">
        <v>0</v>
      </c>
      <c r="V767" s="41">
        <v>442604166.66666597</v>
      </c>
      <c r="W767" s="41">
        <v>79166.666666666672</v>
      </c>
      <c r="X767" s="38">
        <f t="shared" si="66"/>
        <v>0.88520833333333193</v>
      </c>
      <c r="Y767" s="39">
        <f t="shared" si="67"/>
        <v>1.5833333333333335E-4</v>
      </c>
      <c r="Z767" s="39">
        <f t="shared" si="71"/>
        <v>1.7889761407076843E-4</v>
      </c>
      <c r="AA767" s="41">
        <f t="shared" si="68"/>
        <v>57395833.333334029</v>
      </c>
      <c r="AB767" s="39">
        <f t="shared" si="69"/>
        <v>1.3793103448275696E-3</v>
      </c>
      <c r="AC767" s="38">
        <f t="shared" si="70"/>
        <v>0.20402380277699103</v>
      </c>
      <c r="AD767" s="3"/>
    </row>
    <row r="768" spans="1:30" x14ac:dyDescent="0.25">
      <c r="A768" s="37">
        <v>46404</v>
      </c>
      <c r="B768" s="41">
        <v>20000000</v>
      </c>
      <c r="C768" s="41">
        <v>0</v>
      </c>
      <c r="D768" s="41">
        <v>50000000</v>
      </c>
      <c r="E768" s="41">
        <v>0</v>
      </c>
      <c r="F768" s="41">
        <v>50000000</v>
      </c>
      <c r="G768" s="41">
        <v>0</v>
      </c>
      <c r="H768" s="41">
        <v>50000000</v>
      </c>
      <c r="I768" s="41">
        <v>0</v>
      </c>
      <c r="J768" s="41">
        <v>40000000</v>
      </c>
      <c r="K768" s="41">
        <v>0</v>
      </c>
      <c r="L768" s="41">
        <v>10000000</v>
      </c>
      <c r="M768" s="41">
        <v>0</v>
      </c>
      <c r="N768" s="41">
        <v>62683333.333332628</v>
      </c>
      <c r="O768" s="41">
        <v>79166.666666666672</v>
      </c>
      <c r="P768" s="41">
        <v>75000000</v>
      </c>
      <c r="Q768" s="41">
        <v>0</v>
      </c>
      <c r="R768" s="41">
        <v>50000000</v>
      </c>
      <c r="S768" s="41">
        <v>0</v>
      </c>
      <c r="T768" s="41">
        <v>35000000</v>
      </c>
      <c r="U768" s="41">
        <v>0</v>
      </c>
      <c r="V768" s="41">
        <v>442683333.33333272</v>
      </c>
      <c r="W768" s="41">
        <v>79166.666666666672</v>
      </c>
      <c r="X768" s="38">
        <f t="shared" si="66"/>
        <v>0.88536666666666541</v>
      </c>
      <c r="Y768" s="39">
        <f t="shared" si="67"/>
        <v>1.5833333333333335E-4</v>
      </c>
      <c r="Z768" s="39">
        <f t="shared" si="71"/>
        <v>1.7886561543892709E-4</v>
      </c>
      <c r="AA768" s="41">
        <f t="shared" si="68"/>
        <v>57316666.666667283</v>
      </c>
      <c r="AB768" s="39">
        <f t="shared" si="69"/>
        <v>1.3812154696132449E-3</v>
      </c>
      <c r="AC768" s="38">
        <f t="shared" si="70"/>
        <v>0.20397987398576709</v>
      </c>
      <c r="AD768" s="3"/>
    </row>
    <row r="769" spans="1:30" x14ac:dyDescent="0.25">
      <c r="A769" s="37">
        <v>46405</v>
      </c>
      <c r="B769" s="41">
        <v>20000000</v>
      </c>
      <c r="C769" s="41">
        <v>0</v>
      </c>
      <c r="D769" s="41">
        <v>50000000</v>
      </c>
      <c r="E769" s="41">
        <v>0</v>
      </c>
      <c r="F769" s="41">
        <v>50000000</v>
      </c>
      <c r="G769" s="41">
        <v>0</v>
      </c>
      <c r="H769" s="41">
        <v>50000000</v>
      </c>
      <c r="I769" s="41">
        <v>0</v>
      </c>
      <c r="J769" s="41">
        <v>40000000</v>
      </c>
      <c r="K769" s="41">
        <v>0</v>
      </c>
      <c r="L769" s="41">
        <v>10000000</v>
      </c>
      <c r="M769" s="41">
        <v>0</v>
      </c>
      <c r="N769" s="41">
        <v>62762499.999999292</v>
      </c>
      <c r="O769" s="41">
        <v>79166.666666666672</v>
      </c>
      <c r="P769" s="41">
        <v>75000000</v>
      </c>
      <c r="Q769" s="41">
        <v>0</v>
      </c>
      <c r="R769" s="41">
        <v>50000000</v>
      </c>
      <c r="S769" s="41">
        <v>0</v>
      </c>
      <c r="T769" s="41">
        <v>35000000</v>
      </c>
      <c r="U769" s="41">
        <v>0</v>
      </c>
      <c r="V769" s="41">
        <v>442762499.99999928</v>
      </c>
      <c r="W769" s="41">
        <v>79166.666666666672</v>
      </c>
      <c r="X769" s="38">
        <f t="shared" si="66"/>
        <v>0.88552499999999856</v>
      </c>
      <c r="Y769" s="39">
        <f t="shared" si="67"/>
        <v>1.5833333333333335E-4</v>
      </c>
      <c r="Z769" s="39">
        <f t="shared" si="71"/>
        <v>1.7883362825194861E-4</v>
      </c>
      <c r="AA769" s="41">
        <f t="shared" si="68"/>
        <v>57237500.000000715</v>
      </c>
      <c r="AB769" s="39">
        <f t="shared" si="69"/>
        <v>1.383125864453648E-3</v>
      </c>
      <c r="AC769" s="38">
        <f t="shared" si="70"/>
        <v>0.20393596410727072</v>
      </c>
      <c r="AD769" s="3"/>
    </row>
    <row r="770" spans="1:30" x14ac:dyDescent="0.25">
      <c r="A770" s="37">
        <v>46406</v>
      </c>
      <c r="B770" s="41">
        <v>20000000</v>
      </c>
      <c r="C770" s="41">
        <v>0</v>
      </c>
      <c r="D770" s="41">
        <v>50000000</v>
      </c>
      <c r="E770" s="41">
        <v>0</v>
      </c>
      <c r="F770" s="41">
        <v>50000000</v>
      </c>
      <c r="G770" s="41">
        <v>0</v>
      </c>
      <c r="H770" s="41">
        <v>50000000</v>
      </c>
      <c r="I770" s="41">
        <v>0</v>
      </c>
      <c r="J770" s="41">
        <v>40000000</v>
      </c>
      <c r="K770" s="41">
        <v>0</v>
      </c>
      <c r="L770" s="41">
        <v>10000000</v>
      </c>
      <c r="M770" s="41">
        <v>0</v>
      </c>
      <c r="N770" s="41">
        <v>62841666.666665956</v>
      </c>
      <c r="O770" s="41">
        <v>79166.666666666672</v>
      </c>
      <c r="P770" s="41">
        <v>75000000</v>
      </c>
      <c r="Q770" s="41">
        <v>0</v>
      </c>
      <c r="R770" s="41">
        <v>50000000</v>
      </c>
      <c r="S770" s="41">
        <v>0</v>
      </c>
      <c r="T770" s="41">
        <v>35000000</v>
      </c>
      <c r="U770" s="41">
        <v>0</v>
      </c>
      <c r="V770" s="41">
        <v>442841666.66666597</v>
      </c>
      <c r="W770" s="41">
        <v>79166.666666666672</v>
      </c>
      <c r="X770" s="38">
        <f t="shared" si="66"/>
        <v>0.88568333333333193</v>
      </c>
      <c r="Y770" s="39">
        <f t="shared" si="67"/>
        <v>1.5833333333333335E-4</v>
      </c>
      <c r="Z770" s="39">
        <f t="shared" si="71"/>
        <v>1.7880165250369398E-4</v>
      </c>
      <c r="AA770" s="41">
        <f t="shared" si="68"/>
        <v>57158333.333334029</v>
      </c>
      <c r="AB770" s="39">
        <f t="shared" si="69"/>
        <v>1.3850415512465207E-3</v>
      </c>
      <c r="AC770" s="38">
        <f t="shared" si="70"/>
        <v>0.20389207312929061</v>
      </c>
      <c r="AD770" s="3"/>
    </row>
    <row r="771" spans="1:30" x14ac:dyDescent="0.25">
      <c r="A771" s="37">
        <v>46407</v>
      </c>
      <c r="B771" s="41">
        <v>20000000</v>
      </c>
      <c r="C771" s="41">
        <v>0</v>
      </c>
      <c r="D771" s="41">
        <v>50000000</v>
      </c>
      <c r="E771" s="41">
        <v>0</v>
      </c>
      <c r="F771" s="41">
        <v>50000000</v>
      </c>
      <c r="G771" s="41">
        <v>0</v>
      </c>
      <c r="H771" s="41">
        <v>50000000</v>
      </c>
      <c r="I771" s="41">
        <v>0</v>
      </c>
      <c r="J771" s="41">
        <v>40000000</v>
      </c>
      <c r="K771" s="41">
        <v>0</v>
      </c>
      <c r="L771" s="41">
        <v>10000000</v>
      </c>
      <c r="M771" s="41">
        <v>0</v>
      </c>
      <c r="N771" s="41">
        <v>62920833.333332621</v>
      </c>
      <c r="O771" s="41">
        <v>79166.666666666672</v>
      </c>
      <c r="P771" s="41">
        <v>75000000</v>
      </c>
      <c r="Q771" s="41">
        <v>0</v>
      </c>
      <c r="R771" s="41">
        <v>50000000</v>
      </c>
      <c r="S771" s="41">
        <v>0</v>
      </c>
      <c r="T771" s="41">
        <v>35000000</v>
      </c>
      <c r="U771" s="41">
        <v>0</v>
      </c>
      <c r="V771" s="41">
        <v>442920833.3333326</v>
      </c>
      <c r="W771" s="41">
        <v>79166.666666666672</v>
      </c>
      <c r="X771" s="38">
        <f t="shared" si="66"/>
        <v>0.8858416666666652</v>
      </c>
      <c r="Y771" s="39">
        <f t="shared" si="67"/>
        <v>1.5833333333333335E-4</v>
      </c>
      <c r="Z771" s="39">
        <f t="shared" si="71"/>
        <v>1.7876968818802836E-4</v>
      </c>
      <c r="AA771" s="41">
        <f t="shared" si="68"/>
        <v>57079166.666667402</v>
      </c>
      <c r="AB771" s="39">
        <f t="shared" si="69"/>
        <v>1.386962552011078E-3</v>
      </c>
      <c r="AC771" s="38">
        <f t="shared" si="70"/>
        <v>0.20384820103962623</v>
      </c>
      <c r="AD771" s="3"/>
    </row>
    <row r="772" spans="1:30" x14ac:dyDescent="0.25">
      <c r="A772" s="37">
        <v>46408</v>
      </c>
      <c r="B772" s="41">
        <v>20000000</v>
      </c>
      <c r="C772" s="41">
        <v>0</v>
      </c>
      <c r="D772" s="41">
        <v>50000000</v>
      </c>
      <c r="E772" s="41">
        <v>0</v>
      </c>
      <c r="F772" s="41">
        <v>50000000</v>
      </c>
      <c r="G772" s="41">
        <v>0</v>
      </c>
      <c r="H772" s="41">
        <v>50000000</v>
      </c>
      <c r="I772" s="41">
        <v>0</v>
      </c>
      <c r="J772" s="41">
        <v>40000000</v>
      </c>
      <c r="K772" s="41">
        <v>0</v>
      </c>
      <c r="L772" s="41">
        <v>10000000</v>
      </c>
      <c r="M772" s="41">
        <v>0</v>
      </c>
      <c r="N772" s="41">
        <v>62999999.999999277</v>
      </c>
      <c r="O772" s="41">
        <v>79166.666666666672</v>
      </c>
      <c r="P772" s="41">
        <v>75000000</v>
      </c>
      <c r="Q772" s="41">
        <v>0</v>
      </c>
      <c r="R772" s="41">
        <v>50000000</v>
      </c>
      <c r="S772" s="41">
        <v>0</v>
      </c>
      <c r="T772" s="41">
        <v>35000000</v>
      </c>
      <c r="U772" s="41">
        <v>0</v>
      </c>
      <c r="V772" s="41">
        <v>442999999.99999928</v>
      </c>
      <c r="W772" s="41">
        <v>79166.666666666672</v>
      </c>
      <c r="X772" s="38">
        <f t="shared" si="66"/>
        <v>0.88599999999999857</v>
      </c>
      <c r="Y772" s="39">
        <f t="shared" si="67"/>
        <v>1.5833333333333335E-4</v>
      </c>
      <c r="Z772" s="39">
        <f t="shared" si="71"/>
        <v>1.7873773529882158E-4</v>
      </c>
      <c r="AA772" s="41">
        <f t="shared" si="68"/>
        <v>57000000.000000715</v>
      </c>
      <c r="AB772" s="39">
        <f t="shared" si="69"/>
        <v>1.3888888888888716E-3</v>
      </c>
      <c r="AC772" s="38">
        <f t="shared" si="70"/>
        <v>0.20380434782608736</v>
      </c>
      <c r="AD772" s="3"/>
    </row>
    <row r="773" spans="1:30" x14ac:dyDescent="0.25">
      <c r="A773" s="37">
        <v>46409</v>
      </c>
      <c r="B773" s="41">
        <v>20000000</v>
      </c>
      <c r="C773" s="41">
        <v>0</v>
      </c>
      <c r="D773" s="41">
        <v>50000000</v>
      </c>
      <c r="E773" s="41">
        <v>0</v>
      </c>
      <c r="F773" s="41">
        <v>50000000</v>
      </c>
      <c r="G773" s="41">
        <v>0</v>
      </c>
      <c r="H773" s="41">
        <v>50000000</v>
      </c>
      <c r="I773" s="41">
        <v>0</v>
      </c>
      <c r="J773" s="41">
        <v>40000000</v>
      </c>
      <c r="K773" s="41">
        <v>0</v>
      </c>
      <c r="L773" s="41">
        <v>10000000</v>
      </c>
      <c r="M773" s="41">
        <v>0</v>
      </c>
      <c r="N773" s="41">
        <v>63079166.666665949</v>
      </c>
      <c r="O773" s="41">
        <v>79166.666666666672</v>
      </c>
      <c r="P773" s="41">
        <v>75000000</v>
      </c>
      <c r="Q773" s="41">
        <v>0</v>
      </c>
      <c r="R773" s="41">
        <v>50000000</v>
      </c>
      <c r="S773" s="41">
        <v>0</v>
      </c>
      <c r="T773" s="41">
        <v>35000000</v>
      </c>
      <c r="U773" s="41">
        <v>0</v>
      </c>
      <c r="V773" s="41">
        <v>443079166.66666597</v>
      </c>
      <c r="W773" s="41">
        <v>79166.666666666672</v>
      </c>
      <c r="X773" s="38">
        <f t="shared" si="66"/>
        <v>0.88615833333333194</v>
      </c>
      <c r="Y773" s="39">
        <f t="shared" si="67"/>
        <v>1.5833333333333335E-4</v>
      </c>
      <c r="Z773" s="39">
        <f t="shared" si="71"/>
        <v>1.7870579382994764E-4</v>
      </c>
      <c r="AA773" s="41">
        <f t="shared" si="68"/>
        <v>56920833.333334029</v>
      </c>
      <c r="AB773" s="39">
        <f t="shared" si="69"/>
        <v>1.3908205841446284E-3</v>
      </c>
      <c r="AC773" s="38">
        <f t="shared" si="70"/>
        <v>0.20376051347649435</v>
      </c>
      <c r="AD773" s="3"/>
    </row>
    <row r="774" spans="1:30" x14ac:dyDescent="0.25">
      <c r="A774" s="37">
        <v>46410</v>
      </c>
      <c r="B774" s="41">
        <v>20000000</v>
      </c>
      <c r="C774" s="41">
        <v>0</v>
      </c>
      <c r="D774" s="41">
        <v>50000000</v>
      </c>
      <c r="E774" s="41">
        <v>0</v>
      </c>
      <c r="F774" s="41">
        <v>50000000</v>
      </c>
      <c r="G774" s="41">
        <v>0</v>
      </c>
      <c r="H774" s="41">
        <v>50000000</v>
      </c>
      <c r="I774" s="41">
        <v>0</v>
      </c>
      <c r="J774" s="41">
        <v>40000000</v>
      </c>
      <c r="K774" s="41">
        <v>0</v>
      </c>
      <c r="L774" s="41">
        <v>10000000</v>
      </c>
      <c r="M774" s="41">
        <v>0</v>
      </c>
      <c r="N774" s="41">
        <v>63158333.333332613</v>
      </c>
      <c r="O774" s="41">
        <v>79166.666666666672</v>
      </c>
      <c r="P774" s="41">
        <v>75000000</v>
      </c>
      <c r="Q774" s="41">
        <v>0</v>
      </c>
      <c r="R774" s="41">
        <v>50000000</v>
      </c>
      <c r="S774" s="41">
        <v>0</v>
      </c>
      <c r="T774" s="41">
        <v>35000000</v>
      </c>
      <c r="U774" s="41">
        <v>0</v>
      </c>
      <c r="V774" s="41">
        <v>443158333.3333326</v>
      </c>
      <c r="W774" s="41">
        <v>79166.666666666672</v>
      </c>
      <c r="X774" s="38">
        <f t="shared" si="66"/>
        <v>0.8863166666666652</v>
      </c>
      <c r="Y774" s="39">
        <f t="shared" si="67"/>
        <v>1.5833333333333335E-4</v>
      </c>
      <c r="Z774" s="39">
        <f t="shared" si="71"/>
        <v>1.7867386377528498E-4</v>
      </c>
      <c r="AA774" s="41">
        <f t="shared" si="68"/>
        <v>56841666.666667402</v>
      </c>
      <c r="AB774" s="39">
        <f t="shared" si="69"/>
        <v>1.3927576601671129E-3</v>
      </c>
      <c r="AC774" s="38">
        <f t="shared" si="70"/>
        <v>0.20371669797867806</v>
      </c>
      <c r="AD774" s="3"/>
    </row>
    <row r="775" spans="1:30" x14ac:dyDescent="0.25">
      <c r="A775" s="37">
        <v>46411</v>
      </c>
      <c r="B775" s="41">
        <v>20000000</v>
      </c>
      <c r="C775" s="41">
        <v>0</v>
      </c>
      <c r="D775" s="41">
        <v>50000000</v>
      </c>
      <c r="E775" s="41">
        <v>0</v>
      </c>
      <c r="F775" s="41">
        <v>50000000</v>
      </c>
      <c r="G775" s="41">
        <v>0</v>
      </c>
      <c r="H775" s="41">
        <v>50000000</v>
      </c>
      <c r="I775" s="41">
        <v>0</v>
      </c>
      <c r="J775" s="41">
        <v>40000000</v>
      </c>
      <c r="K775" s="41">
        <v>0</v>
      </c>
      <c r="L775" s="41">
        <v>10000000</v>
      </c>
      <c r="M775" s="41">
        <v>0</v>
      </c>
      <c r="N775" s="41">
        <v>63237499.999999277</v>
      </c>
      <c r="O775" s="41">
        <v>79166.666666666672</v>
      </c>
      <c r="P775" s="41">
        <v>75000000</v>
      </c>
      <c r="Q775" s="41">
        <v>0</v>
      </c>
      <c r="R775" s="41">
        <v>50000000</v>
      </c>
      <c r="S775" s="41">
        <v>0</v>
      </c>
      <c r="T775" s="41">
        <v>35000000</v>
      </c>
      <c r="U775" s="41">
        <v>0</v>
      </c>
      <c r="V775" s="41">
        <v>443237499.99999928</v>
      </c>
      <c r="W775" s="41">
        <v>79166.666666666672</v>
      </c>
      <c r="X775" s="38">
        <f t="shared" si="66"/>
        <v>0.88647499999999857</v>
      </c>
      <c r="Y775" s="39">
        <f t="shared" si="67"/>
        <v>1.5833333333333335E-4</v>
      </c>
      <c r="Z775" s="39">
        <f t="shared" si="71"/>
        <v>1.7864194512871653E-4</v>
      </c>
      <c r="AA775" s="41">
        <f t="shared" si="68"/>
        <v>56762500.000000715</v>
      </c>
      <c r="AB775" s="39">
        <f t="shared" si="69"/>
        <v>1.3947001394699966E-3</v>
      </c>
      <c r="AC775" s="38">
        <f t="shared" si="70"/>
        <v>0.20367290132047972</v>
      </c>
      <c r="AD775" s="3"/>
    </row>
    <row r="776" spans="1:30" x14ac:dyDescent="0.25">
      <c r="A776" s="37">
        <v>46412</v>
      </c>
      <c r="B776" s="41">
        <v>20000000</v>
      </c>
      <c r="C776" s="41">
        <v>0</v>
      </c>
      <c r="D776" s="41">
        <v>50000000</v>
      </c>
      <c r="E776" s="41">
        <v>0</v>
      </c>
      <c r="F776" s="41">
        <v>50000000</v>
      </c>
      <c r="G776" s="41">
        <v>0</v>
      </c>
      <c r="H776" s="41">
        <v>50000000</v>
      </c>
      <c r="I776" s="41">
        <v>0</v>
      </c>
      <c r="J776" s="41">
        <v>40000000</v>
      </c>
      <c r="K776" s="41">
        <v>0</v>
      </c>
      <c r="L776" s="41">
        <v>10000000</v>
      </c>
      <c r="M776" s="41">
        <v>0</v>
      </c>
      <c r="N776" s="41">
        <v>63316666.666665941</v>
      </c>
      <c r="O776" s="41">
        <v>79166.666666666672</v>
      </c>
      <c r="P776" s="41">
        <v>75000000</v>
      </c>
      <c r="Q776" s="41">
        <v>0</v>
      </c>
      <c r="R776" s="41">
        <v>50000000</v>
      </c>
      <c r="S776" s="41">
        <v>0</v>
      </c>
      <c r="T776" s="41">
        <v>35000000</v>
      </c>
      <c r="U776" s="41">
        <v>0</v>
      </c>
      <c r="V776" s="41">
        <v>443316666.66666591</v>
      </c>
      <c r="W776" s="41">
        <v>79166.666666666672</v>
      </c>
      <c r="X776" s="38">
        <f t="shared" si="66"/>
        <v>0.88663333333333183</v>
      </c>
      <c r="Y776" s="39">
        <f t="shared" si="67"/>
        <v>1.5833333333333335E-4</v>
      </c>
      <c r="Z776" s="39">
        <f t="shared" si="71"/>
        <v>1.786100378841294E-4</v>
      </c>
      <c r="AA776" s="41">
        <f t="shared" si="68"/>
        <v>56683333.333334088</v>
      </c>
      <c r="AB776" s="39">
        <f t="shared" si="69"/>
        <v>1.3966480446927188E-3</v>
      </c>
      <c r="AC776" s="38">
        <f t="shared" si="70"/>
        <v>0.2036291234897511</v>
      </c>
      <c r="AD776" s="3"/>
    </row>
    <row r="777" spans="1:30" x14ac:dyDescent="0.25">
      <c r="A777" s="37">
        <v>46413</v>
      </c>
      <c r="B777" s="41">
        <v>20000000</v>
      </c>
      <c r="C777" s="41">
        <v>0</v>
      </c>
      <c r="D777" s="41">
        <v>50000000</v>
      </c>
      <c r="E777" s="41">
        <v>0</v>
      </c>
      <c r="F777" s="41">
        <v>50000000</v>
      </c>
      <c r="G777" s="41">
        <v>0</v>
      </c>
      <c r="H777" s="41">
        <v>50000000</v>
      </c>
      <c r="I777" s="41">
        <v>0</v>
      </c>
      <c r="J777" s="41">
        <v>40000000</v>
      </c>
      <c r="K777" s="41">
        <v>0</v>
      </c>
      <c r="L777" s="41">
        <v>10000000</v>
      </c>
      <c r="M777" s="41">
        <v>0</v>
      </c>
      <c r="N777" s="41">
        <v>63395833.333332613</v>
      </c>
      <c r="O777" s="41">
        <v>79166.666666666672</v>
      </c>
      <c r="P777" s="41">
        <v>75000000</v>
      </c>
      <c r="Q777" s="41">
        <v>0</v>
      </c>
      <c r="R777" s="41">
        <v>50000000</v>
      </c>
      <c r="S777" s="41">
        <v>0</v>
      </c>
      <c r="T777" s="41">
        <v>35000000</v>
      </c>
      <c r="U777" s="41">
        <v>0</v>
      </c>
      <c r="V777" s="41">
        <v>443395833.3333326</v>
      </c>
      <c r="W777" s="41">
        <v>79166.666666666672</v>
      </c>
      <c r="X777" s="38">
        <f t="shared" si="66"/>
        <v>0.8867916666666652</v>
      </c>
      <c r="Y777" s="39">
        <f t="shared" si="67"/>
        <v>1.5833333333333335E-4</v>
      </c>
      <c r="Z777" s="39">
        <f t="shared" si="71"/>
        <v>1.7857814203541518E-4</v>
      </c>
      <c r="AA777" s="41">
        <f t="shared" si="68"/>
        <v>56604166.666667402</v>
      </c>
      <c r="AB777" s="39">
        <f t="shared" si="69"/>
        <v>1.3986013986013806E-3</v>
      </c>
      <c r="AC777" s="38">
        <f t="shared" si="70"/>
        <v>0.2035853644743543</v>
      </c>
      <c r="AD777" s="3"/>
    </row>
    <row r="778" spans="1:30" x14ac:dyDescent="0.25">
      <c r="A778" s="37">
        <v>46414</v>
      </c>
      <c r="B778" s="41">
        <v>20000000</v>
      </c>
      <c r="C778" s="41">
        <v>0</v>
      </c>
      <c r="D778" s="41">
        <v>50000000</v>
      </c>
      <c r="E778" s="41">
        <v>0</v>
      </c>
      <c r="F778" s="41">
        <v>50000000</v>
      </c>
      <c r="G778" s="41">
        <v>0</v>
      </c>
      <c r="H778" s="41">
        <v>50000000</v>
      </c>
      <c r="I778" s="41">
        <v>0</v>
      </c>
      <c r="J778" s="41">
        <v>40000000</v>
      </c>
      <c r="K778" s="41">
        <v>0</v>
      </c>
      <c r="L778" s="41">
        <v>10000000</v>
      </c>
      <c r="M778" s="41">
        <v>0</v>
      </c>
      <c r="N778" s="41">
        <v>63474999.99999927</v>
      </c>
      <c r="O778" s="41">
        <v>79166.666666666672</v>
      </c>
      <c r="P778" s="41">
        <v>75000000</v>
      </c>
      <c r="Q778" s="41">
        <v>0</v>
      </c>
      <c r="R778" s="41">
        <v>50000000</v>
      </c>
      <c r="S778" s="41">
        <v>0</v>
      </c>
      <c r="T778" s="41">
        <v>35000000</v>
      </c>
      <c r="U778" s="41">
        <v>0</v>
      </c>
      <c r="V778" s="41">
        <v>443474999.99999928</v>
      </c>
      <c r="W778" s="41">
        <v>79166.666666666672</v>
      </c>
      <c r="X778" s="38">
        <f t="shared" si="66"/>
        <v>0.88694999999999857</v>
      </c>
      <c r="Y778" s="39">
        <f t="shared" si="67"/>
        <v>1.5833333333333335E-4</v>
      </c>
      <c r="Z778" s="39">
        <f t="shared" si="71"/>
        <v>1.7854625757646978E-4</v>
      </c>
      <c r="AA778" s="41">
        <f t="shared" si="68"/>
        <v>56525000.000000715</v>
      </c>
      <c r="AB778" s="39">
        <f t="shared" si="69"/>
        <v>1.4005602240896183E-3</v>
      </c>
      <c r="AC778" s="38">
        <f t="shared" si="70"/>
        <v>0.20354162426216202</v>
      </c>
      <c r="AD778" s="3"/>
    </row>
    <row r="779" spans="1:30" x14ac:dyDescent="0.25">
      <c r="A779" s="37">
        <v>46415</v>
      </c>
      <c r="B779" s="41">
        <v>20000000</v>
      </c>
      <c r="C779" s="41">
        <v>0</v>
      </c>
      <c r="D779" s="41">
        <v>50000000</v>
      </c>
      <c r="E779" s="41">
        <v>0</v>
      </c>
      <c r="F779" s="41">
        <v>50000000</v>
      </c>
      <c r="G779" s="41">
        <v>0</v>
      </c>
      <c r="H779" s="41">
        <v>50000000</v>
      </c>
      <c r="I779" s="41">
        <v>0</v>
      </c>
      <c r="J779" s="41">
        <v>40000000</v>
      </c>
      <c r="K779" s="41">
        <v>0</v>
      </c>
      <c r="L779" s="41">
        <v>10000000</v>
      </c>
      <c r="M779" s="41">
        <v>0</v>
      </c>
      <c r="N779" s="41">
        <v>63554166.666665927</v>
      </c>
      <c r="O779" s="41">
        <v>79166.666666666672</v>
      </c>
      <c r="P779" s="41">
        <v>75000000</v>
      </c>
      <c r="Q779" s="41">
        <v>0</v>
      </c>
      <c r="R779" s="41">
        <v>50000000</v>
      </c>
      <c r="S779" s="41">
        <v>0</v>
      </c>
      <c r="T779" s="41">
        <v>35000000</v>
      </c>
      <c r="U779" s="41">
        <v>0</v>
      </c>
      <c r="V779" s="41">
        <v>443554166.66666591</v>
      </c>
      <c r="W779" s="41">
        <v>79166.666666666672</v>
      </c>
      <c r="X779" s="38">
        <f t="shared" si="66"/>
        <v>0.88710833333333183</v>
      </c>
      <c r="Y779" s="39">
        <f t="shared" si="67"/>
        <v>1.5833333333333335E-4</v>
      </c>
      <c r="Z779" s="39">
        <f t="shared" si="71"/>
        <v>1.7851438450119353E-4</v>
      </c>
      <c r="AA779" s="41">
        <f t="shared" si="68"/>
        <v>56445833.333334088</v>
      </c>
      <c r="AB779" s="39">
        <f t="shared" si="69"/>
        <v>1.4025245441795045E-3</v>
      </c>
      <c r="AC779" s="38">
        <f t="shared" si="70"/>
        <v>0.20349790284105726</v>
      </c>
      <c r="AD779" s="3"/>
    </row>
    <row r="780" spans="1:30" x14ac:dyDescent="0.25">
      <c r="A780" s="37">
        <v>46416</v>
      </c>
      <c r="B780" s="41">
        <v>20000000</v>
      </c>
      <c r="C780" s="41">
        <v>0</v>
      </c>
      <c r="D780" s="41">
        <v>50000000</v>
      </c>
      <c r="E780" s="41">
        <v>0</v>
      </c>
      <c r="F780" s="41">
        <v>50000000</v>
      </c>
      <c r="G780" s="41">
        <v>0</v>
      </c>
      <c r="H780" s="41">
        <v>50000000</v>
      </c>
      <c r="I780" s="41">
        <v>0</v>
      </c>
      <c r="J780" s="41">
        <v>40000000</v>
      </c>
      <c r="K780" s="41">
        <v>0</v>
      </c>
      <c r="L780" s="41">
        <v>10000000</v>
      </c>
      <c r="M780" s="41">
        <v>0</v>
      </c>
      <c r="N780" s="41">
        <v>63633333.333332598</v>
      </c>
      <c r="O780" s="41">
        <v>79166.666666666672</v>
      </c>
      <c r="P780" s="41">
        <v>75000000</v>
      </c>
      <c r="Q780" s="41">
        <v>0</v>
      </c>
      <c r="R780" s="41">
        <v>50000000</v>
      </c>
      <c r="S780" s="41">
        <v>0</v>
      </c>
      <c r="T780" s="41">
        <v>35000000</v>
      </c>
      <c r="U780" s="41">
        <v>0</v>
      </c>
      <c r="V780" s="41">
        <v>443633333.3333326</v>
      </c>
      <c r="W780" s="41">
        <v>79166.666666666672</v>
      </c>
      <c r="X780" s="38">
        <f t="shared" si="66"/>
        <v>0.8872666666666652</v>
      </c>
      <c r="Y780" s="39">
        <f t="shared" si="67"/>
        <v>1.5833333333333335E-4</v>
      </c>
      <c r="Z780" s="39">
        <f t="shared" si="71"/>
        <v>1.7848252280349105E-4</v>
      </c>
      <c r="AA780" s="41">
        <f t="shared" si="68"/>
        <v>56366666.666667402</v>
      </c>
      <c r="AB780" s="39">
        <f t="shared" si="69"/>
        <v>1.4044943820224537E-3</v>
      </c>
      <c r="AC780" s="38">
        <f t="shared" si="70"/>
        <v>0.2034542001989334</v>
      </c>
      <c r="AD780" s="3"/>
    </row>
    <row r="781" spans="1:30" x14ac:dyDescent="0.25">
      <c r="A781" s="37">
        <v>46417</v>
      </c>
      <c r="B781" s="41">
        <v>20000000</v>
      </c>
      <c r="C781" s="41">
        <v>0</v>
      </c>
      <c r="D781" s="41">
        <v>50000000</v>
      </c>
      <c r="E781" s="41">
        <v>0</v>
      </c>
      <c r="F781" s="41">
        <v>50000000</v>
      </c>
      <c r="G781" s="41">
        <v>0</v>
      </c>
      <c r="H781" s="41">
        <v>50000000</v>
      </c>
      <c r="I781" s="41">
        <v>0</v>
      </c>
      <c r="J781" s="41">
        <v>40000000</v>
      </c>
      <c r="K781" s="41">
        <v>0</v>
      </c>
      <c r="L781" s="41">
        <v>10000000</v>
      </c>
      <c r="M781" s="41">
        <v>0</v>
      </c>
      <c r="N781" s="41">
        <v>63712499.999999262</v>
      </c>
      <c r="O781" s="41">
        <v>79166.666666666672</v>
      </c>
      <c r="P781" s="41">
        <v>75000000</v>
      </c>
      <c r="Q781" s="41">
        <v>0</v>
      </c>
      <c r="R781" s="41">
        <v>50000000</v>
      </c>
      <c r="S781" s="41">
        <v>0</v>
      </c>
      <c r="T781" s="41">
        <v>35000000</v>
      </c>
      <c r="U781" s="41">
        <v>0</v>
      </c>
      <c r="V781" s="41">
        <v>443712499.99999928</v>
      </c>
      <c r="W781" s="41">
        <v>79166.666666666672</v>
      </c>
      <c r="X781" s="38">
        <f t="shared" si="66"/>
        <v>0.88742499999999858</v>
      </c>
      <c r="Y781" s="39">
        <f t="shared" si="67"/>
        <v>1.5833333333333335E-4</v>
      </c>
      <c r="Z781" s="39">
        <f t="shared" si="71"/>
        <v>1.7845067247727132E-4</v>
      </c>
      <c r="AA781" s="41">
        <f t="shared" si="68"/>
        <v>56287500.000000715</v>
      </c>
      <c r="AB781" s="39">
        <f t="shared" si="69"/>
        <v>1.4064697609001229E-3</v>
      </c>
      <c r="AC781" s="38">
        <f t="shared" si="70"/>
        <v>0.20341051632369433</v>
      </c>
      <c r="AD781" s="3"/>
    </row>
    <row r="782" spans="1:30" x14ac:dyDescent="0.25">
      <c r="A782" s="37">
        <v>46418</v>
      </c>
      <c r="B782" s="41">
        <v>20000000</v>
      </c>
      <c r="C782" s="41">
        <v>0</v>
      </c>
      <c r="D782" s="41">
        <v>50000000</v>
      </c>
      <c r="E782" s="41">
        <v>0</v>
      </c>
      <c r="F782" s="41">
        <v>50000000</v>
      </c>
      <c r="G782" s="41">
        <v>0</v>
      </c>
      <c r="H782" s="41">
        <v>50000000</v>
      </c>
      <c r="I782" s="41">
        <v>0</v>
      </c>
      <c r="J782" s="41">
        <v>40000000</v>
      </c>
      <c r="K782" s="41">
        <v>0</v>
      </c>
      <c r="L782" s="41">
        <v>10000000</v>
      </c>
      <c r="M782" s="41">
        <v>0</v>
      </c>
      <c r="N782" s="41">
        <v>63791666.666665927</v>
      </c>
      <c r="O782" s="41">
        <v>79166.666666666672</v>
      </c>
      <c r="P782" s="41">
        <v>75000000</v>
      </c>
      <c r="Q782" s="41">
        <v>0</v>
      </c>
      <c r="R782" s="41">
        <v>50000000</v>
      </c>
      <c r="S782" s="41">
        <v>0</v>
      </c>
      <c r="T782" s="41">
        <v>35000000</v>
      </c>
      <c r="U782" s="41">
        <v>0</v>
      </c>
      <c r="V782" s="41">
        <v>443791666.66666591</v>
      </c>
      <c r="W782" s="41">
        <v>79166.666666666672</v>
      </c>
      <c r="X782" s="38">
        <f t="shared" si="66"/>
        <v>0.88758333333333184</v>
      </c>
      <c r="Y782" s="39">
        <f t="shared" si="67"/>
        <v>1.5833333333333335E-4</v>
      </c>
      <c r="Z782" s="39">
        <f t="shared" si="71"/>
        <v>1.7841883351644769E-4</v>
      </c>
      <c r="AA782" s="41">
        <f t="shared" si="68"/>
        <v>56208333.333334088</v>
      </c>
      <c r="AB782" s="39">
        <f t="shared" si="69"/>
        <v>1.4084507042253333E-3</v>
      </c>
      <c r="AC782" s="38">
        <f t="shared" si="70"/>
        <v>0.20336685120325429</v>
      </c>
      <c r="AD782" s="3"/>
    </row>
    <row r="783" spans="1:30" x14ac:dyDescent="0.25">
      <c r="A783" s="37">
        <v>46419</v>
      </c>
      <c r="B783" s="41">
        <v>20000000</v>
      </c>
      <c r="C783" s="41">
        <v>0</v>
      </c>
      <c r="D783" s="41">
        <v>50000000</v>
      </c>
      <c r="E783" s="41">
        <v>0</v>
      </c>
      <c r="F783" s="41">
        <v>50000000</v>
      </c>
      <c r="G783" s="41">
        <v>0</v>
      </c>
      <c r="H783" s="41">
        <v>50000000</v>
      </c>
      <c r="I783" s="41">
        <v>0</v>
      </c>
      <c r="J783" s="41">
        <v>40000000</v>
      </c>
      <c r="K783" s="41">
        <v>0</v>
      </c>
      <c r="L783" s="41">
        <v>10000000</v>
      </c>
      <c r="M783" s="41">
        <v>0</v>
      </c>
      <c r="N783" s="41">
        <v>63870833.333332591</v>
      </c>
      <c r="O783" s="41">
        <v>79166.666666666672</v>
      </c>
      <c r="P783" s="41">
        <v>75000000</v>
      </c>
      <c r="Q783" s="41">
        <v>0</v>
      </c>
      <c r="R783" s="41">
        <v>50000000</v>
      </c>
      <c r="S783" s="41">
        <v>0</v>
      </c>
      <c r="T783" s="41">
        <v>35000000</v>
      </c>
      <c r="U783" s="41">
        <v>0</v>
      </c>
      <c r="V783" s="41">
        <v>443870833.3333326</v>
      </c>
      <c r="W783" s="41">
        <v>79166.666666666672</v>
      </c>
      <c r="X783" s="38">
        <f t="shared" si="66"/>
        <v>0.88774166666666521</v>
      </c>
      <c r="Y783" s="39">
        <f t="shared" si="67"/>
        <v>1.5833333333333335E-4</v>
      </c>
      <c r="Z783" s="39">
        <f t="shared" si="71"/>
        <v>1.7838700591493788E-4</v>
      </c>
      <c r="AA783" s="41">
        <f t="shared" si="68"/>
        <v>56129166.666667402</v>
      </c>
      <c r="AB783" s="39">
        <f t="shared" si="69"/>
        <v>1.4104372355429999E-3</v>
      </c>
      <c r="AC783" s="38">
        <f t="shared" si="70"/>
        <v>0.20332320482553781</v>
      </c>
      <c r="AD783" s="3"/>
    </row>
    <row r="784" spans="1:30" x14ac:dyDescent="0.25">
      <c r="A784" s="37">
        <v>46420</v>
      </c>
      <c r="B784" s="41">
        <v>20000000</v>
      </c>
      <c r="C784" s="41">
        <v>0</v>
      </c>
      <c r="D784" s="41">
        <v>50000000</v>
      </c>
      <c r="E784" s="41">
        <v>0</v>
      </c>
      <c r="F784" s="41">
        <v>50000000</v>
      </c>
      <c r="G784" s="41">
        <v>0</v>
      </c>
      <c r="H784" s="41">
        <v>50000000</v>
      </c>
      <c r="I784" s="41">
        <v>0</v>
      </c>
      <c r="J784" s="41">
        <v>40000000</v>
      </c>
      <c r="K784" s="41">
        <v>0</v>
      </c>
      <c r="L784" s="41">
        <v>10000000</v>
      </c>
      <c r="M784" s="41">
        <v>0</v>
      </c>
      <c r="N784" s="41">
        <v>63949999.999999247</v>
      </c>
      <c r="O784" s="41">
        <v>79166.666666666672</v>
      </c>
      <c r="P784" s="41">
        <v>75000000</v>
      </c>
      <c r="Q784" s="41">
        <v>0</v>
      </c>
      <c r="R784" s="41">
        <v>50000000</v>
      </c>
      <c r="S784" s="41">
        <v>0</v>
      </c>
      <c r="T784" s="41">
        <v>35000000</v>
      </c>
      <c r="U784" s="41">
        <v>0</v>
      </c>
      <c r="V784" s="41">
        <v>443949999.99999928</v>
      </c>
      <c r="W784" s="41">
        <v>79166.666666666672</v>
      </c>
      <c r="X784" s="38">
        <f t="shared" si="66"/>
        <v>0.88789999999999858</v>
      </c>
      <c r="Y784" s="39">
        <f t="shared" si="67"/>
        <v>1.5833333333333335E-4</v>
      </c>
      <c r="Z784" s="39">
        <f t="shared" si="71"/>
        <v>1.7835518966666385E-4</v>
      </c>
      <c r="AA784" s="41">
        <f t="shared" si="68"/>
        <v>56050000.000000715</v>
      </c>
      <c r="AB784" s="39">
        <f t="shared" si="69"/>
        <v>1.4124293785310554E-3</v>
      </c>
      <c r="AC784" s="38">
        <f t="shared" si="70"/>
        <v>0.20327957717847986</v>
      </c>
      <c r="AD784" s="3"/>
    </row>
    <row r="785" spans="1:30" x14ac:dyDescent="0.25">
      <c r="A785" s="37">
        <v>46421</v>
      </c>
      <c r="B785" s="41">
        <v>20000000</v>
      </c>
      <c r="C785" s="41">
        <v>0</v>
      </c>
      <c r="D785" s="41">
        <v>50000000</v>
      </c>
      <c r="E785" s="41">
        <v>0</v>
      </c>
      <c r="F785" s="41">
        <v>50000000</v>
      </c>
      <c r="G785" s="41">
        <v>0</v>
      </c>
      <c r="H785" s="41">
        <v>50000000</v>
      </c>
      <c r="I785" s="41">
        <v>0</v>
      </c>
      <c r="J785" s="41">
        <v>40000000</v>
      </c>
      <c r="K785" s="41">
        <v>0</v>
      </c>
      <c r="L785" s="41">
        <v>10000000</v>
      </c>
      <c r="M785" s="41">
        <v>0</v>
      </c>
      <c r="N785" s="41">
        <v>64029166.666665919</v>
      </c>
      <c r="O785" s="41">
        <v>79166.666666666672</v>
      </c>
      <c r="P785" s="41">
        <v>75000000</v>
      </c>
      <c r="Q785" s="41">
        <v>0</v>
      </c>
      <c r="R785" s="41">
        <v>50000000</v>
      </c>
      <c r="S785" s="41">
        <v>0</v>
      </c>
      <c r="T785" s="41">
        <v>35000000</v>
      </c>
      <c r="U785" s="41">
        <v>0</v>
      </c>
      <c r="V785" s="41">
        <v>444029166.66666591</v>
      </c>
      <c r="W785" s="41">
        <v>79166.666666666672</v>
      </c>
      <c r="X785" s="38">
        <f t="shared" si="66"/>
        <v>0.88805833333333184</v>
      </c>
      <c r="Y785" s="39">
        <f t="shared" si="67"/>
        <v>1.5833333333333335E-4</v>
      </c>
      <c r="Z785" s="39">
        <f t="shared" si="71"/>
        <v>1.7832338476555197E-4</v>
      </c>
      <c r="AA785" s="41">
        <f t="shared" si="68"/>
        <v>55970833.333334088</v>
      </c>
      <c r="AB785" s="39">
        <f t="shared" si="69"/>
        <v>1.4144271570013954E-3</v>
      </c>
      <c r="AC785" s="38">
        <f t="shared" si="70"/>
        <v>0.20323596825002582</v>
      </c>
      <c r="AD785" s="3"/>
    </row>
    <row r="786" spans="1:30" x14ac:dyDescent="0.25">
      <c r="A786" s="37">
        <v>46422</v>
      </c>
      <c r="B786" s="41">
        <v>20000000</v>
      </c>
      <c r="C786" s="41">
        <v>0</v>
      </c>
      <c r="D786" s="41">
        <v>50000000</v>
      </c>
      <c r="E786" s="41">
        <v>0</v>
      </c>
      <c r="F786" s="41">
        <v>50000000</v>
      </c>
      <c r="G786" s="41">
        <v>0</v>
      </c>
      <c r="H786" s="41">
        <v>50000000</v>
      </c>
      <c r="I786" s="41">
        <v>0</v>
      </c>
      <c r="J786" s="41">
        <v>40000000</v>
      </c>
      <c r="K786" s="41">
        <v>0</v>
      </c>
      <c r="L786" s="41">
        <v>10000000</v>
      </c>
      <c r="M786" s="41">
        <v>0</v>
      </c>
      <c r="N786" s="41">
        <v>64108333.333332583</v>
      </c>
      <c r="O786" s="41">
        <v>79166.666666666672</v>
      </c>
      <c r="P786" s="41">
        <v>75000000</v>
      </c>
      <c r="Q786" s="41">
        <v>0</v>
      </c>
      <c r="R786" s="41">
        <v>50000000</v>
      </c>
      <c r="S786" s="41">
        <v>0</v>
      </c>
      <c r="T786" s="41">
        <v>35000000</v>
      </c>
      <c r="U786" s="41">
        <v>0</v>
      </c>
      <c r="V786" s="41">
        <v>444108333.3333326</v>
      </c>
      <c r="W786" s="41">
        <v>79166.666666666672</v>
      </c>
      <c r="X786" s="38">
        <f t="shared" si="66"/>
        <v>0.88821666666666521</v>
      </c>
      <c r="Y786" s="39">
        <f t="shared" si="67"/>
        <v>1.5833333333333335E-4</v>
      </c>
      <c r="Z786" s="39">
        <f t="shared" si="71"/>
        <v>1.7829159120553298E-4</v>
      </c>
      <c r="AA786" s="41">
        <f t="shared" si="68"/>
        <v>55891666.666667402</v>
      </c>
      <c r="AB786" s="39">
        <f t="shared" si="69"/>
        <v>1.4164305949008313E-3</v>
      </c>
      <c r="AC786" s="38">
        <f t="shared" si="70"/>
        <v>0.20319237802813125</v>
      </c>
      <c r="AD786" s="3"/>
    </row>
    <row r="787" spans="1:30" x14ac:dyDescent="0.25">
      <c r="A787" s="37">
        <v>46423</v>
      </c>
      <c r="B787" s="41">
        <v>20000000</v>
      </c>
      <c r="C787" s="41">
        <v>0</v>
      </c>
      <c r="D787" s="41">
        <v>50000000</v>
      </c>
      <c r="E787" s="41">
        <v>0</v>
      </c>
      <c r="F787" s="41">
        <v>50000000</v>
      </c>
      <c r="G787" s="41">
        <v>0</v>
      </c>
      <c r="H787" s="41">
        <v>50000000</v>
      </c>
      <c r="I787" s="41">
        <v>0</v>
      </c>
      <c r="J787" s="41">
        <v>40000000</v>
      </c>
      <c r="K787" s="41">
        <v>0</v>
      </c>
      <c r="L787" s="41">
        <v>10000000</v>
      </c>
      <c r="M787" s="41">
        <v>0</v>
      </c>
      <c r="N787" s="41">
        <v>64187499.999999247</v>
      </c>
      <c r="O787" s="41">
        <v>79166.666666666672</v>
      </c>
      <c r="P787" s="41">
        <v>75000000</v>
      </c>
      <c r="Q787" s="41">
        <v>0</v>
      </c>
      <c r="R787" s="41">
        <v>50000000</v>
      </c>
      <c r="S787" s="41">
        <v>0</v>
      </c>
      <c r="T787" s="41">
        <v>35000000</v>
      </c>
      <c r="U787" s="41">
        <v>0</v>
      </c>
      <c r="V787" s="41">
        <v>444187499.99999923</v>
      </c>
      <c r="W787" s="41">
        <v>79166.666666666672</v>
      </c>
      <c r="X787" s="38">
        <f t="shared" si="66"/>
        <v>0.88837499999999847</v>
      </c>
      <c r="Y787" s="39">
        <f t="shared" si="67"/>
        <v>1.5833333333333335E-4</v>
      </c>
      <c r="Z787" s="39">
        <f t="shared" si="71"/>
        <v>1.7825980898054185E-4</v>
      </c>
      <c r="AA787" s="41">
        <f t="shared" si="68"/>
        <v>55812500.000000775</v>
      </c>
      <c r="AB787" s="39">
        <f t="shared" si="69"/>
        <v>1.4184397163120371E-3</v>
      </c>
      <c r="AC787" s="38">
        <f t="shared" si="70"/>
        <v>0.20314880650076222</v>
      </c>
      <c r="AD787" s="3"/>
    </row>
    <row r="788" spans="1:30" x14ac:dyDescent="0.25">
      <c r="A788" s="37">
        <v>46424</v>
      </c>
      <c r="B788" s="41">
        <v>20000000</v>
      </c>
      <c r="C788" s="41">
        <v>0</v>
      </c>
      <c r="D788" s="41">
        <v>50000000</v>
      </c>
      <c r="E788" s="41">
        <v>0</v>
      </c>
      <c r="F788" s="41">
        <v>50000000</v>
      </c>
      <c r="G788" s="41">
        <v>0</v>
      </c>
      <c r="H788" s="41">
        <v>50000000</v>
      </c>
      <c r="I788" s="41">
        <v>0</v>
      </c>
      <c r="J788" s="41">
        <v>40000000</v>
      </c>
      <c r="K788" s="41">
        <v>0</v>
      </c>
      <c r="L788" s="41">
        <v>10000000</v>
      </c>
      <c r="M788" s="41">
        <v>0</v>
      </c>
      <c r="N788" s="41">
        <v>64266666.666665912</v>
      </c>
      <c r="O788" s="41">
        <v>79166.666666666672</v>
      </c>
      <c r="P788" s="41">
        <v>75000000</v>
      </c>
      <c r="Q788" s="41">
        <v>0</v>
      </c>
      <c r="R788" s="41">
        <v>50000000</v>
      </c>
      <c r="S788" s="41">
        <v>0</v>
      </c>
      <c r="T788" s="41">
        <v>35000000</v>
      </c>
      <c r="U788" s="41">
        <v>0</v>
      </c>
      <c r="V788" s="41">
        <v>444266666.66666591</v>
      </c>
      <c r="W788" s="41">
        <v>79166.666666666672</v>
      </c>
      <c r="X788" s="38">
        <f t="shared" si="66"/>
        <v>0.88853333333333184</v>
      </c>
      <c r="Y788" s="39">
        <f t="shared" si="67"/>
        <v>1.5833333333333335E-4</v>
      </c>
      <c r="Z788" s="39">
        <f t="shared" si="71"/>
        <v>1.7822803808451794E-4</v>
      </c>
      <c r="AA788" s="41">
        <f t="shared" si="68"/>
        <v>55733333.333334088</v>
      </c>
      <c r="AB788" s="39">
        <f t="shared" si="69"/>
        <v>1.4204545454545262E-3</v>
      </c>
      <c r="AC788" s="38">
        <f t="shared" si="70"/>
        <v>0.20310525365589499</v>
      </c>
      <c r="AD788" s="3"/>
    </row>
    <row r="789" spans="1:30" x14ac:dyDescent="0.25">
      <c r="A789" s="37">
        <v>46425</v>
      </c>
      <c r="B789" s="41">
        <v>20000000</v>
      </c>
      <c r="C789" s="41">
        <v>0</v>
      </c>
      <c r="D789" s="41">
        <v>50000000</v>
      </c>
      <c r="E789" s="41">
        <v>0</v>
      </c>
      <c r="F789" s="41">
        <v>50000000</v>
      </c>
      <c r="G789" s="41">
        <v>0</v>
      </c>
      <c r="H789" s="41">
        <v>50000000</v>
      </c>
      <c r="I789" s="41">
        <v>0</v>
      </c>
      <c r="J789" s="41">
        <v>40000000</v>
      </c>
      <c r="K789" s="41">
        <v>0</v>
      </c>
      <c r="L789" s="41">
        <v>10000000</v>
      </c>
      <c r="M789" s="41">
        <v>0</v>
      </c>
      <c r="N789" s="41">
        <v>64345833.333332583</v>
      </c>
      <c r="O789" s="41">
        <v>79166.666666666672</v>
      </c>
      <c r="P789" s="41">
        <v>75000000</v>
      </c>
      <c r="Q789" s="41">
        <v>0</v>
      </c>
      <c r="R789" s="41">
        <v>50000000</v>
      </c>
      <c r="S789" s="41">
        <v>0</v>
      </c>
      <c r="T789" s="41">
        <v>35000000</v>
      </c>
      <c r="U789" s="41">
        <v>0</v>
      </c>
      <c r="V789" s="41">
        <v>444345833.3333326</v>
      </c>
      <c r="W789" s="41">
        <v>79166.666666666672</v>
      </c>
      <c r="X789" s="38">
        <f t="shared" si="66"/>
        <v>0.88869166666666521</v>
      </c>
      <c r="Y789" s="39">
        <f t="shared" si="67"/>
        <v>1.5833333333333335E-4</v>
      </c>
      <c r="Z789" s="39">
        <f t="shared" si="71"/>
        <v>1.7819627851140487E-4</v>
      </c>
      <c r="AA789" s="41">
        <f t="shared" si="68"/>
        <v>55654166.666667402</v>
      </c>
      <c r="AB789" s="39">
        <f t="shared" si="69"/>
        <v>1.4224751066856142E-3</v>
      </c>
      <c r="AC789" s="38">
        <f t="shared" si="70"/>
        <v>0.20306171948151613</v>
      </c>
      <c r="AD789" s="3"/>
    </row>
    <row r="790" spans="1:30" x14ac:dyDescent="0.25">
      <c r="A790" s="37">
        <v>46426</v>
      </c>
      <c r="B790" s="41">
        <v>20000000</v>
      </c>
      <c r="C790" s="41">
        <v>0</v>
      </c>
      <c r="D790" s="41">
        <v>50000000</v>
      </c>
      <c r="E790" s="41">
        <v>0</v>
      </c>
      <c r="F790" s="41">
        <v>50000000</v>
      </c>
      <c r="G790" s="41">
        <v>0</v>
      </c>
      <c r="H790" s="41">
        <v>50000000</v>
      </c>
      <c r="I790" s="41">
        <v>0</v>
      </c>
      <c r="J790" s="41">
        <v>40000000</v>
      </c>
      <c r="K790" s="41">
        <v>0</v>
      </c>
      <c r="L790" s="41">
        <v>10000000</v>
      </c>
      <c r="M790" s="41">
        <v>0</v>
      </c>
      <c r="N790" s="41">
        <v>64424999.99999924</v>
      </c>
      <c r="O790" s="41">
        <v>79166.666666666672</v>
      </c>
      <c r="P790" s="41">
        <v>75000000</v>
      </c>
      <c r="Q790" s="41">
        <v>0</v>
      </c>
      <c r="R790" s="41">
        <v>50000000</v>
      </c>
      <c r="S790" s="41">
        <v>0</v>
      </c>
      <c r="T790" s="41">
        <v>35000000</v>
      </c>
      <c r="U790" s="41">
        <v>0</v>
      </c>
      <c r="V790" s="41">
        <v>444424999.99999923</v>
      </c>
      <c r="W790" s="41">
        <v>79166.666666666672</v>
      </c>
      <c r="X790" s="38">
        <f t="shared" si="66"/>
        <v>0.88884999999999847</v>
      </c>
      <c r="Y790" s="39">
        <f t="shared" si="67"/>
        <v>1.5833333333333335E-4</v>
      </c>
      <c r="Z790" s="39">
        <f t="shared" si="71"/>
        <v>1.7816453025515066E-4</v>
      </c>
      <c r="AA790" s="41">
        <f t="shared" si="68"/>
        <v>55575000.000000775</v>
      </c>
      <c r="AB790" s="39">
        <f t="shared" si="69"/>
        <v>1.4245014245014046E-3</v>
      </c>
      <c r="AC790" s="38">
        <f t="shared" si="70"/>
        <v>0.20301820396562267</v>
      </c>
      <c r="AD790" s="3"/>
    </row>
    <row r="791" spans="1:30" x14ac:dyDescent="0.25">
      <c r="A791" s="37">
        <v>46427</v>
      </c>
      <c r="B791" s="41">
        <v>20000000</v>
      </c>
      <c r="C791" s="41">
        <v>0</v>
      </c>
      <c r="D791" s="41">
        <v>50000000</v>
      </c>
      <c r="E791" s="41">
        <v>0</v>
      </c>
      <c r="F791" s="41">
        <v>50000000</v>
      </c>
      <c r="G791" s="41">
        <v>0</v>
      </c>
      <c r="H791" s="41">
        <v>50000000</v>
      </c>
      <c r="I791" s="41">
        <v>0</v>
      </c>
      <c r="J791" s="41">
        <v>40000000</v>
      </c>
      <c r="K791" s="41">
        <v>0</v>
      </c>
      <c r="L791" s="41">
        <v>10000000</v>
      </c>
      <c r="M791" s="41">
        <v>0</v>
      </c>
      <c r="N791" s="41">
        <v>64504166.666665897</v>
      </c>
      <c r="O791" s="41">
        <v>79166.666666666672</v>
      </c>
      <c r="P791" s="41">
        <v>75000000</v>
      </c>
      <c r="Q791" s="41">
        <v>0</v>
      </c>
      <c r="R791" s="41">
        <v>50000000</v>
      </c>
      <c r="S791" s="41">
        <v>0</v>
      </c>
      <c r="T791" s="41">
        <v>35000000</v>
      </c>
      <c r="U791" s="41">
        <v>0</v>
      </c>
      <c r="V791" s="41">
        <v>444504166.66666591</v>
      </c>
      <c r="W791" s="41">
        <v>79166.666666666672</v>
      </c>
      <c r="X791" s="38">
        <f t="shared" ref="X791:X854" si="72">V791/$B$6</f>
        <v>0.88900833333333185</v>
      </c>
      <c r="Y791" s="39">
        <f t="shared" ref="Y791:Y854" si="73">W791/$B$6</f>
        <v>1.5833333333333335E-4</v>
      </c>
      <c r="Z791" s="39">
        <f t="shared" si="71"/>
        <v>1.7813279330970762E-4</v>
      </c>
      <c r="AA791" s="41">
        <f t="shared" ref="AA791:AA854" si="74">$B$6-V791</f>
        <v>55495833.333334088</v>
      </c>
      <c r="AB791" s="39">
        <f t="shared" ref="AB791:AB854" si="75">W791/AA791</f>
        <v>1.4265335235377839E-3</v>
      </c>
      <c r="AC791" s="38">
        <f t="shared" ref="AC791:AC854" si="76" xml:space="preserve"> P791/(V791-P791)</f>
        <v>0.2029747070962217</v>
      </c>
      <c r="AD791" s="3"/>
    </row>
    <row r="792" spans="1:30" x14ac:dyDescent="0.25">
      <c r="A792" s="37">
        <v>46428</v>
      </c>
      <c r="B792" s="41">
        <v>20000000</v>
      </c>
      <c r="C792" s="41">
        <v>0</v>
      </c>
      <c r="D792" s="41">
        <v>50000000</v>
      </c>
      <c r="E792" s="41">
        <v>0</v>
      </c>
      <c r="F792" s="41">
        <v>50000000</v>
      </c>
      <c r="G792" s="41">
        <v>0</v>
      </c>
      <c r="H792" s="41">
        <v>50000000</v>
      </c>
      <c r="I792" s="41">
        <v>0</v>
      </c>
      <c r="J792" s="41">
        <v>40000000</v>
      </c>
      <c r="K792" s="41">
        <v>0</v>
      </c>
      <c r="L792" s="41">
        <v>10000000</v>
      </c>
      <c r="M792" s="41">
        <v>0</v>
      </c>
      <c r="N792" s="41">
        <v>64583333.333332568</v>
      </c>
      <c r="O792" s="41">
        <v>79166.666666666672</v>
      </c>
      <c r="P792" s="41">
        <v>75000000</v>
      </c>
      <c r="Q792" s="41">
        <v>0</v>
      </c>
      <c r="R792" s="41">
        <v>50000000</v>
      </c>
      <c r="S792" s="41">
        <v>0</v>
      </c>
      <c r="T792" s="41">
        <v>35000000</v>
      </c>
      <c r="U792" s="41">
        <v>0</v>
      </c>
      <c r="V792" s="41">
        <v>444583333.33333248</v>
      </c>
      <c r="W792" s="41">
        <v>79166.666666666672</v>
      </c>
      <c r="X792" s="38">
        <f t="shared" si="72"/>
        <v>0.889166666666665</v>
      </c>
      <c r="Y792" s="39">
        <f t="shared" si="73"/>
        <v>1.5833333333333335E-4</v>
      </c>
      <c r="Z792" s="39">
        <f t="shared" ref="Z792:Z855" si="77">W792/V791</f>
        <v>1.7810106766903228E-4</v>
      </c>
      <c r="AA792" s="41">
        <f t="shared" si="74"/>
        <v>55416666.666667521</v>
      </c>
      <c r="AB792" s="39">
        <f t="shared" si="75"/>
        <v>1.4285714285714067E-3</v>
      </c>
      <c r="AC792" s="38">
        <f t="shared" si="76"/>
        <v>0.2029312288613308</v>
      </c>
      <c r="AD792" s="3"/>
    </row>
    <row r="793" spans="1:30" x14ac:dyDescent="0.25">
      <c r="A793" s="37">
        <v>46429</v>
      </c>
      <c r="B793" s="41">
        <v>20000000</v>
      </c>
      <c r="C793" s="41">
        <v>0</v>
      </c>
      <c r="D793" s="41">
        <v>50000000</v>
      </c>
      <c r="E793" s="41">
        <v>0</v>
      </c>
      <c r="F793" s="41">
        <v>50000000</v>
      </c>
      <c r="G793" s="41">
        <v>0</v>
      </c>
      <c r="H793" s="41">
        <v>50000000</v>
      </c>
      <c r="I793" s="41">
        <v>0</v>
      </c>
      <c r="J793" s="41">
        <v>40000000</v>
      </c>
      <c r="K793" s="41">
        <v>0</v>
      </c>
      <c r="L793" s="41">
        <v>10000000</v>
      </c>
      <c r="M793" s="41">
        <v>0</v>
      </c>
      <c r="N793" s="41">
        <v>64662499.999999233</v>
      </c>
      <c r="O793" s="41">
        <v>79166.666666666672</v>
      </c>
      <c r="P793" s="41">
        <v>75000000</v>
      </c>
      <c r="Q793" s="41">
        <v>0</v>
      </c>
      <c r="R793" s="41">
        <v>50000000</v>
      </c>
      <c r="S793" s="41">
        <v>0</v>
      </c>
      <c r="T793" s="41">
        <v>35000000</v>
      </c>
      <c r="U793" s="41">
        <v>0</v>
      </c>
      <c r="V793" s="41">
        <v>444662499.99999923</v>
      </c>
      <c r="W793" s="41">
        <v>79166.666666666672</v>
      </c>
      <c r="X793" s="38">
        <f t="shared" si="72"/>
        <v>0.88932499999999848</v>
      </c>
      <c r="Y793" s="39">
        <f t="shared" si="73"/>
        <v>1.5833333333333335E-4</v>
      </c>
      <c r="Z793" s="39">
        <f t="shared" si="77"/>
        <v>1.7806935332708563E-4</v>
      </c>
      <c r="AA793" s="41">
        <f t="shared" si="74"/>
        <v>55337500.000000775</v>
      </c>
      <c r="AB793" s="39">
        <f t="shared" si="75"/>
        <v>1.430615164520724E-3</v>
      </c>
      <c r="AC793" s="38">
        <f t="shared" si="76"/>
        <v>0.20288776924897753</v>
      </c>
      <c r="AD793" s="3"/>
    </row>
    <row r="794" spans="1:30" x14ac:dyDescent="0.25">
      <c r="A794" s="37">
        <v>46430</v>
      </c>
      <c r="B794" s="41">
        <v>20000000</v>
      </c>
      <c r="C794" s="41">
        <v>0</v>
      </c>
      <c r="D794" s="41">
        <v>50000000</v>
      </c>
      <c r="E794" s="41">
        <v>0</v>
      </c>
      <c r="F794" s="41">
        <v>50000000</v>
      </c>
      <c r="G794" s="41">
        <v>0</v>
      </c>
      <c r="H794" s="41">
        <v>50000000</v>
      </c>
      <c r="I794" s="41">
        <v>0</v>
      </c>
      <c r="J794" s="41">
        <v>40000000</v>
      </c>
      <c r="K794" s="41">
        <v>0</v>
      </c>
      <c r="L794" s="41">
        <v>10000000</v>
      </c>
      <c r="M794" s="41">
        <v>0</v>
      </c>
      <c r="N794" s="41">
        <v>64741666.666665897</v>
      </c>
      <c r="O794" s="41">
        <v>79166.666666666672</v>
      </c>
      <c r="P794" s="41">
        <v>75000000</v>
      </c>
      <c r="Q794" s="41">
        <v>0</v>
      </c>
      <c r="R794" s="41">
        <v>50000000</v>
      </c>
      <c r="S794" s="41">
        <v>0</v>
      </c>
      <c r="T794" s="41">
        <v>35000000</v>
      </c>
      <c r="U794" s="41">
        <v>0</v>
      </c>
      <c r="V794" s="41">
        <v>444741666.66666591</v>
      </c>
      <c r="W794" s="41">
        <v>79166.666666666672</v>
      </c>
      <c r="X794" s="38">
        <f t="shared" si="72"/>
        <v>0.88948333333333185</v>
      </c>
      <c r="Y794" s="39">
        <f t="shared" si="73"/>
        <v>1.5833333333333335E-4</v>
      </c>
      <c r="Z794" s="39">
        <f t="shared" si="77"/>
        <v>1.7803765027783275E-4</v>
      </c>
      <c r="AA794" s="41">
        <f t="shared" si="74"/>
        <v>55258333.333334088</v>
      </c>
      <c r="AB794" s="39">
        <f t="shared" si="75"/>
        <v>1.4326647564469718E-3</v>
      </c>
      <c r="AC794" s="38">
        <f t="shared" si="76"/>
        <v>0.20284432824720003</v>
      </c>
      <c r="AD794" s="3"/>
    </row>
    <row r="795" spans="1:30" x14ac:dyDescent="0.25">
      <c r="A795" s="37">
        <v>46431</v>
      </c>
      <c r="B795" s="41">
        <v>20000000</v>
      </c>
      <c r="C795" s="41">
        <v>0</v>
      </c>
      <c r="D795" s="41">
        <v>50000000</v>
      </c>
      <c r="E795" s="41">
        <v>0</v>
      </c>
      <c r="F795" s="41">
        <v>50000000</v>
      </c>
      <c r="G795" s="41">
        <v>0</v>
      </c>
      <c r="H795" s="41">
        <v>50000000</v>
      </c>
      <c r="I795" s="41">
        <v>0</v>
      </c>
      <c r="J795" s="41">
        <v>40000000</v>
      </c>
      <c r="K795" s="41">
        <v>0</v>
      </c>
      <c r="L795" s="41">
        <v>10000000</v>
      </c>
      <c r="M795" s="41">
        <v>0</v>
      </c>
      <c r="N795" s="41">
        <v>64820833.333332561</v>
      </c>
      <c r="O795" s="41">
        <v>79166.666666666672</v>
      </c>
      <c r="P795" s="41">
        <v>75000000</v>
      </c>
      <c r="Q795" s="41">
        <v>0</v>
      </c>
      <c r="R795" s="41">
        <v>50000000</v>
      </c>
      <c r="S795" s="41">
        <v>0</v>
      </c>
      <c r="T795" s="41">
        <v>35000000</v>
      </c>
      <c r="U795" s="41">
        <v>0</v>
      </c>
      <c r="V795" s="41">
        <v>444820833.33333248</v>
      </c>
      <c r="W795" s="41">
        <v>79166.666666666672</v>
      </c>
      <c r="X795" s="38">
        <f t="shared" si="72"/>
        <v>0.889641666666665</v>
      </c>
      <c r="Y795" s="39">
        <f t="shared" si="73"/>
        <v>1.5833333333333335E-4</v>
      </c>
      <c r="Z795" s="39">
        <f t="shared" si="77"/>
        <v>1.7800595851524324E-4</v>
      </c>
      <c r="AA795" s="41">
        <f t="shared" si="74"/>
        <v>55179166.666667521</v>
      </c>
      <c r="AB795" s="39">
        <f t="shared" si="75"/>
        <v>1.4347202295552147E-3</v>
      </c>
      <c r="AC795" s="38">
        <f t="shared" si="76"/>
        <v>0.20280090584404656</v>
      </c>
      <c r="AD795" s="3"/>
    </row>
    <row r="796" spans="1:30" x14ac:dyDescent="0.25">
      <c r="A796" s="37">
        <v>46432</v>
      </c>
      <c r="B796" s="41">
        <v>20000000</v>
      </c>
      <c r="C796" s="41">
        <v>0</v>
      </c>
      <c r="D796" s="41">
        <v>50000000</v>
      </c>
      <c r="E796" s="41">
        <v>0</v>
      </c>
      <c r="F796" s="41">
        <v>50000000</v>
      </c>
      <c r="G796" s="41">
        <v>0</v>
      </c>
      <c r="H796" s="41">
        <v>50000000</v>
      </c>
      <c r="I796" s="41">
        <v>0</v>
      </c>
      <c r="J796" s="41">
        <v>40000000</v>
      </c>
      <c r="K796" s="41">
        <v>0</v>
      </c>
      <c r="L796" s="41">
        <v>10000000</v>
      </c>
      <c r="M796" s="41">
        <v>0</v>
      </c>
      <c r="N796" s="41">
        <v>64899999.999999233</v>
      </c>
      <c r="O796" s="41">
        <v>79166.666666666672</v>
      </c>
      <c r="P796" s="41">
        <v>75000000</v>
      </c>
      <c r="Q796" s="41">
        <v>0</v>
      </c>
      <c r="R796" s="41">
        <v>50000000</v>
      </c>
      <c r="S796" s="41">
        <v>0</v>
      </c>
      <c r="T796" s="41">
        <v>35000000</v>
      </c>
      <c r="U796" s="41">
        <v>0</v>
      </c>
      <c r="V796" s="41">
        <v>444899999.99999923</v>
      </c>
      <c r="W796" s="41">
        <v>79166.666666666672</v>
      </c>
      <c r="X796" s="38">
        <f t="shared" si="72"/>
        <v>0.88979999999999848</v>
      </c>
      <c r="Y796" s="39">
        <f t="shared" si="73"/>
        <v>1.5833333333333335E-4</v>
      </c>
      <c r="Z796" s="39">
        <f t="shared" si="77"/>
        <v>1.779742780332909E-4</v>
      </c>
      <c r="AA796" s="41">
        <f t="shared" si="74"/>
        <v>55100000.000000775</v>
      </c>
      <c r="AB796" s="39">
        <f t="shared" si="75"/>
        <v>1.4367816091953821E-3</v>
      </c>
      <c r="AC796" s="38">
        <f t="shared" si="76"/>
        <v>0.20275750202757545</v>
      </c>
      <c r="AD796" s="3"/>
    </row>
    <row r="797" spans="1:30" x14ac:dyDescent="0.25">
      <c r="A797" s="37">
        <v>46433</v>
      </c>
      <c r="B797" s="41">
        <v>20000000</v>
      </c>
      <c r="C797" s="41">
        <v>0</v>
      </c>
      <c r="D797" s="41">
        <v>50000000</v>
      </c>
      <c r="E797" s="41">
        <v>0</v>
      </c>
      <c r="F797" s="41">
        <v>50000000</v>
      </c>
      <c r="G797" s="41">
        <v>0</v>
      </c>
      <c r="H797" s="41">
        <v>50000000</v>
      </c>
      <c r="I797" s="41">
        <v>0</v>
      </c>
      <c r="J797" s="41">
        <v>40000000</v>
      </c>
      <c r="K797" s="41">
        <v>0</v>
      </c>
      <c r="L797" s="41">
        <v>10000000</v>
      </c>
      <c r="M797" s="41">
        <v>0</v>
      </c>
      <c r="N797" s="41">
        <v>64979166.666665889</v>
      </c>
      <c r="O797" s="41">
        <v>79166.666666666672</v>
      </c>
      <c r="P797" s="41">
        <v>75000000</v>
      </c>
      <c r="Q797" s="41">
        <v>0</v>
      </c>
      <c r="R797" s="41">
        <v>50000000</v>
      </c>
      <c r="S797" s="41">
        <v>0</v>
      </c>
      <c r="T797" s="41">
        <v>35000000</v>
      </c>
      <c r="U797" s="41">
        <v>0</v>
      </c>
      <c r="V797" s="41">
        <v>444979166.66666591</v>
      </c>
      <c r="W797" s="41">
        <v>79166.666666666672</v>
      </c>
      <c r="X797" s="38">
        <f t="shared" si="72"/>
        <v>0.88995833333333185</v>
      </c>
      <c r="Y797" s="39">
        <f t="shared" si="73"/>
        <v>1.5833333333333335E-4</v>
      </c>
      <c r="Z797" s="39">
        <f t="shared" si="77"/>
        <v>1.7794260882595371E-4</v>
      </c>
      <c r="AA797" s="41">
        <f t="shared" si="74"/>
        <v>55020833.333334088</v>
      </c>
      <c r="AB797" s="39">
        <f t="shared" si="75"/>
        <v>1.4388489208632897E-3</v>
      </c>
      <c r="AC797" s="38">
        <f t="shared" si="76"/>
        <v>0.20271411678585546</v>
      </c>
      <c r="AD797" s="3"/>
    </row>
    <row r="798" spans="1:30" x14ac:dyDescent="0.25">
      <c r="A798" s="37">
        <v>46434</v>
      </c>
      <c r="B798" s="41">
        <v>20000000</v>
      </c>
      <c r="C798" s="41">
        <v>0</v>
      </c>
      <c r="D798" s="41">
        <v>50000000</v>
      </c>
      <c r="E798" s="41">
        <v>0</v>
      </c>
      <c r="F798" s="41">
        <v>50000000</v>
      </c>
      <c r="G798" s="41">
        <v>0</v>
      </c>
      <c r="H798" s="41">
        <v>50000000</v>
      </c>
      <c r="I798" s="41">
        <v>0</v>
      </c>
      <c r="J798" s="41">
        <v>40000000</v>
      </c>
      <c r="K798" s="41">
        <v>0</v>
      </c>
      <c r="L798" s="41">
        <v>10000000</v>
      </c>
      <c r="M798" s="41">
        <v>0</v>
      </c>
      <c r="N798" s="41">
        <v>65058333.333332554</v>
      </c>
      <c r="O798" s="41">
        <v>79166.666666666672</v>
      </c>
      <c r="P798" s="41">
        <v>75000000</v>
      </c>
      <c r="Q798" s="41">
        <v>0</v>
      </c>
      <c r="R798" s="41">
        <v>50000000</v>
      </c>
      <c r="S798" s="41">
        <v>0</v>
      </c>
      <c r="T798" s="41">
        <v>35000000</v>
      </c>
      <c r="U798" s="41">
        <v>0</v>
      </c>
      <c r="V798" s="41">
        <v>445058333.33333248</v>
      </c>
      <c r="W798" s="41">
        <v>79166.666666666672</v>
      </c>
      <c r="X798" s="38">
        <f t="shared" si="72"/>
        <v>0.890116666666665</v>
      </c>
      <c r="Y798" s="39">
        <f t="shared" si="73"/>
        <v>1.5833333333333335E-4</v>
      </c>
      <c r="Z798" s="39">
        <f t="shared" si="77"/>
        <v>1.7791095088721414E-4</v>
      </c>
      <c r="AA798" s="41">
        <f t="shared" si="74"/>
        <v>54941666.666667521</v>
      </c>
      <c r="AB798" s="39">
        <f t="shared" si="75"/>
        <v>1.4409221902017069E-3</v>
      </c>
      <c r="AC798" s="38">
        <f t="shared" si="76"/>
        <v>0.20267075010696559</v>
      </c>
      <c r="AD798" s="3"/>
    </row>
    <row r="799" spans="1:30" x14ac:dyDescent="0.25">
      <c r="A799" s="37">
        <v>46435</v>
      </c>
      <c r="B799" s="41">
        <v>20000000</v>
      </c>
      <c r="C799" s="41">
        <v>0</v>
      </c>
      <c r="D799" s="41">
        <v>50000000</v>
      </c>
      <c r="E799" s="41">
        <v>0</v>
      </c>
      <c r="F799" s="41">
        <v>50000000</v>
      </c>
      <c r="G799" s="41">
        <v>0</v>
      </c>
      <c r="H799" s="41">
        <v>50000000</v>
      </c>
      <c r="I799" s="41">
        <v>0</v>
      </c>
      <c r="J799" s="41">
        <v>40000000</v>
      </c>
      <c r="K799" s="41">
        <v>0</v>
      </c>
      <c r="L799" s="41">
        <v>10000000</v>
      </c>
      <c r="M799" s="41">
        <v>0</v>
      </c>
      <c r="N799" s="41">
        <v>65137499.999999218</v>
      </c>
      <c r="O799" s="41">
        <v>79166.666666666672</v>
      </c>
      <c r="P799" s="41">
        <v>75000000</v>
      </c>
      <c r="Q799" s="41">
        <v>0</v>
      </c>
      <c r="R799" s="41">
        <v>50000000</v>
      </c>
      <c r="S799" s="41">
        <v>0</v>
      </c>
      <c r="T799" s="41">
        <v>35000000</v>
      </c>
      <c r="U799" s="41">
        <v>0</v>
      </c>
      <c r="V799" s="41">
        <v>445137499.99999923</v>
      </c>
      <c r="W799" s="41">
        <v>79166.666666666672</v>
      </c>
      <c r="X799" s="38">
        <f t="shared" si="72"/>
        <v>0.89027499999999848</v>
      </c>
      <c r="Y799" s="39">
        <f t="shared" si="73"/>
        <v>1.5833333333333335E-4</v>
      </c>
      <c r="Z799" s="39">
        <f t="shared" si="77"/>
        <v>1.7787930421105883E-4</v>
      </c>
      <c r="AA799" s="41">
        <f t="shared" si="74"/>
        <v>54862500.000000775</v>
      </c>
      <c r="AB799" s="39">
        <f t="shared" si="75"/>
        <v>1.4430014430014226E-3</v>
      </c>
      <c r="AC799" s="38">
        <f t="shared" si="76"/>
        <v>0.2026274019789947</v>
      </c>
      <c r="AD799" s="3"/>
    </row>
    <row r="800" spans="1:30" x14ac:dyDescent="0.25">
      <c r="A800" s="37">
        <v>46436</v>
      </c>
      <c r="B800" s="41">
        <v>20000000</v>
      </c>
      <c r="C800" s="41">
        <v>0</v>
      </c>
      <c r="D800" s="41">
        <v>50000000</v>
      </c>
      <c r="E800" s="41">
        <v>0</v>
      </c>
      <c r="F800" s="41">
        <v>50000000</v>
      </c>
      <c r="G800" s="41">
        <v>0</v>
      </c>
      <c r="H800" s="41">
        <v>50000000</v>
      </c>
      <c r="I800" s="41">
        <v>0</v>
      </c>
      <c r="J800" s="41">
        <v>40000000</v>
      </c>
      <c r="K800" s="41">
        <v>0</v>
      </c>
      <c r="L800" s="41">
        <v>10000000</v>
      </c>
      <c r="M800" s="41">
        <v>0</v>
      </c>
      <c r="N800" s="41">
        <v>65216666.666665882</v>
      </c>
      <c r="O800" s="41">
        <v>79166.666666666672</v>
      </c>
      <c r="P800" s="41">
        <v>75000000</v>
      </c>
      <c r="Q800" s="41">
        <v>0</v>
      </c>
      <c r="R800" s="41">
        <v>50000000</v>
      </c>
      <c r="S800" s="41">
        <v>0</v>
      </c>
      <c r="T800" s="41">
        <v>35000000</v>
      </c>
      <c r="U800" s="41">
        <v>0</v>
      </c>
      <c r="V800" s="41">
        <v>445216666.66666591</v>
      </c>
      <c r="W800" s="41">
        <v>79166.666666666672</v>
      </c>
      <c r="X800" s="38">
        <f t="shared" si="72"/>
        <v>0.89043333333333186</v>
      </c>
      <c r="Y800" s="39">
        <f t="shared" si="73"/>
        <v>1.5833333333333335E-4</v>
      </c>
      <c r="Z800" s="39">
        <f t="shared" si="77"/>
        <v>1.778476687914786E-4</v>
      </c>
      <c r="AA800" s="41">
        <f t="shared" si="74"/>
        <v>54783333.333334088</v>
      </c>
      <c r="AB800" s="39">
        <f t="shared" si="75"/>
        <v>1.4450867052022923E-3</v>
      </c>
      <c r="AC800" s="38">
        <f t="shared" si="76"/>
        <v>0.20258407239004228</v>
      </c>
      <c r="AD800" s="3"/>
    </row>
    <row r="801" spans="1:30" x14ac:dyDescent="0.25">
      <c r="A801" s="37">
        <v>46437</v>
      </c>
      <c r="B801" s="41">
        <v>20000000</v>
      </c>
      <c r="C801" s="41">
        <v>0</v>
      </c>
      <c r="D801" s="41">
        <v>50000000</v>
      </c>
      <c r="E801" s="41">
        <v>0</v>
      </c>
      <c r="F801" s="41">
        <v>50000000</v>
      </c>
      <c r="G801" s="41">
        <v>0</v>
      </c>
      <c r="H801" s="41">
        <v>50000000</v>
      </c>
      <c r="I801" s="41">
        <v>0</v>
      </c>
      <c r="J801" s="41">
        <v>40000000</v>
      </c>
      <c r="K801" s="41">
        <v>0</v>
      </c>
      <c r="L801" s="41">
        <v>10000000</v>
      </c>
      <c r="M801" s="41">
        <v>0</v>
      </c>
      <c r="N801" s="41">
        <v>65295833.333332554</v>
      </c>
      <c r="O801" s="41">
        <v>79166.666666666672</v>
      </c>
      <c r="P801" s="41">
        <v>75000000</v>
      </c>
      <c r="Q801" s="41">
        <v>0</v>
      </c>
      <c r="R801" s="41">
        <v>50000000</v>
      </c>
      <c r="S801" s="41">
        <v>0</v>
      </c>
      <c r="T801" s="41">
        <v>35000000</v>
      </c>
      <c r="U801" s="41">
        <v>0</v>
      </c>
      <c r="V801" s="41">
        <v>445295833.33333248</v>
      </c>
      <c r="W801" s="41">
        <v>79166.666666666672</v>
      </c>
      <c r="X801" s="38">
        <f t="shared" si="72"/>
        <v>0.89059166666666501</v>
      </c>
      <c r="Y801" s="39">
        <f t="shared" si="73"/>
        <v>1.5833333333333335E-4</v>
      </c>
      <c r="Z801" s="39">
        <f t="shared" si="77"/>
        <v>1.7781604462246877E-4</v>
      </c>
      <c r="AA801" s="41">
        <f t="shared" si="74"/>
        <v>54704166.666667521</v>
      </c>
      <c r="AB801" s="39">
        <f t="shared" si="75"/>
        <v>1.4471780028943336E-3</v>
      </c>
      <c r="AC801" s="38">
        <f t="shared" si="76"/>
        <v>0.20254076132821777</v>
      </c>
      <c r="AD801" s="3"/>
    </row>
    <row r="802" spans="1:30" x14ac:dyDescent="0.25">
      <c r="A802" s="37">
        <v>46438</v>
      </c>
      <c r="B802" s="41">
        <v>20000000</v>
      </c>
      <c r="C802" s="41">
        <v>0</v>
      </c>
      <c r="D802" s="41">
        <v>50000000</v>
      </c>
      <c r="E802" s="41">
        <v>0</v>
      </c>
      <c r="F802" s="41">
        <v>50000000</v>
      </c>
      <c r="G802" s="41">
        <v>0</v>
      </c>
      <c r="H802" s="41">
        <v>50000000</v>
      </c>
      <c r="I802" s="41">
        <v>0</v>
      </c>
      <c r="J802" s="41">
        <v>40000000</v>
      </c>
      <c r="K802" s="41">
        <v>0</v>
      </c>
      <c r="L802" s="41">
        <v>10000000</v>
      </c>
      <c r="M802" s="41">
        <v>0</v>
      </c>
      <c r="N802" s="41">
        <v>65374999.99999921</v>
      </c>
      <c r="O802" s="41">
        <v>79166.666666666672</v>
      </c>
      <c r="P802" s="41">
        <v>75000000</v>
      </c>
      <c r="Q802" s="41">
        <v>0</v>
      </c>
      <c r="R802" s="41">
        <v>50000000</v>
      </c>
      <c r="S802" s="41">
        <v>0</v>
      </c>
      <c r="T802" s="41">
        <v>35000000</v>
      </c>
      <c r="U802" s="41">
        <v>0</v>
      </c>
      <c r="V802" s="41">
        <v>445374999.99999923</v>
      </c>
      <c r="W802" s="41">
        <v>79166.666666666672</v>
      </c>
      <c r="X802" s="38">
        <f t="shared" si="72"/>
        <v>0.89074999999999849</v>
      </c>
      <c r="Y802" s="39">
        <f t="shared" si="73"/>
        <v>1.5833333333333335E-4</v>
      </c>
      <c r="Z802" s="39">
        <f t="shared" si="77"/>
        <v>1.7778443169802881E-4</v>
      </c>
      <c r="AA802" s="41">
        <f t="shared" si="74"/>
        <v>54625000.000000775</v>
      </c>
      <c r="AB802" s="39">
        <f t="shared" si="75"/>
        <v>1.4492753623188202E-3</v>
      </c>
      <c r="AC802" s="38">
        <f t="shared" si="76"/>
        <v>0.20249746878164065</v>
      </c>
      <c r="AD802" s="3"/>
    </row>
    <row r="803" spans="1:30" x14ac:dyDescent="0.25">
      <c r="A803" s="37">
        <v>46439</v>
      </c>
      <c r="B803" s="41">
        <v>20000000</v>
      </c>
      <c r="C803" s="41">
        <v>0</v>
      </c>
      <c r="D803" s="41">
        <v>50000000</v>
      </c>
      <c r="E803" s="41">
        <v>0</v>
      </c>
      <c r="F803" s="41">
        <v>50000000</v>
      </c>
      <c r="G803" s="41">
        <v>0</v>
      </c>
      <c r="H803" s="41">
        <v>50000000</v>
      </c>
      <c r="I803" s="41">
        <v>0</v>
      </c>
      <c r="J803" s="41">
        <v>40000000</v>
      </c>
      <c r="K803" s="41">
        <v>0</v>
      </c>
      <c r="L803" s="41">
        <v>10000000</v>
      </c>
      <c r="M803" s="41">
        <v>0</v>
      </c>
      <c r="N803" s="41">
        <v>65454166.666665867</v>
      </c>
      <c r="O803" s="41">
        <v>79166.666666666672</v>
      </c>
      <c r="P803" s="41">
        <v>75000000</v>
      </c>
      <c r="Q803" s="41">
        <v>0</v>
      </c>
      <c r="R803" s="41">
        <v>50000000</v>
      </c>
      <c r="S803" s="41">
        <v>0</v>
      </c>
      <c r="T803" s="41">
        <v>35000000</v>
      </c>
      <c r="U803" s="41">
        <v>0</v>
      </c>
      <c r="V803" s="41">
        <v>445454166.66666591</v>
      </c>
      <c r="W803" s="41">
        <v>79166.666666666672</v>
      </c>
      <c r="X803" s="38">
        <f t="shared" si="72"/>
        <v>0.89090833333333186</v>
      </c>
      <c r="Y803" s="39">
        <f t="shared" si="73"/>
        <v>1.5833333333333335E-4</v>
      </c>
      <c r="Z803" s="39">
        <f t="shared" si="77"/>
        <v>1.7775283001216237E-4</v>
      </c>
      <c r="AA803" s="41">
        <f t="shared" si="74"/>
        <v>54545833.333334088</v>
      </c>
      <c r="AB803" s="39">
        <f t="shared" si="75"/>
        <v>1.451378809869356E-3</v>
      </c>
      <c r="AC803" s="38">
        <f t="shared" si="76"/>
        <v>0.20245419473844084</v>
      </c>
      <c r="AD803" s="3"/>
    </row>
    <row r="804" spans="1:30" x14ac:dyDescent="0.25">
      <c r="A804" s="37">
        <v>46440</v>
      </c>
      <c r="B804" s="41">
        <v>20000000</v>
      </c>
      <c r="C804" s="41">
        <v>0</v>
      </c>
      <c r="D804" s="41">
        <v>50000000</v>
      </c>
      <c r="E804" s="41">
        <v>0</v>
      </c>
      <c r="F804" s="41">
        <v>50000000</v>
      </c>
      <c r="G804" s="41">
        <v>0</v>
      </c>
      <c r="H804" s="41">
        <v>50000000</v>
      </c>
      <c r="I804" s="41">
        <v>0</v>
      </c>
      <c r="J804" s="41">
        <v>40000000</v>
      </c>
      <c r="K804" s="41">
        <v>0</v>
      </c>
      <c r="L804" s="41">
        <v>10000000</v>
      </c>
      <c r="M804" s="41">
        <v>0</v>
      </c>
      <c r="N804" s="41">
        <v>65533333.333332539</v>
      </c>
      <c r="O804" s="41">
        <v>79166.666666666672</v>
      </c>
      <c r="P804" s="41">
        <v>75000000</v>
      </c>
      <c r="Q804" s="41">
        <v>0</v>
      </c>
      <c r="R804" s="41">
        <v>50000000</v>
      </c>
      <c r="S804" s="41">
        <v>0</v>
      </c>
      <c r="T804" s="41">
        <v>35000000</v>
      </c>
      <c r="U804" s="41">
        <v>0</v>
      </c>
      <c r="V804" s="41">
        <v>445533333.33333248</v>
      </c>
      <c r="W804" s="41">
        <v>79166.666666666672</v>
      </c>
      <c r="X804" s="38">
        <f t="shared" si="72"/>
        <v>0.89106666666666501</v>
      </c>
      <c r="Y804" s="39">
        <f t="shared" si="73"/>
        <v>1.5833333333333335E-4</v>
      </c>
      <c r="Z804" s="39">
        <f t="shared" si="77"/>
        <v>1.777212395588775E-4</v>
      </c>
      <c r="AA804" s="41">
        <f t="shared" si="74"/>
        <v>54466666.666667521</v>
      </c>
      <c r="AB804" s="39">
        <f t="shared" si="75"/>
        <v>1.4534883720930005E-3</v>
      </c>
      <c r="AC804" s="38">
        <f t="shared" si="76"/>
        <v>0.20241093918675829</v>
      </c>
      <c r="AD804" s="3"/>
    </row>
    <row r="805" spans="1:30" x14ac:dyDescent="0.25">
      <c r="A805" s="37">
        <v>46441</v>
      </c>
      <c r="B805" s="41">
        <v>20000000</v>
      </c>
      <c r="C805" s="41">
        <v>0</v>
      </c>
      <c r="D805" s="41">
        <v>50000000</v>
      </c>
      <c r="E805" s="41">
        <v>0</v>
      </c>
      <c r="F805" s="41">
        <v>50000000</v>
      </c>
      <c r="G805" s="41">
        <v>0</v>
      </c>
      <c r="H805" s="41">
        <v>50000000</v>
      </c>
      <c r="I805" s="41">
        <v>0</v>
      </c>
      <c r="J805" s="41">
        <v>40000000</v>
      </c>
      <c r="K805" s="41">
        <v>0</v>
      </c>
      <c r="L805" s="41">
        <v>10000000</v>
      </c>
      <c r="M805" s="41">
        <v>0</v>
      </c>
      <c r="N805" s="41">
        <v>65612499.999999203</v>
      </c>
      <c r="O805" s="41">
        <v>79166.666666666672</v>
      </c>
      <c r="P805" s="41">
        <v>75000000</v>
      </c>
      <c r="Q805" s="41">
        <v>0</v>
      </c>
      <c r="R805" s="41">
        <v>50000000</v>
      </c>
      <c r="S805" s="41">
        <v>0</v>
      </c>
      <c r="T805" s="41">
        <v>35000000</v>
      </c>
      <c r="U805" s="41">
        <v>0</v>
      </c>
      <c r="V805" s="41">
        <v>445612499.99999923</v>
      </c>
      <c r="W805" s="41">
        <v>79166.666666666672</v>
      </c>
      <c r="X805" s="38">
        <f t="shared" si="72"/>
        <v>0.89122499999999849</v>
      </c>
      <c r="Y805" s="39">
        <f t="shared" si="73"/>
        <v>1.5833333333333335E-4</v>
      </c>
      <c r="Z805" s="39">
        <f t="shared" si="77"/>
        <v>1.776896603321865E-4</v>
      </c>
      <c r="AA805" s="41">
        <f t="shared" si="74"/>
        <v>54387500.000000775</v>
      </c>
      <c r="AB805" s="39">
        <f t="shared" si="75"/>
        <v>1.4556040756913912E-3</v>
      </c>
      <c r="AC805" s="38">
        <f t="shared" si="76"/>
        <v>0.20236770211474292</v>
      </c>
      <c r="AD805" s="3"/>
    </row>
    <row r="806" spans="1:30" x14ac:dyDescent="0.25">
      <c r="A806" s="37">
        <v>46442</v>
      </c>
      <c r="B806" s="41">
        <v>20000000</v>
      </c>
      <c r="C806" s="41">
        <v>0</v>
      </c>
      <c r="D806" s="41">
        <v>50000000</v>
      </c>
      <c r="E806" s="41">
        <v>0</v>
      </c>
      <c r="F806" s="41">
        <v>50000000</v>
      </c>
      <c r="G806" s="41">
        <v>0</v>
      </c>
      <c r="H806" s="41">
        <v>50000000</v>
      </c>
      <c r="I806" s="41">
        <v>0</v>
      </c>
      <c r="J806" s="41">
        <v>40000000</v>
      </c>
      <c r="K806" s="41">
        <v>0</v>
      </c>
      <c r="L806" s="41">
        <v>10000000</v>
      </c>
      <c r="M806" s="41">
        <v>0</v>
      </c>
      <c r="N806" s="41">
        <v>65691666.666665867</v>
      </c>
      <c r="O806" s="41">
        <v>79166.666666666672</v>
      </c>
      <c r="P806" s="41">
        <v>75000000</v>
      </c>
      <c r="Q806" s="41">
        <v>0</v>
      </c>
      <c r="R806" s="41">
        <v>50000000</v>
      </c>
      <c r="S806" s="41">
        <v>0</v>
      </c>
      <c r="T806" s="41">
        <v>35000000</v>
      </c>
      <c r="U806" s="41">
        <v>0</v>
      </c>
      <c r="V806" s="41">
        <v>445691666.66666591</v>
      </c>
      <c r="W806" s="41">
        <v>79166.666666666672</v>
      </c>
      <c r="X806" s="38">
        <f t="shared" si="72"/>
        <v>0.89138333333333186</v>
      </c>
      <c r="Y806" s="39">
        <f t="shared" si="73"/>
        <v>1.5833333333333335E-4</v>
      </c>
      <c r="Z806" s="39">
        <f t="shared" si="77"/>
        <v>1.7765809232610577E-4</v>
      </c>
      <c r="AA806" s="41">
        <f t="shared" si="74"/>
        <v>54308333.333334088</v>
      </c>
      <c r="AB806" s="39">
        <f t="shared" si="75"/>
        <v>1.4577259475218457E-3</v>
      </c>
      <c r="AC806" s="38">
        <f t="shared" si="76"/>
        <v>0.20232448351055501</v>
      </c>
      <c r="AD806" s="3"/>
    </row>
    <row r="807" spans="1:30" x14ac:dyDescent="0.25">
      <c r="A807" s="37">
        <v>46443</v>
      </c>
      <c r="B807" s="41">
        <v>20000000</v>
      </c>
      <c r="C807" s="41">
        <v>0</v>
      </c>
      <c r="D807" s="41">
        <v>50000000</v>
      </c>
      <c r="E807" s="41">
        <v>0</v>
      </c>
      <c r="F807" s="41">
        <v>50000000</v>
      </c>
      <c r="G807" s="41">
        <v>0</v>
      </c>
      <c r="H807" s="41">
        <v>50000000</v>
      </c>
      <c r="I807" s="41">
        <v>0</v>
      </c>
      <c r="J807" s="41">
        <v>40000000</v>
      </c>
      <c r="K807" s="41">
        <v>0</v>
      </c>
      <c r="L807" s="41">
        <v>10000000</v>
      </c>
      <c r="M807" s="41">
        <v>0</v>
      </c>
      <c r="N807" s="41">
        <v>65770833.333332531</v>
      </c>
      <c r="O807" s="41">
        <v>79166.666666666672</v>
      </c>
      <c r="P807" s="41">
        <v>75000000</v>
      </c>
      <c r="Q807" s="41">
        <v>0</v>
      </c>
      <c r="R807" s="41">
        <v>50000000</v>
      </c>
      <c r="S807" s="41">
        <v>0</v>
      </c>
      <c r="T807" s="41">
        <v>35000000</v>
      </c>
      <c r="U807" s="41">
        <v>0</v>
      </c>
      <c r="V807" s="41">
        <v>445770833.33333248</v>
      </c>
      <c r="W807" s="41">
        <v>79166.666666666672</v>
      </c>
      <c r="X807" s="38">
        <f t="shared" si="72"/>
        <v>0.89154166666666501</v>
      </c>
      <c r="Y807" s="39">
        <f t="shared" si="73"/>
        <v>1.5833333333333335E-4</v>
      </c>
      <c r="Z807" s="39">
        <f t="shared" si="77"/>
        <v>1.7762653553465618E-4</v>
      </c>
      <c r="AA807" s="41">
        <f t="shared" si="74"/>
        <v>54229166.666667521</v>
      </c>
      <c r="AB807" s="39">
        <f t="shared" si="75"/>
        <v>1.4598540145985173E-3</v>
      </c>
      <c r="AC807" s="38">
        <f t="shared" si="76"/>
        <v>0.20228128336236492</v>
      </c>
      <c r="AD807" s="3"/>
    </row>
    <row r="808" spans="1:30" x14ac:dyDescent="0.25">
      <c r="A808" s="37">
        <v>46444</v>
      </c>
      <c r="B808" s="41">
        <v>20000000</v>
      </c>
      <c r="C808" s="41">
        <v>0</v>
      </c>
      <c r="D808" s="41">
        <v>50000000</v>
      </c>
      <c r="E808" s="41">
        <v>0</v>
      </c>
      <c r="F808" s="41">
        <v>50000000</v>
      </c>
      <c r="G808" s="41">
        <v>0</v>
      </c>
      <c r="H808" s="41">
        <v>50000000</v>
      </c>
      <c r="I808" s="41">
        <v>0</v>
      </c>
      <c r="J808" s="41">
        <v>40000000</v>
      </c>
      <c r="K808" s="41">
        <v>0</v>
      </c>
      <c r="L808" s="41">
        <v>10000000</v>
      </c>
      <c r="M808" s="41">
        <v>0</v>
      </c>
      <c r="N808" s="41">
        <v>65849999.999999203</v>
      </c>
      <c r="O808" s="41">
        <v>79166.666666666672</v>
      </c>
      <c r="P808" s="41">
        <v>75000000</v>
      </c>
      <c r="Q808" s="41">
        <v>0</v>
      </c>
      <c r="R808" s="41">
        <v>50000000</v>
      </c>
      <c r="S808" s="41">
        <v>0</v>
      </c>
      <c r="T808" s="41">
        <v>35000000</v>
      </c>
      <c r="U808" s="41">
        <v>0</v>
      </c>
      <c r="V808" s="41">
        <v>445849999.99999923</v>
      </c>
      <c r="W808" s="41">
        <v>79166.666666666672</v>
      </c>
      <c r="X808" s="38">
        <f t="shared" si="72"/>
        <v>0.89169999999999849</v>
      </c>
      <c r="Y808" s="39">
        <f t="shared" si="73"/>
        <v>1.5833333333333335E-4</v>
      </c>
      <c r="Z808" s="39">
        <f t="shared" si="77"/>
        <v>1.7759498995186277E-4</v>
      </c>
      <c r="AA808" s="41">
        <f t="shared" si="74"/>
        <v>54150000.000000775</v>
      </c>
      <c r="AB808" s="39">
        <f t="shared" si="75"/>
        <v>1.4619883040935464E-3</v>
      </c>
      <c r="AC808" s="38">
        <f t="shared" si="76"/>
        <v>0.20223810165835285</v>
      </c>
      <c r="AD808" s="3"/>
    </row>
    <row r="809" spans="1:30" x14ac:dyDescent="0.25">
      <c r="A809" s="37">
        <v>46445</v>
      </c>
      <c r="B809" s="41">
        <v>20000000</v>
      </c>
      <c r="C809" s="41">
        <v>0</v>
      </c>
      <c r="D809" s="41">
        <v>50000000</v>
      </c>
      <c r="E809" s="41">
        <v>0</v>
      </c>
      <c r="F809" s="41">
        <v>50000000</v>
      </c>
      <c r="G809" s="41">
        <v>0</v>
      </c>
      <c r="H809" s="41">
        <v>50000000</v>
      </c>
      <c r="I809" s="41">
        <v>0</v>
      </c>
      <c r="J809" s="41">
        <v>40000000</v>
      </c>
      <c r="K809" s="41">
        <v>0</v>
      </c>
      <c r="L809" s="41">
        <v>10000000</v>
      </c>
      <c r="M809" s="41">
        <v>0</v>
      </c>
      <c r="N809" s="41">
        <v>65929166.66666586</v>
      </c>
      <c r="O809" s="41">
        <v>79166.666666666672</v>
      </c>
      <c r="P809" s="41">
        <v>75000000</v>
      </c>
      <c r="Q809" s="41">
        <v>0</v>
      </c>
      <c r="R809" s="41">
        <v>50000000</v>
      </c>
      <c r="S809" s="41">
        <v>0</v>
      </c>
      <c r="T809" s="41">
        <v>35000000</v>
      </c>
      <c r="U809" s="41">
        <v>0</v>
      </c>
      <c r="V809" s="41">
        <v>445929166.66666591</v>
      </c>
      <c r="W809" s="41">
        <v>79166.666666666672</v>
      </c>
      <c r="X809" s="38">
        <f t="shared" si="72"/>
        <v>0.89185833333333187</v>
      </c>
      <c r="Y809" s="39">
        <f t="shared" si="73"/>
        <v>1.5833333333333335E-4</v>
      </c>
      <c r="Z809" s="39">
        <f t="shared" si="77"/>
        <v>1.7756345557175466E-4</v>
      </c>
      <c r="AA809" s="41">
        <f t="shared" si="74"/>
        <v>54070833.333334088</v>
      </c>
      <c r="AB809" s="39">
        <f t="shared" si="75"/>
        <v>1.4641288433381934E-3</v>
      </c>
      <c r="AC809" s="38">
        <f t="shared" si="76"/>
        <v>0.20219493838670946</v>
      </c>
      <c r="AD809" s="3"/>
    </row>
    <row r="810" spans="1:30" x14ac:dyDescent="0.25">
      <c r="A810" s="37">
        <v>46446</v>
      </c>
      <c r="B810" s="41">
        <v>20000000</v>
      </c>
      <c r="C810" s="41">
        <v>0</v>
      </c>
      <c r="D810" s="41">
        <v>50000000</v>
      </c>
      <c r="E810" s="41">
        <v>0</v>
      </c>
      <c r="F810" s="41">
        <v>50000000</v>
      </c>
      <c r="G810" s="41">
        <v>0</v>
      </c>
      <c r="H810" s="41">
        <v>50000000</v>
      </c>
      <c r="I810" s="41">
        <v>0</v>
      </c>
      <c r="J810" s="41">
        <v>40000000</v>
      </c>
      <c r="K810" s="41">
        <v>0</v>
      </c>
      <c r="L810" s="41">
        <v>10000000</v>
      </c>
      <c r="M810" s="41">
        <v>0</v>
      </c>
      <c r="N810" s="41">
        <v>66008333.333332524</v>
      </c>
      <c r="O810" s="41">
        <v>79166.666666666672</v>
      </c>
      <c r="P810" s="41">
        <v>75000000</v>
      </c>
      <c r="Q810" s="41">
        <v>0</v>
      </c>
      <c r="R810" s="41">
        <v>50000000</v>
      </c>
      <c r="S810" s="41">
        <v>0</v>
      </c>
      <c r="T810" s="41">
        <v>35000000</v>
      </c>
      <c r="U810" s="41">
        <v>0</v>
      </c>
      <c r="V810" s="41">
        <v>446008333.33333248</v>
      </c>
      <c r="W810" s="41">
        <v>79166.666666666672</v>
      </c>
      <c r="X810" s="38">
        <f t="shared" si="72"/>
        <v>0.8920166666666649</v>
      </c>
      <c r="Y810" s="39">
        <f t="shared" si="73"/>
        <v>1.5833333333333335E-4</v>
      </c>
      <c r="Z810" s="39">
        <f t="shared" si="77"/>
        <v>1.7753193238836544E-4</v>
      </c>
      <c r="AA810" s="41">
        <f t="shared" si="74"/>
        <v>53991666.666667521</v>
      </c>
      <c r="AB810" s="39">
        <f t="shared" si="75"/>
        <v>1.4662756598240237E-3</v>
      </c>
      <c r="AC810" s="38">
        <f t="shared" si="76"/>
        <v>0.20215179353563534</v>
      </c>
      <c r="AD810" s="3"/>
    </row>
    <row r="811" spans="1:30" x14ac:dyDescent="0.25">
      <c r="A811" s="37">
        <v>46447</v>
      </c>
      <c r="B811" s="41">
        <v>20000000</v>
      </c>
      <c r="C811" s="41">
        <v>0</v>
      </c>
      <c r="D811" s="41">
        <v>50000000</v>
      </c>
      <c r="E811" s="41">
        <v>0</v>
      </c>
      <c r="F811" s="41">
        <v>50000000</v>
      </c>
      <c r="G811" s="41">
        <v>0</v>
      </c>
      <c r="H811" s="41">
        <v>50000000</v>
      </c>
      <c r="I811" s="41">
        <v>0</v>
      </c>
      <c r="J811" s="41">
        <v>40000000</v>
      </c>
      <c r="K811" s="41">
        <v>0</v>
      </c>
      <c r="L811" s="41">
        <v>10000000</v>
      </c>
      <c r="M811" s="41">
        <v>0</v>
      </c>
      <c r="N811" s="41">
        <v>66087499.999999188</v>
      </c>
      <c r="O811" s="41">
        <v>79166.666666666672</v>
      </c>
      <c r="P811" s="41">
        <v>75000000</v>
      </c>
      <c r="Q811" s="41">
        <v>0</v>
      </c>
      <c r="R811" s="41">
        <v>50000000</v>
      </c>
      <c r="S811" s="41">
        <v>0</v>
      </c>
      <c r="T811" s="41">
        <v>35000000</v>
      </c>
      <c r="U811" s="41">
        <v>0</v>
      </c>
      <c r="V811" s="41">
        <v>446087499.99999923</v>
      </c>
      <c r="W811" s="41">
        <v>79166.666666666672</v>
      </c>
      <c r="X811" s="38">
        <f t="shared" si="72"/>
        <v>0.8921749999999985</v>
      </c>
      <c r="Y811" s="39">
        <f t="shared" si="73"/>
        <v>1.5833333333333335E-4</v>
      </c>
      <c r="Z811" s="39">
        <f t="shared" si="77"/>
        <v>1.7750042039573288E-4</v>
      </c>
      <c r="AA811" s="41">
        <f t="shared" si="74"/>
        <v>53912500.000000775</v>
      </c>
      <c r="AB811" s="39">
        <f t="shared" si="75"/>
        <v>1.4684287812040905E-3</v>
      </c>
      <c r="AC811" s="38">
        <f t="shared" si="76"/>
        <v>0.20210866709334094</v>
      </c>
      <c r="AD811" s="3"/>
    </row>
    <row r="812" spans="1:30" x14ac:dyDescent="0.25">
      <c r="A812" s="37">
        <v>46448</v>
      </c>
      <c r="B812" s="41">
        <v>20000000</v>
      </c>
      <c r="C812" s="41">
        <v>0</v>
      </c>
      <c r="D812" s="41">
        <v>50000000</v>
      </c>
      <c r="E812" s="41">
        <v>0</v>
      </c>
      <c r="F812" s="41">
        <v>50000000</v>
      </c>
      <c r="G812" s="41">
        <v>0</v>
      </c>
      <c r="H812" s="41">
        <v>50000000</v>
      </c>
      <c r="I812" s="41">
        <v>0</v>
      </c>
      <c r="J812" s="41">
        <v>40000000</v>
      </c>
      <c r="K812" s="41">
        <v>0</v>
      </c>
      <c r="L812" s="41">
        <v>10000000</v>
      </c>
      <c r="M812" s="41">
        <v>0</v>
      </c>
      <c r="N812" s="41">
        <v>66166666.666665852</v>
      </c>
      <c r="O812" s="41">
        <v>79166.666666666672</v>
      </c>
      <c r="P812" s="41">
        <v>75000000</v>
      </c>
      <c r="Q812" s="41">
        <v>0</v>
      </c>
      <c r="R812" s="41">
        <v>50000000</v>
      </c>
      <c r="S812" s="41">
        <v>0</v>
      </c>
      <c r="T812" s="41">
        <v>35000000</v>
      </c>
      <c r="U812" s="41">
        <v>0</v>
      </c>
      <c r="V812" s="41">
        <v>446166666.66666591</v>
      </c>
      <c r="W812" s="41">
        <v>79166.666666666672</v>
      </c>
      <c r="X812" s="38">
        <f t="shared" si="72"/>
        <v>0.89233333333333187</v>
      </c>
      <c r="Y812" s="39">
        <f t="shared" si="73"/>
        <v>1.5833333333333335E-4</v>
      </c>
      <c r="Z812" s="39">
        <f t="shared" si="77"/>
        <v>1.7746891958789882E-4</v>
      </c>
      <c r="AA812" s="41">
        <f t="shared" si="74"/>
        <v>53833333.333334088</v>
      </c>
      <c r="AB812" s="39">
        <f t="shared" si="75"/>
        <v>1.470588235294097E-3</v>
      </c>
      <c r="AC812" s="38">
        <f t="shared" si="76"/>
        <v>0.2020655590480471</v>
      </c>
      <c r="AD812" s="3"/>
    </row>
    <row r="813" spans="1:30" x14ac:dyDescent="0.25">
      <c r="A813" s="37">
        <v>46449</v>
      </c>
      <c r="B813" s="41">
        <v>20000000</v>
      </c>
      <c r="C813" s="41">
        <v>0</v>
      </c>
      <c r="D813" s="41">
        <v>50000000</v>
      </c>
      <c r="E813" s="41">
        <v>0</v>
      </c>
      <c r="F813" s="41">
        <v>50000000</v>
      </c>
      <c r="G813" s="41">
        <v>0</v>
      </c>
      <c r="H813" s="41">
        <v>50000000</v>
      </c>
      <c r="I813" s="41">
        <v>0</v>
      </c>
      <c r="J813" s="41">
        <v>40000000</v>
      </c>
      <c r="K813" s="41">
        <v>0</v>
      </c>
      <c r="L813" s="41">
        <v>10000000</v>
      </c>
      <c r="M813" s="41">
        <v>0</v>
      </c>
      <c r="N813" s="41">
        <v>66245833.333332524</v>
      </c>
      <c r="O813" s="41">
        <v>79166.666666666672</v>
      </c>
      <c r="P813" s="41">
        <v>75000000</v>
      </c>
      <c r="Q813" s="41">
        <v>0</v>
      </c>
      <c r="R813" s="41">
        <v>50000000</v>
      </c>
      <c r="S813" s="41">
        <v>0</v>
      </c>
      <c r="T813" s="41">
        <v>35000000</v>
      </c>
      <c r="U813" s="41">
        <v>0</v>
      </c>
      <c r="V813" s="41">
        <v>446245833.33333248</v>
      </c>
      <c r="W813" s="41">
        <v>79166.666666666672</v>
      </c>
      <c r="X813" s="38">
        <f t="shared" si="72"/>
        <v>0.89249166666666491</v>
      </c>
      <c r="Y813" s="39">
        <f t="shared" si="73"/>
        <v>1.5833333333333335E-4</v>
      </c>
      <c r="Z813" s="39">
        <f t="shared" si="77"/>
        <v>1.7743742995890953E-4</v>
      </c>
      <c r="AA813" s="41">
        <f t="shared" si="74"/>
        <v>53754166.666667521</v>
      </c>
      <c r="AB813" s="39">
        <f t="shared" si="75"/>
        <v>1.4727540500736145E-3</v>
      </c>
      <c r="AC813" s="38">
        <f t="shared" si="76"/>
        <v>0.20202246938798463</v>
      </c>
      <c r="AD813" s="3"/>
    </row>
    <row r="814" spans="1:30" x14ac:dyDescent="0.25">
      <c r="A814" s="37">
        <v>46450</v>
      </c>
      <c r="B814" s="41">
        <v>20000000</v>
      </c>
      <c r="C814" s="41">
        <v>0</v>
      </c>
      <c r="D814" s="41">
        <v>50000000</v>
      </c>
      <c r="E814" s="41">
        <v>0</v>
      </c>
      <c r="F814" s="41">
        <v>50000000</v>
      </c>
      <c r="G814" s="41">
        <v>0</v>
      </c>
      <c r="H814" s="41">
        <v>50000000</v>
      </c>
      <c r="I814" s="41">
        <v>0</v>
      </c>
      <c r="J814" s="41">
        <v>40000000</v>
      </c>
      <c r="K814" s="41">
        <v>0</v>
      </c>
      <c r="L814" s="41">
        <v>10000000</v>
      </c>
      <c r="M814" s="41">
        <v>0</v>
      </c>
      <c r="N814" s="41">
        <v>66324999.99999918</v>
      </c>
      <c r="O814" s="41">
        <v>79166.666666666672</v>
      </c>
      <c r="P814" s="41">
        <v>75000000</v>
      </c>
      <c r="Q814" s="41">
        <v>0</v>
      </c>
      <c r="R814" s="41">
        <v>50000000</v>
      </c>
      <c r="S814" s="41">
        <v>0</v>
      </c>
      <c r="T814" s="41">
        <v>35000000</v>
      </c>
      <c r="U814" s="41">
        <v>0</v>
      </c>
      <c r="V814" s="41">
        <v>446324999.99999923</v>
      </c>
      <c r="W814" s="41">
        <v>79166.666666666672</v>
      </c>
      <c r="X814" s="38">
        <f t="shared" si="72"/>
        <v>0.8926499999999985</v>
      </c>
      <c r="Y814" s="39">
        <f t="shared" si="73"/>
        <v>1.5833333333333335E-4</v>
      </c>
      <c r="Z814" s="39">
        <f t="shared" si="77"/>
        <v>1.774059515028155E-4</v>
      </c>
      <c r="AA814" s="41">
        <f t="shared" si="74"/>
        <v>53675000.000000775</v>
      </c>
      <c r="AB814" s="39">
        <f t="shared" si="75"/>
        <v>1.4749262536872944E-3</v>
      </c>
      <c r="AC814" s="38">
        <f t="shared" si="76"/>
        <v>0.20197939810139409</v>
      </c>
      <c r="AD814" s="3"/>
    </row>
    <row r="815" spans="1:30" x14ac:dyDescent="0.25">
      <c r="A815" s="37">
        <v>46451</v>
      </c>
      <c r="B815" s="41">
        <v>20000000</v>
      </c>
      <c r="C815" s="41">
        <v>0</v>
      </c>
      <c r="D815" s="41">
        <v>50000000</v>
      </c>
      <c r="E815" s="41">
        <v>0</v>
      </c>
      <c r="F815" s="41">
        <v>50000000</v>
      </c>
      <c r="G815" s="41">
        <v>0</v>
      </c>
      <c r="H815" s="41">
        <v>50000000</v>
      </c>
      <c r="I815" s="41">
        <v>0</v>
      </c>
      <c r="J815" s="41">
        <v>40000000</v>
      </c>
      <c r="K815" s="41">
        <v>0</v>
      </c>
      <c r="L815" s="41">
        <v>10000000</v>
      </c>
      <c r="M815" s="41">
        <v>0</v>
      </c>
      <c r="N815" s="41">
        <v>66404166.666665837</v>
      </c>
      <c r="O815" s="41">
        <v>79166.666666666672</v>
      </c>
      <c r="P815" s="41">
        <v>75000000</v>
      </c>
      <c r="Q815" s="41">
        <v>0</v>
      </c>
      <c r="R815" s="41">
        <v>50000000</v>
      </c>
      <c r="S815" s="41">
        <v>0</v>
      </c>
      <c r="T815" s="41">
        <v>35000000</v>
      </c>
      <c r="U815" s="41">
        <v>0</v>
      </c>
      <c r="V815" s="41">
        <v>446404166.66666591</v>
      </c>
      <c r="W815" s="41">
        <v>79166.666666666672</v>
      </c>
      <c r="X815" s="38">
        <f t="shared" si="72"/>
        <v>0.89280833333333187</v>
      </c>
      <c r="Y815" s="39">
        <f t="shared" si="73"/>
        <v>1.5833333333333335E-4</v>
      </c>
      <c r="Z815" s="39">
        <f t="shared" si="77"/>
        <v>1.7737448421367122E-4</v>
      </c>
      <c r="AA815" s="41">
        <f t="shared" si="74"/>
        <v>53595833.333334088</v>
      </c>
      <c r="AB815" s="39">
        <f t="shared" si="75"/>
        <v>1.477104874446065E-3</v>
      </c>
      <c r="AC815" s="38">
        <f t="shared" si="76"/>
        <v>0.20193634517652642</v>
      </c>
      <c r="AD815" s="3"/>
    </row>
    <row r="816" spans="1:30" x14ac:dyDescent="0.25">
      <c r="A816" s="37">
        <v>46452</v>
      </c>
      <c r="B816" s="41">
        <v>20000000</v>
      </c>
      <c r="C816" s="41">
        <v>0</v>
      </c>
      <c r="D816" s="41">
        <v>50000000</v>
      </c>
      <c r="E816" s="41">
        <v>0</v>
      </c>
      <c r="F816" s="41">
        <v>50000000</v>
      </c>
      <c r="G816" s="41">
        <v>0</v>
      </c>
      <c r="H816" s="41">
        <v>50000000</v>
      </c>
      <c r="I816" s="41">
        <v>0</v>
      </c>
      <c r="J816" s="41">
        <v>40000000</v>
      </c>
      <c r="K816" s="41">
        <v>0</v>
      </c>
      <c r="L816" s="41">
        <v>10000000</v>
      </c>
      <c r="M816" s="41">
        <v>0</v>
      </c>
      <c r="N816" s="41">
        <v>66483333.333332509</v>
      </c>
      <c r="O816" s="41">
        <v>79166.666666666672</v>
      </c>
      <c r="P816" s="41">
        <v>75000000</v>
      </c>
      <c r="Q816" s="41">
        <v>0</v>
      </c>
      <c r="R816" s="41">
        <v>50000000</v>
      </c>
      <c r="S816" s="41">
        <v>0</v>
      </c>
      <c r="T816" s="41">
        <v>35000000</v>
      </c>
      <c r="U816" s="41">
        <v>0</v>
      </c>
      <c r="V816" s="41">
        <v>446483333.33333248</v>
      </c>
      <c r="W816" s="41">
        <v>79166.666666666672</v>
      </c>
      <c r="X816" s="38">
        <f t="shared" si="72"/>
        <v>0.89296666666666491</v>
      </c>
      <c r="Y816" s="39">
        <f t="shared" si="73"/>
        <v>1.5833333333333335E-4</v>
      </c>
      <c r="Z816" s="39">
        <f t="shared" si="77"/>
        <v>1.7734302808553566E-4</v>
      </c>
      <c r="AA816" s="41">
        <f t="shared" si="74"/>
        <v>53516666.666667521</v>
      </c>
      <c r="AB816" s="39">
        <f t="shared" si="75"/>
        <v>1.4792899408283789E-3</v>
      </c>
      <c r="AC816" s="38">
        <f t="shared" si="76"/>
        <v>0.20189331060164253</v>
      </c>
      <c r="AD816" s="3"/>
    </row>
    <row r="817" spans="1:30" x14ac:dyDescent="0.25">
      <c r="A817" s="37">
        <v>46453</v>
      </c>
      <c r="B817" s="41">
        <v>20000000</v>
      </c>
      <c r="C817" s="41">
        <v>0</v>
      </c>
      <c r="D817" s="41">
        <v>50000000</v>
      </c>
      <c r="E817" s="41">
        <v>0</v>
      </c>
      <c r="F817" s="41">
        <v>50000000</v>
      </c>
      <c r="G817" s="41">
        <v>0</v>
      </c>
      <c r="H817" s="41">
        <v>50000000</v>
      </c>
      <c r="I817" s="41">
        <v>0</v>
      </c>
      <c r="J817" s="41">
        <v>40000000</v>
      </c>
      <c r="K817" s="41">
        <v>0</v>
      </c>
      <c r="L817" s="41">
        <v>10000000</v>
      </c>
      <c r="M817" s="41">
        <v>0</v>
      </c>
      <c r="N817" s="41">
        <v>66562499.999999173</v>
      </c>
      <c r="O817" s="41">
        <v>79166.666666666672</v>
      </c>
      <c r="P817" s="41">
        <v>75000000</v>
      </c>
      <c r="Q817" s="41">
        <v>0</v>
      </c>
      <c r="R817" s="41">
        <v>50000000</v>
      </c>
      <c r="S817" s="41">
        <v>0</v>
      </c>
      <c r="T817" s="41">
        <v>35000000</v>
      </c>
      <c r="U817" s="41">
        <v>0</v>
      </c>
      <c r="V817" s="41">
        <v>446562499.99999923</v>
      </c>
      <c r="W817" s="41">
        <v>79166.666666666672</v>
      </c>
      <c r="X817" s="38">
        <f t="shared" si="72"/>
        <v>0.8931249999999985</v>
      </c>
      <c r="Y817" s="39">
        <f t="shared" si="73"/>
        <v>1.5833333333333335E-4</v>
      </c>
      <c r="Z817" s="39">
        <f t="shared" si="77"/>
        <v>1.7731158311247189E-4</v>
      </c>
      <c r="AA817" s="41">
        <f t="shared" si="74"/>
        <v>53437500.000000775</v>
      </c>
      <c r="AB817" s="39">
        <f t="shared" si="75"/>
        <v>1.4814814814814602E-3</v>
      </c>
      <c r="AC817" s="38">
        <f t="shared" si="76"/>
        <v>0.20185029436501303</v>
      </c>
      <c r="AD817" s="3"/>
    </row>
    <row r="818" spans="1:30" x14ac:dyDescent="0.25">
      <c r="A818" s="37">
        <v>46454</v>
      </c>
      <c r="B818" s="41">
        <v>20000000</v>
      </c>
      <c r="C818" s="41">
        <v>0</v>
      </c>
      <c r="D818" s="41">
        <v>50000000</v>
      </c>
      <c r="E818" s="41">
        <v>0</v>
      </c>
      <c r="F818" s="41">
        <v>50000000</v>
      </c>
      <c r="G818" s="41">
        <v>0</v>
      </c>
      <c r="H818" s="41">
        <v>50000000</v>
      </c>
      <c r="I818" s="41">
        <v>0</v>
      </c>
      <c r="J818" s="41">
        <v>40000000</v>
      </c>
      <c r="K818" s="41">
        <v>0</v>
      </c>
      <c r="L818" s="41">
        <v>10000000</v>
      </c>
      <c r="M818" s="41">
        <v>0</v>
      </c>
      <c r="N818" s="41">
        <v>66641666.666665837</v>
      </c>
      <c r="O818" s="41">
        <v>79166.666666666672</v>
      </c>
      <c r="P818" s="41">
        <v>75000000</v>
      </c>
      <c r="Q818" s="41">
        <v>0</v>
      </c>
      <c r="R818" s="41">
        <v>50000000</v>
      </c>
      <c r="S818" s="41">
        <v>0</v>
      </c>
      <c r="T818" s="41">
        <v>35000000</v>
      </c>
      <c r="U818" s="41">
        <v>0</v>
      </c>
      <c r="V818" s="41">
        <v>446641666.66666591</v>
      </c>
      <c r="W818" s="41">
        <v>79166.666666666672</v>
      </c>
      <c r="X818" s="38">
        <f t="shared" si="72"/>
        <v>0.89328333333333187</v>
      </c>
      <c r="Y818" s="39">
        <f t="shared" si="73"/>
        <v>1.5833333333333335E-4</v>
      </c>
      <c r="Z818" s="39">
        <f t="shared" si="77"/>
        <v>1.7728014928854708E-4</v>
      </c>
      <c r="AA818" s="41">
        <f t="shared" si="74"/>
        <v>53358333.333334088</v>
      </c>
      <c r="AB818" s="39">
        <f t="shared" si="75"/>
        <v>1.4836795252225309E-3</v>
      </c>
      <c r="AC818" s="38">
        <f t="shared" si="76"/>
        <v>0.20180729645491891</v>
      </c>
      <c r="AD818" s="3"/>
    </row>
    <row r="819" spans="1:30" x14ac:dyDescent="0.25">
      <c r="A819" s="37">
        <v>46455</v>
      </c>
      <c r="B819" s="41">
        <v>20000000</v>
      </c>
      <c r="C819" s="41">
        <v>0</v>
      </c>
      <c r="D819" s="41">
        <v>50000000</v>
      </c>
      <c r="E819" s="41">
        <v>0</v>
      </c>
      <c r="F819" s="41">
        <v>50000000</v>
      </c>
      <c r="G819" s="41">
        <v>0</v>
      </c>
      <c r="H819" s="41">
        <v>50000000</v>
      </c>
      <c r="I819" s="41">
        <v>0</v>
      </c>
      <c r="J819" s="41">
        <v>40000000</v>
      </c>
      <c r="K819" s="41">
        <v>0</v>
      </c>
      <c r="L819" s="41">
        <v>10000000</v>
      </c>
      <c r="M819" s="41">
        <v>0</v>
      </c>
      <c r="N819" s="41">
        <v>66720833.333332501</v>
      </c>
      <c r="O819" s="41">
        <v>79166.666666666672</v>
      </c>
      <c r="P819" s="41">
        <v>75000000</v>
      </c>
      <c r="Q819" s="41">
        <v>0</v>
      </c>
      <c r="R819" s="41">
        <v>50000000</v>
      </c>
      <c r="S819" s="41">
        <v>0</v>
      </c>
      <c r="T819" s="41">
        <v>35000000</v>
      </c>
      <c r="U819" s="41">
        <v>0</v>
      </c>
      <c r="V819" s="41">
        <v>446720833.33333248</v>
      </c>
      <c r="W819" s="41">
        <v>79166.666666666672</v>
      </c>
      <c r="X819" s="38">
        <f t="shared" si="72"/>
        <v>0.89344166666666491</v>
      </c>
      <c r="Y819" s="39">
        <f t="shared" si="73"/>
        <v>1.5833333333333335E-4</v>
      </c>
      <c r="Z819" s="39">
        <f t="shared" si="77"/>
        <v>1.7724872660783284E-4</v>
      </c>
      <c r="AA819" s="41">
        <f t="shared" si="74"/>
        <v>53279166.666667521</v>
      </c>
      <c r="AB819" s="39">
        <f t="shared" si="75"/>
        <v>1.4858841010400952E-3</v>
      </c>
      <c r="AC819" s="38">
        <f t="shared" si="76"/>
        <v>0.20176431685965096</v>
      </c>
      <c r="AD819" s="3"/>
    </row>
    <row r="820" spans="1:30" x14ac:dyDescent="0.25">
      <c r="A820" s="37">
        <v>46456</v>
      </c>
      <c r="B820" s="41">
        <v>20000000</v>
      </c>
      <c r="C820" s="41">
        <v>0</v>
      </c>
      <c r="D820" s="41">
        <v>50000000</v>
      </c>
      <c r="E820" s="41">
        <v>0</v>
      </c>
      <c r="F820" s="41">
        <v>50000000</v>
      </c>
      <c r="G820" s="41">
        <v>0</v>
      </c>
      <c r="H820" s="41">
        <v>50000000</v>
      </c>
      <c r="I820" s="41">
        <v>0</v>
      </c>
      <c r="J820" s="41">
        <v>40000000</v>
      </c>
      <c r="K820" s="41">
        <v>0</v>
      </c>
      <c r="L820" s="41">
        <v>10000000</v>
      </c>
      <c r="M820" s="41">
        <v>0</v>
      </c>
      <c r="N820" s="41">
        <v>66799999.999999173</v>
      </c>
      <c r="O820" s="41">
        <v>79166.666666666672</v>
      </c>
      <c r="P820" s="41">
        <v>75000000</v>
      </c>
      <c r="Q820" s="41">
        <v>0</v>
      </c>
      <c r="R820" s="41">
        <v>50000000</v>
      </c>
      <c r="S820" s="41">
        <v>0</v>
      </c>
      <c r="T820" s="41">
        <v>35000000</v>
      </c>
      <c r="U820" s="41">
        <v>0</v>
      </c>
      <c r="V820" s="41">
        <v>446799999.99999923</v>
      </c>
      <c r="W820" s="41">
        <v>79166.666666666672</v>
      </c>
      <c r="X820" s="38">
        <f t="shared" si="72"/>
        <v>0.8935999999999984</v>
      </c>
      <c r="Y820" s="39">
        <f t="shared" si="73"/>
        <v>1.5833333333333335E-4</v>
      </c>
      <c r="Z820" s="39">
        <f t="shared" si="77"/>
        <v>1.7721731506440484E-4</v>
      </c>
      <c r="AA820" s="41">
        <f t="shared" si="74"/>
        <v>53200000.000000775</v>
      </c>
      <c r="AB820" s="39">
        <f t="shared" si="75"/>
        <v>1.4880952380952165E-3</v>
      </c>
      <c r="AC820" s="38">
        <f t="shared" si="76"/>
        <v>0.20172135556750984</v>
      </c>
      <c r="AD820" s="3"/>
    </row>
    <row r="821" spans="1:30" x14ac:dyDescent="0.25">
      <c r="A821" s="37">
        <v>46457</v>
      </c>
      <c r="B821" s="41">
        <v>20000000</v>
      </c>
      <c r="C821" s="41">
        <v>0</v>
      </c>
      <c r="D821" s="41">
        <v>50000000</v>
      </c>
      <c r="E821" s="41">
        <v>0</v>
      </c>
      <c r="F821" s="41">
        <v>50000000</v>
      </c>
      <c r="G821" s="41">
        <v>0</v>
      </c>
      <c r="H821" s="41">
        <v>50000000</v>
      </c>
      <c r="I821" s="41">
        <v>0</v>
      </c>
      <c r="J821" s="41">
        <v>40000000</v>
      </c>
      <c r="K821" s="41">
        <v>0</v>
      </c>
      <c r="L821" s="41">
        <v>10000000</v>
      </c>
      <c r="M821" s="41">
        <v>0</v>
      </c>
      <c r="N821" s="41">
        <v>66879166.66666583</v>
      </c>
      <c r="O821" s="41">
        <v>79166.666666666672</v>
      </c>
      <c r="P821" s="41">
        <v>75000000</v>
      </c>
      <c r="Q821" s="41">
        <v>0</v>
      </c>
      <c r="R821" s="41">
        <v>50000000</v>
      </c>
      <c r="S821" s="41">
        <v>0</v>
      </c>
      <c r="T821" s="41">
        <v>35000000</v>
      </c>
      <c r="U821" s="41">
        <v>0</v>
      </c>
      <c r="V821" s="41">
        <v>446879166.66666591</v>
      </c>
      <c r="W821" s="41">
        <v>79166.666666666672</v>
      </c>
      <c r="X821" s="38">
        <f t="shared" si="72"/>
        <v>0.89375833333333188</v>
      </c>
      <c r="Y821" s="39">
        <f t="shared" si="73"/>
        <v>1.5833333333333335E-4</v>
      </c>
      <c r="Z821" s="39">
        <f t="shared" si="77"/>
        <v>1.7718591465234291E-4</v>
      </c>
      <c r="AA821" s="41">
        <f t="shared" si="74"/>
        <v>53120833.333334088</v>
      </c>
      <c r="AB821" s="39">
        <f t="shared" si="75"/>
        <v>1.4903129657227808E-3</v>
      </c>
      <c r="AC821" s="38">
        <f t="shared" si="76"/>
        <v>0.20167841256680638</v>
      </c>
      <c r="AD821" s="3"/>
    </row>
    <row r="822" spans="1:30" x14ac:dyDescent="0.25">
      <c r="A822" s="37">
        <v>46458</v>
      </c>
      <c r="B822" s="41">
        <v>20000000</v>
      </c>
      <c r="C822" s="41">
        <v>0</v>
      </c>
      <c r="D822" s="41">
        <v>50000000</v>
      </c>
      <c r="E822" s="41">
        <v>0</v>
      </c>
      <c r="F822" s="41">
        <v>50000000</v>
      </c>
      <c r="G822" s="41">
        <v>0</v>
      </c>
      <c r="H822" s="41">
        <v>50000000</v>
      </c>
      <c r="I822" s="41">
        <v>0</v>
      </c>
      <c r="J822" s="41">
        <v>40000000</v>
      </c>
      <c r="K822" s="41">
        <v>0</v>
      </c>
      <c r="L822" s="41">
        <v>10000000</v>
      </c>
      <c r="M822" s="41">
        <v>0</v>
      </c>
      <c r="N822" s="41">
        <v>66958333.333332486</v>
      </c>
      <c r="O822" s="41">
        <v>79166.666666666672</v>
      </c>
      <c r="P822" s="41">
        <v>75000000</v>
      </c>
      <c r="Q822" s="41">
        <v>0</v>
      </c>
      <c r="R822" s="41">
        <v>50000000</v>
      </c>
      <c r="S822" s="41">
        <v>0</v>
      </c>
      <c r="T822" s="41">
        <v>35000000</v>
      </c>
      <c r="U822" s="41">
        <v>0</v>
      </c>
      <c r="V822" s="41">
        <v>446958333.33333248</v>
      </c>
      <c r="W822" s="41">
        <v>79166.666666666672</v>
      </c>
      <c r="X822" s="38">
        <f t="shared" si="72"/>
        <v>0.89391666666666492</v>
      </c>
      <c r="Y822" s="39">
        <f t="shared" si="73"/>
        <v>1.5833333333333335E-4</v>
      </c>
      <c r="Z822" s="39">
        <f t="shared" si="77"/>
        <v>1.7715452536573118E-4</v>
      </c>
      <c r="AA822" s="41">
        <f t="shared" si="74"/>
        <v>53041666.666667521</v>
      </c>
      <c r="AB822" s="39">
        <f t="shared" si="75"/>
        <v>1.4925373134328118E-3</v>
      </c>
      <c r="AC822" s="38">
        <f t="shared" si="76"/>
        <v>0.20163548784586133</v>
      </c>
      <c r="AD822" s="3"/>
    </row>
    <row r="823" spans="1:30" x14ac:dyDescent="0.25">
      <c r="A823" s="37">
        <v>46459</v>
      </c>
      <c r="B823" s="41">
        <v>20000000</v>
      </c>
      <c r="C823" s="41">
        <v>0</v>
      </c>
      <c r="D823" s="41">
        <v>50000000</v>
      </c>
      <c r="E823" s="41">
        <v>0</v>
      </c>
      <c r="F823" s="41">
        <v>50000000</v>
      </c>
      <c r="G823" s="41">
        <v>0</v>
      </c>
      <c r="H823" s="41">
        <v>50000000</v>
      </c>
      <c r="I823" s="41">
        <v>0</v>
      </c>
      <c r="J823" s="41">
        <v>40000000</v>
      </c>
      <c r="K823" s="41">
        <v>0</v>
      </c>
      <c r="L823" s="41">
        <v>10000000</v>
      </c>
      <c r="M823" s="41">
        <v>0</v>
      </c>
      <c r="N823" s="41">
        <v>67037499.999999158</v>
      </c>
      <c r="O823" s="41">
        <v>79166.666666666672</v>
      </c>
      <c r="P823" s="41">
        <v>75000000</v>
      </c>
      <c r="Q823" s="41">
        <v>0</v>
      </c>
      <c r="R823" s="41">
        <v>50000000</v>
      </c>
      <c r="S823" s="41">
        <v>0</v>
      </c>
      <c r="T823" s="41">
        <v>35000000</v>
      </c>
      <c r="U823" s="41">
        <v>0</v>
      </c>
      <c r="V823" s="41">
        <v>447037499.99999923</v>
      </c>
      <c r="W823" s="41">
        <v>79166.666666666672</v>
      </c>
      <c r="X823" s="38">
        <f t="shared" si="72"/>
        <v>0.8940749999999984</v>
      </c>
      <c r="Y823" s="39">
        <f t="shared" si="73"/>
        <v>1.5833333333333335E-4</v>
      </c>
      <c r="Z823" s="39">
        <f t="shared" si="77"/>
        <v>1.7712314719865794E-4</v>
      </c>
      <c r="AA823" s="41">
        <f t="shared" si="74"/>
        <v>52962500.000000775</v>
      </c>
      <c r="AB823" s="39">
        <f t="shared" si="75"/>
        <v>1.4947683109117868E-3</v>
      </c>
      <c r="AC823" s="38">
        <f t="shared" si="76"/>
        <v>0.20159258139300515</v>
      </c>
      <c r="AD823" s="3"/>
    </row>
    <row r="824" spans="1:30" x14ac:dyDescent="0.25">
      <c r="A824" s="37">
        <v>46460</v>
      </c>
      <c r="B824" s="41">
        <v>20000000</v>
      </c>
      <c r="C824" s="41">
        <v>0</v>
      </c>
      <c r="D824" s="41">
        <v>50000000</v>
      </c>
      <c r="E824" s="41">
        <v>0</v>
      </c>
      <c r="F824" s="41">
        <v>50000000</v>
      </c>
      <c r="G824" s="41">
        <v>0</v>
      </c>
      <c r="H824" s="41">
        <v>50000000</v>
      </c>
      <c r="I824" s="41">
        <v>0</v>
      </c>
      <c r="J824" s="41">
        <v>40000000</v>
      </c>
      <c r="K824" s="41">
        <v>0</v>
      </c>
      <c r="L824" s="41">
        <v>10000000</v>
      </c>
      <c r="M824" s="41">
        <v>0</v>
      </c>
      <c r="N824" s="41">
        <v>67116666.666665822</v>
      </c>
      <c r="O824" s="41">
        <v>79166.666666666672</v>
      </c>
      <c r="P824" s="41">
        <v>75000000</v>
      </c>
      <c r="Q824" s="41">
        <v>0</v>
      </c>
      <c r="R824" s="41">
        <v>50000000</v>
      </c>
      <c r="S824" s="41">
        <v>0</v>
      </c>
      <c r="T824" s="41">
        <v>35000000</v>
      </c>
      <c r="U824" s="41">
        <v>0</v>
      </c>
      <c r="V824" s="41">
        <v>447116666.66666579</v>
      </c>
      <c r="W824" s="41">
        <v>79166.666666666672</v>
      </c>
      <c r="X824" s="38">
        <f t="shared" si="72"/>
        <v>0.89423333333333155</v>
      </c>
      <c r="Y824" s="39">
        <f t="shared" si="73"/>
        <v>1.5833333333333335E-4</v>
      </c>
      <c r="Z824" s="39">
        <f t="shared" si="77"/>
        <v>1.7709178014521559E-4</v>
      </c>
      <c r="AA824" s="41">
        <f t="shared" si="74"/>
        <v>52883333.333334208</v>
      </c>
      <c r="AB824" s="39">
        <f t="shared" si="75"/>
        <v>1.4970059880239275E-3</v>
      </c>
      <c r="AC824" s="38">
        <f t="shared" si="76"/>
        <v>0.20154969319657862</v>
      </c>
      <c r="AD824" s="3"/>
    </row>
    <row r="825" spans="1:30" x14ac:dyDescent="0.25">
      <c r="A825" s="37">
        <v>46461</v>
      </c>
      <c r="B825" s="41">
        <v>20000000</v>
      </c>
      <c r="C825" s="41">
        <v>0</v>
      </c>
      <c r="D825" s="41">
        <v>50000000</v>
      </c>
      <c r="E825" s="41">
        <v>0</v>
      </c>
      <c r="F825" s="41">
        <v>50000000</v>
      </c>
      <c r="G825" s="41">
        <v>0</v>
      </c>
      <c r="H825" s="41">
        <v>50000000</v>
      </c>
      <c r="I825" s="41">
        <v>0</v>
      </c>
      <c r="J825" s="41">
        <v>40000000</v>
      </c>
      <c r="K825" s="41">
        <v>0</v>
      </c>
      <c r="L825" s="41">
        <v>10000000</v>
      </c>
      <c r="M825" s="41">
        <v>0</v>
      </c>
      <c r="N825" s="41">
        <v>67195833.333332494</v>
      </c>
      <c r="O825" s="41">
        <v>79166.666666666672</v>
      </c>
      <c r="P825" s="41">
        <v>75000000</v>
      </c>
      <c r="Q825" s="41">
        <v>0</v>
      </c>
      <c r="R825" s="41">
        <v>50000000</v>
      </c>
      <c r="S825" s="41">
        <v>0</v>
      </c>
      <c r="T825" s="41">
        <v>35000000</v>
      </c>
      <c r="U825" s="41">
        <v>0</v>
      </c>
      <c r="V825" s="41">
        <v>447195833.33333248</v>
      </c>
      <c r="W825" s="41">
        <v>79166.666666666672</v>
      </c>
      <c r="X825" s="38">
        <f t="shared" si="72"/>
        <v>0.89439166666666492</v>
      </c>
      <c r="Y825" s="39">
        <f t="shared" si="73"/>
        <v>1.5833333333333335E-4</v>
      </c>
      <c r="Z825" s="39">
        <f t="shared" si="77"/>
        <v>1.7706042419950087E-4</v>
      </c>
      <c r="AA825" s="41">
        <f t="shared" si="74"/>
        <v>52804166.666667521</v>
      </c>
      <c r="AB825" s="39">
        <f t="shared" si="75"/>
        <v>1.4992503748125696E-3</v>
      </c>
      <c r="AC825" s="38">
        <f t="shared" si="76"/>
        <v>0.20150682324493199</v>
      </c>
      <c r="AD825" s="3"/>
    </row>
    <row r="826" spans="1:30" x14ac:dyDescent="0.25">
      <c r="A826" s="37">
        <v>46462</v>
      </c>
      <c r="B826" s="41">
        <v>20000000</v>
      </c>
      <c r="C826" s="41">
        <v>0</v>
      </c>
      <c r="D826" s="41">
        <v>50000000</v>
      </c>
      <c r="E826" s="41">
        <v>0</v>
      </c>
      <c r="F826" s="41">
        <v>50000000</v>
      </c>
      <c r="G826" s="41">
        <v>0</v>
      </c>
      <c r="H826" s="41">
        <v>50000000</v>
      </c>
      <c r="I826" s="41">
        <v>0</v>
      </c>
      <c r="J826" s="41">
        <v>40000000</v>
      </c>
      <c r="K826" s="41">
        <v>0</v>
      </c>
      <c r="L826" s="41">
        <v>10000000</v>
      </c>
      <c r="M826" s="41">
        <v>0</v>
      </c>
      <c r="N826" s="41">
        <v>67274999.999999166</v>
      </c>
      <c r="O826" s="41">
        <v>79166.666666666672</v>
      </c>
      <c r="P826" s="41">
        <v>75000000</v>
      </c>
      <c r="Q826" s="41">
        <v>0</v>
      </c>
      <c r="R826" s="41">
        <v>50000000</v>
      </c>
      <c r="S826" s="41">
        <v>0</v>
      </c>
      <c r="T826" s="41">
        <v>35000000</v>
      </c>
      <c r="U826" s="41">
        <v>0</v>
      </c>
      <c r="V826" s="41">
        <v>447274999.99999923</v>
      </c>
      <c r="W826" s="41">
        <v>79166.666666666672</v>
      </c>
      <c r="X826" s="38">
        <f t="shared" si="72"/>
        <v>0.8945499999999984</v>
      </c>
      <c r="Y826" s="39">
        <f t="shared" si="73"/>
        <v>1.5833333333333335E-4</v>
      </c>
      <c r="Z826" s="39">
        <f t="shared" si="77"/>
        <v>1.7702907935561449E-4</v>
      </c>
      <c r="AA826" s="41">
        <f t="shared" si="74"/>
        <v>52725000.000000775</v>
      </c>
      <c r="AB826" s="39">
        <f t="shared" si="75"/>
        <v>1.5015015015014796E-3</v>
      </c>
      <c r="AC826" s="38">
        <f t="shared" si="76"/>
        <v>0.20146397152642578</v>
      </c>
      <c r="AD826" s="3"/>
    </row>
    <row r="827" spans="1:30" x14ac:dyDescent="0.25">
      <c r="A827" s="37">
        <v>46463</v>
      </c>
      <c r="B827" s="41">
        <v>20000000</v>
      </c>
      <c r="C827" s="41">
        <v>0</v>
      </c>
      <c r="D827" s="41">
        <v>50000000</v>
      </c>
      <c r="E827" s="41">
        <v>0</v>
      </c>
      <c r="F827" s="41">
        <v>50000000</v>
      </c>
      <c r="G827" s="41">
        <v>0</v>
      </c>
      <c r="H827" s="41">
        <v>50000000</v>
      </c>
      <c r="I827" s="41">
        <v>0</v>
      </c>
      <c r="J827" s="41">
        <v>40000000</v>
      </c>
      <c r="K827" s="41">
        <v>0</v>
      </c>
      <c r="L827" s="41">
        <v>10000000</v>
      </c>
      <c r="M827" s="41">
        <v>0</v>
      </c>
      <c r="N827" s="41">
        <v>67354166.666665837</v>
      </c>
      <c r="O827" s="41">
        <v>79166.666666666672</v>
      </c>
      <c r="P827" s="41">
        <v>75000000</v>
      </c>
      <c r="Q827" s="41">
        <v>0</v>
      </c>
      <c r="R827" s="41">
        <v>50000000</v>
      </c>
      <c r="S827" s="41">
        <v>0</v>
      </c>
      <c r="T827" s="41">
        <v>35000000</v>
      </c>
      <c r="U827" s="41">
        <v>0</v>
      </c>
      <c r="V827" s="41">
        <v>447354166.66666591</v>
      </c>
      <c r="W827" s="41">
        <v>79166.666666666672</v>
      </c>
      <c r="X827" s="38">
        <f t="shared" si="72"/>
        <v>0.89470833333333177</v>
      </c>
      <c r="Y827" s="39">
        <f t="shared" si="73"/>
        <v>1.5833333333333335E-4</v>
      </c>
      <c r="Z827" s="39">
        <f t="shared" si="77"/>
        <v>1.7699774560766152E-4</v>
      </c>
      <c r="AA827" s="41">
        <f t="shared" si="74"/>
        <v>52645833.333334088</v>
      </c>
      <c r="AB827" s="39">
        <f t="shared" si="75"/>
        <v>1.5037593984962192E-3</v>
      </c>
      <c r="AC827" s="38">
        <f t="shared" si="76"/>
        <v>0.20142113802943026</v>
      </c>
      <c r="AD827" s="3"/>
    </row>
    <row r="828" spans="1:30" x14ac:dyDescent="0.25">
      <c r="A828" s="37">
        <v>46464</v>
      </c>
      <c r="B828" s="41">
        <v>20000000</v>
      </c>
      <c r="C828" s="41">
        <v>0</v>
      </c>
      <c r="D828" s="41">
        <v>50000000</v>
      </c>
      <c r="E828" s="41">
        <v>0</v>
      </c>
      <c r="F828" s="41">
        <v>50000000</v>
      </c>
      <c r="G828" s="41">
        <v>0</v>
      </c>
      <c r="H828" s="41">
        <v>50000000</v>
      </c>
      <c r="I828" s="41">
        <v>0</v>
      </c>
      <c r="J828" s="41">
        <v>40000000</v>
      </c>
      <c r="K828" s="41">
        <v>0</v>
      </c>
      <c r="L828" s="41">
        <v>10000000</v>
      </c>
      <c r="M828" s="41">
        <v>0</v>
      </c>
      <c r="N828" s="41">
        <v>67433333.333332509</v>
      </c>
      <c r="O828" s="41">
        <v>79166.666666666672</v>
      </c>
      <c r="P828" s="41">
        <v>75000000</v>
      </c>
      <c r="Q828" s="41">
        <v>0</v>
      </c>
      <c r="R828" s="41">
        <v>50000000</v>
      </c>
      <c r="S828" s="41">
        <v>0</v>
      </c>
      <c r="T828" s="41">
        <v>35000000</v>
      </c>
      <c r="U828" s="41">
        <v>0</v>
      </c>
      <c r="V828" s="41">
        <v>447433333.33333248</v>
      </c>
      <c r="W828" s="41">
        <v>79166.666666666672</v>
      </c>
      <c r="X828" s="38">
        <f t="shared" si="72"/>
        <v>0.89486666666666492</v>
      </c>
      <c r="Y828" s="39">
        <f t="shared" si="73"/>
        <v>1.5833333333333335E-4</v>
      </c>
      <c r="Z828" s="39">
        <f t="shared" si="77"/>
        <v>1.7696642294975115E-4</v>
      </c>
      <c r="AA828" s="41">
        <f t="shared" si="74"/>
        <v>52566666.666667521</v>
      </c>
      <c r="AB828" s="39">
        <f t="shared" si="75"/>
        <v>1.5060240963855177E-3</v>
      </c>
      <c r="AC828" s="38">
        <f t="shared" si="76"/>
        <v>0.2013783227423257</v>
      </c>
      <c r="AD828" s="3"/>
    </row>
    <row r="829" spans="1:30" x14ac:dyDescent="0.25">
      <c r="A829" s="37">
        <v>46465</v>
      </c>
      <c r="B829" s="41">
        <v>20000000</v>
      </c>
      <c r="C829" s="41">
        <v>0</v>
      </c>
      <c r="D829" s="41">
        <v>50000000</v>
      </c>
      <c r="E829" s="41">
        <v>0</v>
      </c>
      <c r="F829" s="41">
        <v>50000000</v>
      </c>
      <c r="G829" s="41">
        <v>0</v>
      </c>
      <c r="H829" s="41">
        <v>50000000</v>
      </c>
      <c r="I829" s="41">
        <v>0</v>
      </c>
      <c r="J829" s="41">
        <v>40000000</v>
      </c>
      <c r="K829" s="41">
        <v>0</v>
      </c>
      <c r="L829" s="41">
        <v>10000000</v>
      </c>
      <c r="M829" s="41">
        <v>0</v>
      </c>
      <c r="N829" s="41">
        <v>67512499.99999918</v>
      </c>
      <c r="O829" s="41">
        <v>79166.666666666672</v>
      </c>
      <c r="P829" s="41">
        <v>75000000</v>
      </c>
      <c r="Q829" s="41">
        <v>0</v>
      </c>
      <c r="R829" s="41">
        <v>50000000</v>
      </c>
      <c r="S829" s="41">
        <v>0</v>
      </c>
      <c r="T829" s="41">
        <v>35000000</v>
      </c>
      <c r="U829" s="41">
        <v>0</v>
      </c>
      <c r="V829" s="41">
        <v>447512499.99999923</v>
      </c>
      <c r="W829" s="41">
        <v>79166.666666666672</v>
      </c>
      <c r="X829" s="38">
        <f t="shared" si="72"/>
        <v>0.89502499999999841</v>
      </c>
      <c r="Y829" s="39">
        <f t="shared" si="73"/>
        <v>1.5833333333333335E-4</v>
      </c>
      <c r="Z829" s="39">
        <f t="shared" si="77"/>
        <v>1.7693511137599678E-4</v>
      </c>
      <c r="AA829" s="41">
        <f t="shared" si="74"/>
        <v>52487500.000000775</v>
      </c>
      <c r="AB829" s="39">
        <f t="shared" si="75"/>
        <v>1.5082956259426625E-3</v>
      </c>
      <c r="AC829" s="38">
        <f t="shared" si="76"/>
        <v>0.20133552565350199</v>
      </c>
      <c r="AD829" s="3"/>
    </row>
    <row r="830" spans="1:30" x14ac:dyDescent="0.25">
      <c r="A830" s="37">
        <v>46466</v>
      </c>
      <c r="B830" s="41">
        <v>20000000</v>
      </c>
      <c r="C830" s="41">
        <v>0</v>
      </c>
      <c r="D830" s="41">
        <v>50000000</v>
      </c>
      <c r="E830" s="41">
        <v>0</v>
      </c>
      <c r="F830" s="41">
        <v>50000000</v>
      </c>
      <c r="G830" s="41">
        <v>0</v>
      </c>
      <c r="H830" s="41">
        <v>50000000</v>
      </c>
      <c r="I830" s="41">
        <v>0</v>
      </c>
      <c r="J830" s="41">
        <v>40000000</v>
      </c>
      <c r="K830" s="41">
        <v>0</v>
      </c>
      <c r="L830" s="41">
        <v>10000000</v>
      </c>
      <c r="M830" s="41">
        <v>0</v>
      </c>
      <c r="N830" s="41">
        <v>67591666.666665852</v>
      </c>
      <c r="O830" s="41">
        <v>79166.666666666672</v>
      </c>
      <c r="P830" s="41">
        <v>75000000</v>
      </c>
      <c r="Q830" s="41">
        <v>0</v>
      </c>
      <c r="R830" s="41">
        <v>50000000</v>
      </c>
      <c r="S830" s="41">
        <v>0</v>
      </c>
      <c r="T830" s="41">
        <v>35000000</v>
      </c>
      <c r="U830" s="41">
        <v>0</v>
      </c>
      <c r="V830" s="41">
        <v>447591666.66666591</v>
      </c>
      <c r="W830" s="41">
        <v>79166.666666666672</v>
      </c>
      <c r="X830" s="38">
        <f t="shared" si="72"/>
        <v>0.89518333333333178</v>
      </c>
      <c r="Y830" s="39">
        <f t="shared" si="73"/>
        <v>1.5833333333333335E-4</v>
      </c>
      <c r="Z830" s="39">
        <f t="shared" si="77"/>
        <v>1.7690381088051577E-4</v>
      </c>
      <c r="AA830" s="41">
        <f t="shared" si="74"/>
        <v>52408333.333334088</v>
      </c>
      <c r="AB830" s="39">
        <f t="shared" si="75"/>
        <v>1.5105740181268665E-3</v>
      </c>
      <c r="AC830" s="38">
        <f t="shared" si="76"/>
        <v>0.20129274675135914</v>
      </c>
      <c r="AD830" s="3"/>
    </row>
    <row r="831" spans="1:30" x14ac:dyDescent="0.25">
      <c r="A831" s="37">
        <v>46467</v>
      </c>
      <c r="B831" s="41">
        <v>20000000</v>
      </c>
      <c r="C831" s="41">
        <v>0</v>
      </c>
      <c r="D831" s="41">
        <v>50000000</v>
      </c>
      <c r="E831" s="41">
        <v>0</v>
      </c>
      <c r="F831" s="41">
        <v>50000000</v>
      </c>
      <c r="G831" s="41">
        <v>0</v>
      </c>
      <c r="H831" s="41">
        <v>50000000</v>
      </c>
      <c r="I831" s="41">
        <v>0</v>
      </c>
      <c r="J831" s="41">
        <v>40000000</v>
      </c>
      <c r="K831" s="41">
        <v>0</v>
      </c>
      <c r="L831" s="41">
        <v>10000000</v>
      </c>
      <c r="M831" s="41">
        <v>0</v>
      </c>
      <c r="N831" s="41">
        <v>67670833.333332524</v>
      </c>
      <c r="O831" s="41">
        <v>79166.666666666672</v>
      </c>
      <c r="P831" s="41">
        <v>75000000</v>
      </c>
      <c r="Q831" s="41">
        <v>0</v>
      </c>
      <c r="R831" s="41">
        <v>50000000</v>
      </c>
      <c r="S831" s="41">
        <v>0</v>
      </c>
      <c r="T831" s="41">
        <v>35000000</v>
      </c>
      <c r="U831" s="41">
        <v>0</v>
      </c>
      <c r="V831" s="41">
        <v>447670833.33333248</v>
      </c>
      <c r="W831" s="41">
        <v>79166.666666666672</v>
      </c>
      <c r="X831" s="38">
        <f t="shared" si="72"/>
        <v>0.89534166666666493</v>
      </c>
      <c r="Y831" s="39">
        <f t="shared" si="73"/>
        <v>1.5833333333333335E-4</v>
      </c>
      <c r="Z831" s="39">
        <f t="shared" si="77"/>
        <v>1.768725214574299E-4</v>
      </c>
      <c r="AA831" s="41">
        <f t="shared" si="74"/>
        <v>52329166.666667521</v>
      </c>
      <c r="AB831" s="39">
        <f t="shared" si="75"/>
        <v>1.5128593040846954E-3</v>
      </c>
      <c r="AC831" s="38">
        <f t="shared" si="76"/>
        <v>0.20124998602430699</v>
      </c>
      <c r="AD831" s="3"/>
    </row>
    <row r="832" spans="1:30" x14ac:dyDescent="0.25">
      <c r="A832" s="37">
        <v>46468</v>
      </c>
      <c r="B832" s="41">
        <v>20000000</v>
      </c>
      <c r="C832" s="41">
        <v>0</v>
      </c>
      <c r="D832" s="41">
        <v>50000000</v>
      </c>
      <c r="E832" s="41">
        <v>0</v>
      </c>
      <c r="F832" s="41">
        <v>50000000</v>
      </c>
      <c r="G832" s="41">
        <v>0</v>
      </c>
      <c r="H832" s="41">
        <v>50000000</v>
      </c>
      <c r="I832" s="41">
        <v>0</v>
      </c>
      <c r="J832" s="41">
        <v>40000000</v>
      </c>
      <c r="K832" s="41">
        <v>0</v>
      </c>
      <c r="L832" s="41">
        <v>10000000</v>
      </c>
      <c r="M832" s="41">
        <v>0</v>
      </c>
      <c r="N832" s="41">
        <v>67749999.999999195</v>
      </c>
      <c r="O832" s="41">
        <v>79166.666666666672</v>
      </c>
      <c r="P832" s="41">
        <v>75000000</v>
      </c>
      <c r="Q832" s="41">
        <v>0</v>
      </c>
      <c r="R832" s="41">
        <v>50000000</v>
      </c>
      <c r="S832" s="41">
        <v>0</v>
      </c>
      <c r="T832" s="41">
        <v>35000000</v>
      </c>
      <c r="U832" s="41">
        <v>0</v>
      </c>
      <c r="V832" s="41">
        <v>447749999.99999923</v>
      </c>
      <c r="W832" s="41">
        <v>79166.666666666672</v>
      </c>
      <c r="X832" s="38">
        <f t="shared" si="72"/>
        <v>0.89549999999999841</v>
      </c>
      <c r="Y832" s="39">
        <f t="shared" si="73"/>
        <v>1.5833333333333335E-4</v>
      </c>
      <c r="Z832" s="39">
        <f t="shared" si="77"/>
        <v>1.76841243100865E-4</v>
      </c>
      <c r="AA832" s="41">
        <f t="shared" si="74"/>
        <v>52250000.000000775</v>
      </c>
      <c r="AB832" s="39">
        <f t="shared" si="75"/>
        <v>1.5151515151514928E-3</v>
      </c>
      <c r="AC832" s="38">
        <f t="shared" si="76"/>
        <v>0.20120724346076502</v>
      </c>
      <c r="AD832" s="3"/>
    </row>
    <row r="833" spans="1:30" x14ac:dyDescent="0.25">
      <c r="A833" s="37">
        <v>46469</v>
      </c>
      <c r="B833" s="41">
        <v>20000000</v>
      </c>
      <c r="C833" s="41">
        <v>0</v>
      </c>
      <c r="D833" s="41">
        <v>50000000</v>
      </c>
      <c r="E833" s="41">
        <v>0</v>
      </c>
      <c r="F833" s="41">
        <v>50000000</v>
      </c>
      <c r="G833" s="41">
        <v>0</v>
      </c>
      <c r="H833" s="41">
        <v>50000000</v>
      </c>
      <c r="I833" s="41">
        <v>0</v>
      </c>
      <c r="J833" s="41">
        <v>40000000</v>
      </c>
      <c r="K833" s="41">
        <v>0</v>
      </c>
      <c r="L833" s="41">
        <v>10000000</v>
      </c>
      <c r="M833" s="41">
        <v>0</v>
      </c>
      <c r="N833" s="41">
        <v>67829166.666665867</v>
      </c>
      <c r="O833" s="41">
        <v>79166.666666666672</v>
      </c>
      <c r="P833" s="41">
        <v>75000000</v>
      </c>
      <c r="Q833" s="41">
        <v>0</v>
      </c>
      <c r="R833" s="41">
        <v>50000000</v>
      </c>
      <c r="S833" s="41">
        <v>0</v>
      </c>
      <c r="T833" s="41">
        <v>35000000</v>
      </c>
      <c r="U833" s="41">
        <v>0</v>
      </c>
      <c r="V833" s="41">
        <v>447829166.66666591</v>
      </c>
      <c r="W833" s="41">
        <v>79166.666666666672</v>
      </c>
      <c r="X833" s="38">
        <f t="shared" si="72"/>
        <v>0.89565833333333178</v>
      </c>
      <c r="Y833" s="39">
        <f t="shared" si="73"/>
        <v>1.5833333333333335E-4</v>
      </c>
      <c r="Z833" s="39">
        <f t="shared" si="77"/>
        <v>1.76809975804951E-4</v>
      </c>
      <c r="AA833" s="41">
        <f t="shared" si="74"/>
        <v>52170833.333334088</v>
      </c>
      <c r="AB833" s="39">
        <f t="shared" si="75"/>
        <v>1.5174506828527854E-3</v>
      </c>
      <c r="AC833" s="38">
        <f t="shared" si="76"/>
        <v>0.20116451904916277</v>
      </c>
      <c r="AD833" s="3"/>
    </row>
    <row r="834" spans="1:30" x14ac:dyDescent="0.25">
      <c r="A834" s="37">
        <v>46470</v>
      </c>
      <c r="B834" s="41">
        <v>20000000</v>
      </c>
      <c r="C834" s="41">
        <v>0</v>
      </c>
      <c r="D834" s="41">
        <v>50000000</v>
      </c>
      <c r="E834" s="41">
        <v>0</v>
      </c>
      <c r="F834" s="41">
        <v>50000000</v>
      </c>
      <c r="G834" s="41">
        <v>0</v>
      </c>
      <c r="H834" s="41">
        <v>50000000</v>
      </c>
      <c r="I834" s="41">
        <v>0</v>
      </c>
      <c r="J834" s="41">
        <v>40000000</v>
      </c>
      <c r="K834" s="41">
        <v>0</v>
      </c>
      <c r="L834" s="41">
        <v>10000000</v>
      </c>
      <c r="M834" s="41">
        <v>0</v>
      </c>
      <c r="N834" s="41">
        <v>67908333.333332539</v>
      </c>
      <c r="O834" s="41">
        <v>79166.666666666672</v>
      </c>
      <c r="P834" s="41">
        <v>75000000</v>
      </c>
      <c r="Q834" s="41">
        <v>0</v>
      </c>
      <c r="R834" s="41">
        <v>50000000</v>
      </c>
      <c r="S834" s="41">
        <v>0</v>
      </c>
      <c r="T834" s="41">
        <v>35000000</v>
      </c>
      <c r="U834" s="41">
        <v>0</v>
      </c>
      <c r="V834" s="41">
        <v>447908333.33333248</v>
      </c>
      <c r="W834" s="41">
        <v>79166.666666666672</v>
      </c>
      <c r="X834" s="38">
        <f t="shared" si="72"/>
        <v>0.89581666666666493</v>
      </c>
      <c r="Y834" s="39">
        <f t="shared" si="73"/>
        <v>1.5833333333333335E-4</v>
      </c>
      <c r="Z834" s="39">
        <f t="shared" si="77"/>
        <v>1.7677871956382207E-4</v>
      </c>
      <c r="AA834" s="41">
        <f t="shared" si="74"/>
        <v>52091666.666667521</v>
      </c>
      <c r="AB834" s="39">
        <f t="shared" si="75"/>
        <v>1.5197568389057504E-3</v>
      </c>
      <c r="AC834" s="38">
        <f t="shared" si="76"/>
        <v>0.20112181277793964</v>
      </c>
      <c r="AD834" s="3"/>
    </row>
    <row r="835" spans="1:30" x14ac:dyDescent="0.25">
      <c r="A835" s="37">
        <v>46471</v>
      </c>
      <c r="B835" s="41">
        <v>20000000</v>
      </c>
      <c r="C835" s="41">
        <v>0</v>
      </c>
      <c r="D835" s="41">
        <v>50000000</v>
      </c>
      <c r="E835" s="41">
        <v>0</v>
      </c>
      <c r="F835" s="41">
        <v>50000000</v>
      </c>
      <c r="G835" s="41">
        <v>0</v>
      </c>
      <c r="H835" s="41">
        <v>50000000</v>
      </c>
      <c r="I835" s="41">
        <v>0</v>
      </c>
      <c r="J835" s="41">
        <v>40000000</v>
      </c>
      <c r="K835" s="41">
        <v>0</v>
      </c>
      <c r="L835" s="41">
        <v>10000000</v>
      </c>
      <c r="M835" s="41">
        <v>0</v>
      </c>
      <c r="N835" s="41">
        <v>67987499.99999921</v>
      </c>
      <c r="O835" s="41">
        <v>79166.666666666672</v>
      </c>
      <c r="P835" s="41">
        <v>75000000</v>
      </c>
      <c r="Q835" s="41">
        <v>0</v>
      </c>
      <c r="R835" s="41">
        <v>50000000</v>
      </c>
      <c r="S835" s="41">
        <v>0</v>
      </c>
      <c r="T835" s="41">
        <v>35000000</v>
      </c>
      <c r="U835" s="41">
        <v>0</v>
      </c>
      <c r="V835" s="41">
        <v>447987499.99999923</v>
      </c>
      <c r="W835" s="41">
        <v>79166.666666666672</v>
      </c>
      <c r="X835" s="38">
        <f t="shared" si="72"/>
        <v>0.89597499999999841</v>
      </c>
      <c r="Y835" s="39">
        <f t="shared" si="73"/>
        <v>1.5833333333333335E-4</v>
      </c>
      <c r="Z835" s="39">
        <f t="shared" si="77"/>
        <v>1.7674747437161655E-4</v>
      </c>
      <c r="AA835" s="41">
        <f t="shared" si="74"/>
        <v>52012500.000000775</v>
      </c>
      <c r="AB835" s="39">
        <f t="shared" si="75"/>
        <v>1.5220700152206775E-3</v>
      </c>
      <c r="AC835" s="38">
        <f t="shared" si="76"/>
        <v>0.2010791246355445</v>
      </c>
      <c r="AD835" s="3"/>
    </row>
    <row r="836" spans="1:30" x14ac:dyDescent="0.25">
      <c r="A836" s="37">
        <v>46472</v>
      </c>
      <c r="B836" s="41">
        <v>20000000</v>
      </c>
      <c r="C836" s="41">
        <v>0</v>
      </c>
      <c r="D836" s="41">
        <v>50000000</v>
      </c>
      <c r="E836" s="41">
        <v>0</v>
      </c>
      <c r="F836" s="41">
        <v>50000000</v>
      </c>
      <c r="G836" s="41">
        <v>0</v>
      </c>
      <c r="H836" s="41">
        <v>50000000</v>
      </c>
      <c r="I836" s="41">
        <v>0</v>
      </c>
      <c r="J836" s="41">
        <v>40000000</v>
      </c>
      <c r="K836" s="41">
        <v>0</v>
      </c>
      <c r="L836" s="41">
        <v>10000000</v>
      </c>
      <c r="M836" s="41">
        <v>0</v>
      </c>
      <c r="N836" s="41">
        <v>68066666.666665882</v>
      </c>
      <c r="O836" s="41">
        <v>79166.666666666672</v>
      </c>
      <c r="P836" s="41">
        <v>75000000</v>
      </c>
      <c r="Q836" s="41">
        <v>0</v>
      </c>
      <c r="R836" s="41">
        <v>50000000</v>
      </c>
      <c r="S836" s="41">
        <v>0</v>
      </c>
      <c r="T836" s="41">
        <v>35000000</v>
      </c>
      <c r="U836" s="41">
        <v>0</v>
      </c>
      <c r="V836" s="41">
        <v>448066666.66666591</v>
      </c>
      <c r="W836" s="41">
        <v>79166.666666666672</v>
      </c>
      <c r="X836" s="38">
        <f t="shared" si="72"/>
        <v>0.89613333333333178</v>
      </c>
      <c r="Y836" s="39">
        <f t="shared" si="73"/>
        <v>1.5833333333333335E-4</v>
      </c>
      <c r="Z836" s="39">
        <f t="shared" si="77"/>
        <v>1.7671624022247675E-4</v>
      </c>
      <c r="AA836" s="41">
        <f t="shared" si="74"/>
        <v>51933333.333334088</v>
      </c>
      <c r="AB836" s="39">
        <f t="shared" si="75"/>
        <v>1.524390243902417E-3</v>
      </c>
      <c r="AC836" s="38">
        <f t="shared" si="76"/>
        <v>0.20103645461043643</v>
      </c>
      <c r="AD836" s="3"/>
    </row>
    <row r="837" spans="1:30" x14ac:dyDescent="0.25">
      <c r="A837" s="37">
        <v>46473</v>
      </c>
      <c r="B837" s="41">
        <v>20000000</v>
      </c>
      <c r="C837" s="41">
        <v>0</v>
      </c>
      <c r="D837" s="41">
        <v>50000000</v>
      </c>
      <c r="E837" s="41">
        <v>0</v>
      </c>
      <c r="F837" s="41">
        <v>50000000</v>
      </c>
      <c r="G837" s="41">
        <v>0</v>
      </c>
      <c r="H837" s="41">
        <v>50000000</v>
      </c>
      <c r="I837" s="41">
        <v>0</v>
      </c>
      <c r="J837" s="41">
        <v>40000000</v>
      </c>
      <c r="K837" s="41">
        <v>0</v>
      </c>
      <c r="L837" s="41">
        <v>10000000</v>
      </c>
      <c r="M837" s="41">
        <v>0</v>
      </c>
      <c r="N837" s="41">
        <v>68145833.333332554</v>
      </c>
      <c r="O837" s="41">
        <v>79166.666666666672</v>
      </c>
      <c r="P837" s="41">
        <v>75000000</v>
      </c>
      <c r="Q837" s="41">
        <v>0</v>
      </c>
      <c r="R837" s="41">
        <v>50000000</v>
      </c>
      <c r="S837" s="41">
        <v>0</v>
      </c>
      <c r="T837" s="41">
        <v>35000000</v>
      </c>
      <c r="U837" s="41">
        <v>0</v>
      </c>
      <c r="V837" s="41">
        <v>448145833.33333248</v>
      </c>
      <c r="W837" s="41">
        <v>79166.666666666672</v>
      </c>
      <c r="X837" s="38">
        <f t="shared" si="72"/>
        <v>0.89629166666666493</v>
      </c>
      <c r="Y837" s="39">
        <f t="shared" si="73"/>
        <v>1.5833333333333335E-4</v>
      </c>
      <c r="Z837" s="39">
        <f t="shared" si="77"/>
        <v>1.7668501711054933E-4</v>
      </c>
      <c r="AA837" s="41">
        <f t="shared" si="74"/>
        <v>51854166.666667521</v>
      </c>
      <c r="AB837" s="39">
        <f t="shared" si="75"/>
        <v>1.5267175572518834E-3</v>
      </c>
      <c r="AC837" s="38">
        <f t="shared" si="76"/>
        <v>0.20099380269108416</v>
      </c>
      <c r="AD837" s="3"/>
    </row>
    <row r="838" spans="1:30" x14ac:dyDescent="0.25">
      <c r="A838" s="37">
        <v>46474</v>
      </c>
      <c r="B838" s="41">
        <v>20000000</v>
      </c>
      <c r="C838" s="41">
        <v>0</v>
      </c>
      <c r="D838" s="41">
        <v>50000000</v>
      </c>
      <c r="E838" s="41">
        <v>0</v>
      </c>
      <c r="F838" s="41">
        <v>50000000</v>
      </c>
      <c r="G838" s="41">
        <v>0</v>
      </c>
      <c r="H838" s="41">
        <v>50000000</v>
      </c>
      <c r="I838" s="41">
        <v>0</v>
      </c>
      <c r="J838" s="41">
        <v>40000000</v>
      </c>
      <c r="K838" s="41">
        <v>0</v>
      </c>
      <c r="L838" s="41">
        <v>10000000</v>
      </c>
      <c r="M838" s="41">
        <v>0</v>
      </c>
      <c r="N838" s="41">
        <v>68224999.999999225</v>
      </c>
      <c r="O838" s="41">
        <v>79166.666666666672</v>
      </c>
      <c r="P838" s="41">
        <v>75000000</v>
      </c>
      <c r="Q838" s="41">
        <v>0</v>
      </c>
      <c r="R838" s="41">
        <v>50000000</v>
      </c>
      <c r="S838" s="41">
        <v>0</v>
      </c>
      <c r="T838" s="41">
        <v>35000000</v>
      </c>
      <c r="U838" s="41">
        <v>0</v>
      </c>
      <c r="V838" s="41">
        <v>448224999.99999923</v>
      </c>
      <c r="W838" s="41">
        <v>79166.666666666672</v>
      </c>
      <c r="X838" s="38">
        <f t="shared" si="72"/>
        <v>0.89644999999999841</v>
      </c>
      <c r="Y838" s="39">
        <f t="shared" si="73"/>
        <v>1.5833333333333335E-4</v>
      </c>
      <c r="Z838" s="39">
        <f t="shared" si="77"/>
        <v>1.7665380502998501E-4</v>
      </c>
      <c r="AA838" s="41">
        <f t="shared" si="74"/>
        <v>51775000.000000775</v>
      </c>
      <c r="AB838" s="39">
        <f t="shared" si="75"/>
        <v>1.5290519877675613E-3</v>
      </c>
      <c r="AC838" s="38">
        <f t="shared" si="76"/>
        <v>0.20095116886596598</v>
      </c>
      <c r="AD838" s="3"/>
    </row>
    <row r="839" spans="1:30" x14ac:dyDescent="0.25">
      <c r="A839" s="37">
        <v>46475</v>
      </c>
      <c r="B839" s="41">
        <v>20000000</v>
      </c>
      <c r="C839" s="41">
        <v>0</v>
      </c>
      <c r="D839" s="41">
        <v>50000000</v>
      </c>
      <c r="E839" s="41">
        <v>0</v>
      </c>
      <c r="F839" s="41">
        <v>50000000</v>
      </c>
      <c r="G839" s="41">
        <v>0</v>
      </c>
      <c r="H839" s="41">
        <v>50000000</v>
      </c>
      <c r="I839" s="41">
        <v>0</v>
      </c>
      <c r="J839" s="41">
        <v>40000000</v>
      </c>
      <c r="K839" s="41">
        <v>0</v>
      </c>
      <c r="L839" s="41">
        <v>10000000</v>
      </c>
      <c r="M839" s="41">
        <v>0</v>
      </c>
      <c r="N839" s="41">
        <v>68304166.666665897</v>
      </c>
      <c r="O839" s="41">
        <v>79166.666666666672</v>
      </c>
      <c r="P839" s="41">
        <v>75000000</v>
      </c>
      <c r="Q839" s="41">
        <v>0</v>
      </c>
      <c r="R839" s="41">
        <v>50000000</v>
      </c>
      <c r="S839" s="41">
        <v>0</v>
      </c>
      <c r="T839" s="41">
        <v>35000000</v>
      </c>
      <c r="U839" s="41">
        <v>0</v>
      </c>
      <c r="V839" s="41">
        <v>448304166.66666591</v>
      </c>
      <c r="W839" s="41">
        <v>79166.666666666672</v>
      </c>
      <c r="X839" s="38">
        <f t="shared" si="72"/>
        <v>0.89660833333333179</v>
      </c>
      <c r="Y839" s="39">
        <f t="shared" si="73"/>
        <v>1.5833333333333335E-4</v>
      </c>
      <c r="Z839" s="39">
        <f t="shared" si="77"/>
        <v>1.7662260397493851E-4</v>
      </c>
      <c r="AA839" s="41">
        <f t="shared" si="74"/>
        <v>51695833.333334088</v>
      </c>
      <c r="AB839" s="39">
        <f t="shared" si="75"/>
        <v>1.5313935681469915E-3</v>
      </c>
      <c r="AC839" s="38">
        <f t="shared" si="76"/>
        <v>0.20090855312357034</v>
      </c>
      <c r="AD839" s="3"/>
    </row>
    <row r="840" spans="1:30" x14ac:dyDescent="0.25">
      <c r="A840" s="37">
        <v>46476</v>
      </c>
      <c r="B840" s="41">
        <v>20000000</v>
      </c>
      <c r="C840" s="41">
        <v>0</v>
      </c>
      <c r="D840" s="41">
        <v>50000000</v>
      </c>
      <c r="E840" s="41">
        <v>0</v>
      </c>
      <c r="F840" s="41">
        <v>50000000</v>
      </c>
      <c r="G840" s="41">
        <v>0</v>
      </c>
      <c r="H840" s="41">
        <v>50000000</v>
      </c>
      <c r="I840" s="41">
        <v>0</v>
      </c>
      <c r="J840" s="41">
        <v>40000000</v>
      </c>
      <c r="K840" s="41">
        <v>0</v>
      </c>
      <c r="L840" s="41">
        <v>10000000</v>
      </c>
      <c r="M840" s="41">
        <v>0</v>
      </c>
      <c r="N840" s="41">
        <v>68383333.333332568</v>
      </c>
      <c r="O840" s="41">
        <v>79166.666666666672</v>
      </c>
      <c r="P840" s="41">
        <v>75000000</v>
      </c>
      <c r="Q840" s="41">
        <v>0</v>
      </c>
      <c r="R840" s="41">
        <v>50000000</v>
      </c>
      <c r="S840" s="41">
        <v>0</v>
      </c>
      <c r="T840" s="41">
        <v>35000000</v>
      </c>
      <c r="U840" s="41">
        <v>0</v>
      </c>
      <c r="V840" s="41">
        <v>448383333.33333248</v>
      </c>
      <c r="W840" s="41">
        <v>79166.666666666672</v>
      </c>
      <c r="X840" s="38">
        <f t="shared" si="72"/>
        <v>0.89676666666666494</v>
      </c>
      <c r="Y840" s="39">
        <f t="shared" si="73"/>
        <v>1.5833333333333335E-4</v>
      </c>
      <c r="Z840" s="39">
        <f t="shared" si="77"/>
        <v>1.7659141393956888E-4</v>
      </c>
      <c r="AA840" s="41">
        <f t="shared" si="74"/>
        <v>51616666.666667521</v>
      </c>
      <c r="AB840" s="39">
        <f t="shared" si="75"/>
        <v>1.5337423312883182E-3</v>
      </c>
      <c r="AC840" s="38">
        <f t="shared" si="76"/>
        <v>0.20086595545239522</v>
      </c>
      <c r="AD840" s="3"/>
    </row>
    <row r="841" spans="1:30" x14ac:dyDescent="0.25">
      <c r="A841" s="37">
        <v>46477</v>
      </c>
      <c r="B841" s="41">
        <v>20000000</v>
      </c>
      <c r="C841" s="41">
        <v>0</v>
      </c>
      <c r="D841" s="41">
        <v>50000000</v>
      </c>
      <c r="E841" s="41">
        <v>0</v>
      </c>
      <c r="F841" s="41">
        <v>50000000</v>
      </c>
      <c r="G841" s="41">
        <v>0</v>
      </c>
      <c r="H841" s="41">
        <v>50000000</v>
      </c>
      <c r="I841" s="41">
        <v>0</v>
      </c>
      <c r="J841" s="41">
        <v>40000000</v>
      </c>
      <c r="K841" s="41">
        <v>0</v>
      </c>
      <c r="L841" s="41">
        <v>10000000</v>
      </c>
      <c r="M841" s="41">
        <v>0</v>
      </c>
      <c r="N841" s="41">
        <v>68462499.99999924</v>
      </c>
      <c r="O841" s="41">
        <v>79166.666666666672</v>
      </c>
      <c r="P841" s="41">
        <v>75000000</v>
      </c>
      <c r="Q841" s="41">
        <v>0</v>
      </c>
      <c r="R841" s="41">
        <v>50000000</v>
      </c>
      <c r="S841" s="41">
        <v>0</v>
      </c>
      <c r="T841" s="41">
        <v>35000000</v>
      </c>
      <c r="U841" s="41">
        <v>0</v>
      </c>
      <c r="V841" s="41">
        <v>448462499.99999923</v>
      </c>
      <c r="W841" s="41">
        <v>79166.666666666672</v>
      </c>
      <c r="X841" s="38">
        <f t="shared" si="72"/>
        <v>0.89692499999999842</v>
      </c>
      <c r="Y841" s="39">
        <f t="shared" si="73"/>
        <v>1.5833333333333335E-4</v>
      </c>
      <c r="Z841" s="39">
        <f t="shared" si="77"/>
        <v>1.7656023491803924E-4</v>
      </c>
      <c r="AA841" s="41">
        <f t="shared" si="74"/>
        <v>51537500.000000775</v>
      </c>
      <c r="AB841" s="39">
        <f t="shared" si="75"/>
        <v>1.5360983102918357E-3</v>
      </c>
      <c r="AC841" s="38">
        <f t="shared" si="76"/>
        <v>0.20082337584094831</v>
      </c>
      <c r="AD841" s="3"/>
    </row>
    <row r="842" spans="1:30" x14ac:dyDescent="0.25">
      <c r="A842" s="37">
        <v>46478</v>
      </c>
      <c r="B842" s="41">
        <v>20000000</v>
      </c>
      <c r="C842" s="41">
        <v>0</v>
      </c>
      <c r="D842" s="41">
        <v>50000000</v>
      </c>
      <c r="E842" s="41">
        <v>0</v>
      </c>
      <c r="F842" s="41">
        <v>50000000</v>
      </c>
      <c r="G842" s="41">
        <v>0</v>
      </c>
      <c r="H842" s="41">
        <v>50000000</v>
      </c>
      <c r="I842" s="41">
        <v>0</v>
      </c>
      <c r="J842" s="41">
        <v>40000000</v>
      </c>
      <c r="K842" s="41">
        <v>0</v>
      </c>
      <c r="L842" s="41">
        <v>10000000</v>
      </c>
      <c r="M842" s="41">
        <v>0</v>
      </c>
      <c r="N842" s="41">
        <v>68541666.666665912</v>
      </c>
      <c r="O842" s="41">
        <v>79166.666666666672</v>
      </c>
      <c r="P842" s="41">
        <v>75000000</v>
      </c>
      <c r="Q842" s="41">
        <v>0</v>
      </c>
      <c r="R842" s="41">
        <v>50000000</v>
      </c>
      <c r="S842" s="41">
        <v>0</v>
      </c>
      <c r="T842" s="41">
        <v>35000000</v>
      </c>
      <c r="U842" s="41">
        <v>0</v>
      </c>
      <c r="V842" s="41">
        <v>448541666.66666591</v>
      </c>
      <c r="W842" s="41">
        <v>79166.666666666672</v>
      </c>
      <c r="X842" s="38">
        <f t="shared" si="72"/>
        <v>0.89708333333333179</v>
      </c>
      <c r="Y842" s="39">
        <f t="shared" si="73"/>
        <v>1.5833333333333335E-4</v>
      </c>
      <c r="Z842" s="39">
        <f t="shared" si="77"/>
        <v>1.7652906690451668E-4</v>
      </c>
      <c r="AA842" s="41">
        <f t="shared" si="74"/>
        <v>51458333.333334088</v>
      </c>
      <c r="AB842" s="39">
        <f t="shared" si="75"/>
        <v>1.5384615384615159E-3</v>
      </c>
      <c r="AC842" s="38">
        <f t="shared" si="76"/>
        <v>0.20078081427774719</v>
      </c>
      <c r="AD842" s="3"/>
    </row>
    <row r="843" spans="1:30" x14ac:dyDescent="0.25">
      <c r="A843" s="37">
        <v>46479</v>
      </c>
      <c r="B843" s="41">
        <v>20000000</v>
      </c>
      <c r="C843" s="41">
        <v>0</v>
      </c>
      <c r="D843" s="41">
        <v>50000000</v>
      </c>
      <c r="E843" s="41">
        <v>0</v>
      </c>
      <c r="F843" s="41">
        <v>50000000</v>
      </c>
      <c r="G843" s="41">
        <v>0</v>
      </c>
      <c r="H843" s="41">
        <v>50000000</v>
      </c>
      <c r="I843" s="41">
        <v>0</v>
      </c>
      <c r="J843" s="41">
        <v>40000000</v>
      </c>
      <c r="K843" s="41">
        <v>0</v>
      </c>
      <c r="L843" s="41">
        <v>10000000</v>
      </c>
      <c r="M843" s="41">
        <v>0</v>
      </c>
      <c r="N843" s="41">
        <v>68620833.333332583</v>
      </c>
      <c r="O843" s="41">
        <v>79166.666666666672</v>
      </c>
      <c r="P843" s="41">
        <v>75000000</v>
      </c>
      <c r="Q843" s="41">
        <v>0</v>
      </c>
      <c r="R843" s="41">
        <v>50000000</v>
      </c>
      <c r="S843" s="41">
        <v>0</v>
      </c>
      <c r="T843" s="41">
        <v>35000000</v>
      </c>
      <c r="U843" s="41">
        <v>0</v>
      </c>
      <c r="V843" s="41">
        <v>448620833.3333326</v>
      </c>
      <c r="W843" s="41">
        <v>79166.666666666672</v>
      </c>
      <c r="X843" s="38">
        <f t="shared" si="72"/>
        <v>0.89724166666666516</v>
      </c>
      <c r="Y843" s="39">
        <f t="shared" si="73"/>
        <v>1.5833333333333335E-4</v>
      </c>
      <c r="Z843" s="39">
        <f t="shared" si="77"/>
        <v>1.7649790989317262E-4</v>
      </c>
      <c r="AA843" s="41">
        <f t="shared" si="74"/>
        <v>51379166.666667402</v>
      </c>
      <c r="AB843" s="39">
        <f t="shared" si="75"/>
        <v>1.5408320493066037E-3</v>
      </c>
      <c r="AC843" s="38">
        <f t="shared" si="76"/>
        <v>0.20073827075131914</v>
      </c>
      <c r="AD843" s="3"/>
    </row>
    <row r="844" spans="1:30" x14ac:dyDescent="0.25">
      <c r="A844" s="37">
        <v>46480</v>
      </c>
      <c r="B844" s="41">
        <v>20000000</v>
      </c>
      <c r="C844" s="41">
        <v>0</v>
      </c>
      <c r="D844" s="41">
        <v>50000000</v>
      </c>
      <c r="E844" s="41">
        <v>0</v>
      </c>
      <c r="F844" s="41">
        <v>50000000</v>
      </c>
      <c r="G844" s="41">
        <v>0</v>
      </c>
      <c r="H844" s="41">
        <v>50000000</v>
      </c>
      <c r="I844" s="41">
        <v>0</v>
      </c>
      <c r="J844" s="41">
        <v>40000000</v>
      </c>
      <c r="K844" s="41">
        <v>0</v>
      </c>
      <c r="L844" s="41">
        <v>10000000</v>
      </c>
      <c r="M844" s="41">
        <v>0</v>
      </c>
      <c r="N844" s="41">
        <v>68699999.999999255</v>
      </c>
      <c r="O844" s="41">
        <v>79166.666666666672</v>
      </c>
      <c r="P844" s="41">
        <v>75000000</v>
      </c>
      <c r="Q844" s="41">
        <v>0</v>
      </c>
      <c r="R844" s="41">
        <v>50000000</v>
      </c>
      <c r="S844" s="41">
        <v>0</v>
      </c>
      <c r="T844" s="41">
        <v>35000000</v>
      </c>
      <c r="U844" s="41">
        <v>0</v>
      </c>
      <c r="V844" s="41">
        <v>448699999.99999928</v>
      </c>
      <c r="W844" s="41">
        <v>79166.666666666672</v>
      </c>
      <c r="X844" s="38">
        <f t="shared" si="72"/>
        <v>0.89739999999999853</v>
      </c>
      <c r="Y844" s="39">
        <f t="shared" si="73"/>
        <v>1.5833333333333335E-4</v>
      </c>
      <c r="Z844" s="39">
        <f t="shared" si="77"/>
        <v>1.7646676387818251E-4</v>
      </c>
      <c r="AA844" s="41">
        <f t="shared" si="74"/>
        <v>51300000.000000715</v>
      </c>
      <c r="AB844" s="39">
        <f t="shared" si="75"/>
        <v>1.5432098765431885E-3</v>
      </c>
      <c r="AC844" s="38">
        <f t="shared" si="76"/>
        <v>0.20069574525020109</v>
      </c>
      <c r="AD844" s="3"/>
    </row>
    <row r="845" spans="1:30" x14ac:dyDescent="0.25">
      <c r="A845" s="37">
        <v>46481</v>
      </c>
      <c r="B845" s="41">
        <v>20000000</v>
      </c>
      <c r="C845" s="41">
        <v>0</v>
      </c>
      <c r="D845" s="41">
        <v>50000000</v>
      </c>
      <c r="E845" s="41">
        <v>0</v>
      </c>
      <c r="F845" s="41">
        <v>50000000</v>
      </c>
      <c r="G845" s="41">
        <v>0</v>
      </c>
      <c r="H845" s="41">
        <v>50000000</v>
      </c>
      <c r="I845" s="41">
        <v>0</v>
      </c>
      <c r="J845" s="41">
        <v>40000000</v>
      </c>
      <c r="K845" s="41">
        <v>0</v>
      </c>
      <c r="L845" s="41">
        <v>10000000</v>
      </c>
      <c r="M845" s="41">
        <v>0</v>
      </c>
      <c r="N845" s="41">
        <v>68779166.666665927</v>
      </c>
      <c r="O845" s="41">
        <v>79166.666666666672</v>
      </c>
      <c r="P845" s="41">
        <v>75000000</v>
      </c>
      <c r="Q845" s="41">
        <v>0</v>
      </c>
      <c r="R845" s="41">
        <v>50000000</v>
      </c>
      <c r="S845" s="41">
        <v>0</v>
      </c>
      <c r="T845" s="41">
        <v>35000000</v>
      </c>
      <c r="U845" s="41">
        <v>0</v>
      </c>
      <c r="V845" s="41">
        <v>448779166.66666591</v>
      </c>
      <c r="W845" s="41">
        <v>79166.666666666672</v>
      </c>
      <c r="X845" s="38">
        <f t="shared" si="72"/>
        <v>0.89755833333333179</v>
      </c>
      <c r="Y845" s="39">
        <f t="shared" si="73"/>
        <v>1.5833333333333335E-4</v>
      </c>
      <c r="Z845" s="39">
        <f t="shared" si="77"/>
        <v>1.7643562885372586E-4</v>
      </c>
      <c r="AA845" s="41">
        <f t="shared" si="74"/>
        <v>51220833.333334088</v>
      </c>
      <c r="AB845" s="39">
        <f t="shared" si="75"/>
        <v>1.5455950540958043E-3</v>
      </c>
      <c r="AC845" s="38">
        <f t="shared" si="76"/>
        <v>0.20065323776293975</v>
      </c>
      <c r="AD845" s="3"/>
    </row>
    <row r="846" spans="1:30" x14ac:dyDescent="0.25">
      <c r="A846" s="37">
        <v>46482</v>
      </c>
      <c r="B846" s="41">
        <v>20000000</v>
      </c>
      <c r="C846" s="41">
        <v>0</v>
      </c>
      <c r="D846" s="41">
        <v>50000000</v>
      </c>
      <c r="E846" s="41">
        <v>0</v>
      </c>
      <c r="F846" s="41">
        <v>50000000</v>
      </c>
      <c r="G846" s="41">
        <v>0</v>
      </c>
      <c r="H846" s="41">
        <v>50000000</v>
      </c>
      <c r="I846" s="41">
        <v>0</v>
      </c>
      <c r="J846" s="41">
        <v>40000000</v>
      </c>
      <c r="K846" s="41">
        <v>0</v>
      </c>
      <c r="L846" s="41">
        <v>10000000</v>
      </c>
      <c r="M846" s="41">
        <v>0</v>
      </c>
      <c r="N846" s="41">
        <v>68858333.333332598</v>
      </c>
      <c r="O846" s="41">
        <v>79166.666666666672</v>
      </c>
      <c r="P846" s="41">
        <v>75000000</v>
      </c>
      <c r="Q846" s="41">
        <v>0</v>
      </c>
      <c r="R846" s="41">
        <v>50000000</v>
      </c>
      <c r="S846" s="41">
        <v>0</v>
      </c>
      <c r="T846" s="41">
        <v>35000000</v>
      </c>
      <c r="U846" s="41">
        <v>0</v>
      </c>
      <c r="V846" s="41">
        <v>448858333.3333326</v>
      </c>
      <c r="W846" s="41">
        <v>79166.666666666672</v>
      </c>
      <c r="X846" s="38">
        <f t="shared" si="72"/>
        <v>0.89771666666666516</v>
      </c>
      <c r="Y846" s="39">
        <f t="shared" si="73"/>
        <v>1.5833333333333335E-4</v>
      </c>
      <c r="Z846" s="39">
        <f t="shared" si="77"/>
        <v>1.7640450481398639E-4</v>
      </c>
      <c r="AA846" s="41">
        <f t="shared" si="74"/>
        <v>51141666.666667402</v>
      </c>
      <c r="AB846" s="39">
        <f t="shared" si="75"/>
        <v>1.547987616099049E-3</v>
      </c>
      <c r="AC846" s="38">
        <f t="shared" si="76"/>
        <v>0.20061074827809147</v>
      </c>
      <c r="AD846" s="3"/>
    </row>
    <row r="847" spans="1:30" x14ac:dyDescent="0.25">
      <c r="A847" s="37">
        <v>46483</v>
      </c>
      <c r="B847" s="41">
        <v>20000000</v>
      </c>
      <c r="C847" s="41">
        <v>0</v>
      </c>
      <c r="D847" s="41">
        <v>50000000</v>
      </c>
      <c r="E847" s="41">
        <v>0</v>
      </c>
      <c r="F847" s="41">
        <v>50000000</v>
      </c>
      <c r="G847" s="41">
        <v>0</v>
      </c>
      <c r="H847" s="41">
        <v>50000000</v>
      </c>
      <c r="I847" s="41">
        <v>0</v>
      </c>
      <c r="J847" s="41">
        <v>40000000</v>
      </c>
      <c r="K847" s="41">
        <v>0</v>
      </c>
      <c r="L847" s="41">
        <v>10000000</v>
      </c>
      <c r="M847" s="41">
        <v>0</v>
      </c>
      <c r="N847" s="41">
        <v>68937499.99999927</v>
      </c>
      <c r="O847" s="41">
        <v>79166.666666666672</v>
      </c>
      <c r="P847" s="41">
        <v>75000000</v>
      </c>
      <c r="Q847" s="41">
        <v>0</v>
      </c>
      <c r="R847" s="41">
        <v>50000000</v>
      </c>
      <c r="S847" s="41">
        <v>0</v>
      </c>
      <c r="T847" s="41">
        <v>35000000</v>
      </c>
      <c r="U847" s="41">
        <v>0</v>
      </c>
      <c r="V847" s="41">
        <v>448937499.99999928</v>
      </c>
      <c r="W847" s="41">
        <v>79166.666666666672</v>
      </c>
      <c r="X847" s="38">
        <f t="shared" si="72"/>
        <v>0.89787499999999854</v>
      </c>
      <c r="Y847" s="39">
        <f t="shared" si="73"/>
        <v>1.5833333333333335E-4</v>
      </c>
      <c r="Z847" s="39">
        <f t="shared" si="77"/>
        <v>1.7637339175315182E-4</v>
      </c>
      <c r="AA847" s="41">
        <f t="shared" si="74"/>
        <v>51062500.000000715</v>
      </c>
      <c r="AB847" s="39">
        <f t="shared" si="75"/>
        <v>1.5503875968992031E-3</v>
      </c>
      <c r="AC847" s="38">
        <f t="shared" si="76"/>
        <v>0.20056827678422234</v>
      </c>
      <c r="AD847" s="3"/>
    </row>
    <row r="848" spans="1:30" x14ac:dyDescent="0.25">
      <c r="A848" s="37">
        <v>46484</v>
      </c>
      <c r="B848" s="41">
        <v>20000000</v>
      </c>
      <c r="C848" s="41">
        <v>0</v>
      </c>
      <c r="D848" s="41">
        <v>50000000</v>
      </c>
      <c r="E848" s="41">
        <v>0</v>
      </c>
      <c r="F848" s="41">
        <v>50000000</v>
      </c>
      <c r="G848" s="41">
        <v>0</v>
      </c>
      <c r="H848" s="41">
        <v>50000000</v>
      </c>
      <c r="I848" s="41">
        <v>0</v>
      </c>
      <c r="J848" s="41">
        <v>40000000</v>
      </c>
      <c r="K848" s="41">
        <v>0</v>
      </c>
      <c r="L848" s="41">
        <v>10000000</v>
      </c>
      <c r="M848" s="41">
        <v>0</v>
      </c>
      <c r="N848" s="41">
        <v>69016666.666665941</v>
      </c>
      <c r="O848" s="41">
        <v>79166.666666666672</v>
      </c>
      <c r="P848" s="41">
        <v>75000000</v>
      </c>
      <c r="Q848" s="41">
        <v>0</v>
      </c>
      <c r="R848" s="41">
        <v>50000000</v>
      </c>
      <c r="S848" s="41">
        <v>0</v>
      </c>
      <c r="T848" s="41">
        <v>35000000</v>
      </c>
      <c r="U848" s="41">
        <v>0</v>
      </c>
      <c r="V848" s="41">
        <v>449016666.66666591</v>
      </c>
      <c r="W848" s="41">
        <v>79166.666666666672</v>
      </c>
      <c r="X848" s="38">
        <f t="shared" si="72"/>
        <v>0.8980333333333318</v>
      </c>
      <c r="Y848" s="39">
        <f t="shared" si="73"/>
        <v>1.5833333333333335E-4</v>
      </c>
      <c r="Z848" s="39">
        <f t="shared" si="77"/>
        <v>1.7634228966541401E-4</v>
      </c>
      <c r="AA848" s="41">
        <f t="shared" si="74"/>
        <v>50983333.333334088</v>
      </c>
      <c r="AB848" s="39">
        <f t="shared" si="75"/>
        <v>1.5527950310558777E-3</v>
      </c>
      <c r="AC848" s="38">
        <f t="shared" si="76"/>
        <v>0.20052582326990817</v>
      </c>
      <c r="AD848" s="3"/>
    </row>
    <row r="849" spans="1:30" x14ac:dyDescent="0.25">
      <c r="A849" s="37">
        <v>46485</v>
      </c>
      <c r="B849" s="41">
        <v>20000000</v>
      </c>
      <c r="C849" s="41">
        <v>0</v>
      </c>
      <c r="D849" s="41">
        <v>50000000</v>
      </c>
      <c r="E849" s="41">
        <v>0</v>
      </c>
      <c r="F849" s="41">
        <v>50000000</v>
      </c>
      <c r="G849" s="41">
        <v>0</v>
      </c>
      <c r="H849" s="41">
        <v>50000000</v>
      </c>
      <c r="I849" s="41">
        <v>0</v>
      </c>
      <c r="J849" s="41">
        <v>40000000</v>
      </c>
      <c r="K849" s="41">
        <v>0</v>
      </c>
      <c r="L849" s="41">
        <v>10000000</v>
      </c>
      <c r="M849" s="41">
        <v>0</v>
      </c>
      <c r="N849" s="41">
        <v>69095833.333332613</v>
      </c>
      <c r="O849" s="41">
        <v>79166.666666666672</v>
      </c>
      <c r="P849" s="41">
        <v>75000000</v>
      </c>
      <c r="Q849" s="41">
        <v>0</v>
      </c>
      <c r="R849" s="41">
        <v>50000000</v>
      </c>
      <c r="S849" s="41">
        <v>0</v>
      </c>
      <c r="T849" s="41">
        <v>35000000</v>
      </c>
      <c r="U849" s="41">
        <v>0</v>
      </c>
      <c r="V849" s="41">
        <v>449095833.3333326</v>
      </c>
      <c r="W849" s="41">
        <v>79166.666666666672</v>
      </c>
      <c r="X849" s="38">
        <f t="shared" si="72"/>
        <v>0.89819166666666517</v>
      </c>
      <c r="Y849" s="39">
        <f t="shared" si="73"/>
        <v>1.5833333333333335E-4</v>
      </c>
      <c r="Z849" s="39">
        <f t="shared" si="77"/>
        <v>1.7631119854496894E-4</v>
      </c>
      <c r="AA849" s="41">
        <f t="shared" si="74"/>
        <v>50904166.666667402</v>
      </c>
      <c r="AB849" s="39">
        <f t="shared" si="75"/>
        <v>1.5552099533436791E-3</v>
      </c>
      <c r="AC849" s="38">
        <f t="shared" si="76"/>
        <v>0.20048338772373428</v>
      </c>
      <c r="AD849" s="3"/>
    </row>
    <row r="850" spans="1:30" x14ac:dyDescent="0.25">
      <c r="A850" s="37">
        <v>46486</v>
      </c>
      <c r="B850" s="41">
        <v>20000000</v>
      </c>
      <c r="C850" s="41">
        <v>0</v>
      </c>
      <c r="D850" s="41">
        <v>50000000</v>
      </c>
      <c r="E850" s="41">
        <v>0</v>
      </c>
      <c r="F850" s="41">
        <v>50000000</v>
      </c>
      <c r="G850" s="41">
        <v>0</v>
      </c>
      <c r="H850" s="41">
        <v>50000000</v>
      </c>
      <c r="I850" s="41">
        <v>0</v>
      </c>
      <c r="J850" s="41">
        <v>40000000</v>
      </c>
      <c r="K850" s="41">
        <v>0</v>
      </c>
      <c r="L850" s="41">
        <v>10000000</v>
      </c>
      <c r="M850" s="41">
        <v>0</v>
      </c>
      <c r="N850" s="41">
        <v>69174999.999999285</v>
      </c>
      <c r="O850" s="41">
        <v>79166.666666666672</v>
      </c>
      <c r="P850" s="41">
        <v>75000000</v>
      </c>
      <c r="Q850" s="41">
        <v>0</v>
      </c>
      <c r="R850" s="41">
        <v>50000000</v>
      </c>
      <c r="S850" s="41">
        <v>0</v>
      </c>
      <c r="T850" s="41">
        <v>35000000</v>
      </c>
      <c r="U850" s="41">
        <v>0</v>
      </c>
      <c r="V850" s="41">
        <v>449174999.99999928</v>
      </c>
      <c r="W850" s="41">
        <v>79166.666666666672</v>
      </c>
      <c r="X850" s="38">
        <f t="shared" si="72"/>
        <v>0.89834999999999854</v>
      </c>
      <c r="Y850" s="39">
        <f t="shared" si="73"/>
        <v>1.5833333333333335E-4</v>
      </c>
      <c r="Z850" s="39">
        <f t="shared" si="77"/>
        <v>1.7628011838601666E-4</v>
      </c>
      <c r="AA850" s="41">
        <f t="shared" si="74"/>
        <v>50825000.000000715</v>
      </c>
      <c r="AB850" s="39">
        <f t="shared" si="75"/>
        <v>1.5576323987538724E-3</v>
      </c>
      <c r="AC850" s="38">
        <f t="shared" si="76"/>
        <v>0.20044097013429582</v>
      </c>
      <c r="AD850" s="3"/>
    </row>
    <row r="851" spans="1:30" x14ac:dyDescent="0.25">
      <c r="A851" s="37">
        <v>46487</v>
      </c>
      <c r="B851" s="41">
        <v>20000000</v>
      </c>
      <c r="C851" s="41">
        <v>0</v>
      </c>
      <c r="D851" s="41">
        <v>50000000</v>
      </c>
      <c r="E851" s="41">
        <v>0</v>
      </c>
      <c r="F851" s="41">
        <v>50000000</v>
      </c>
      <c r="G851" s="41">
        <v>0</v>
      </c>
      <c r="H851" s="41">
        <v>50000000</v>
      </c>
      <c r="I851" s="41">
        <v>0</v>
      </c>
      <c r="J851" s="41">
        <v>40000000</v>
      </c>
      <c r="K851" s="41">
        <v>0</v>
      </c>
      <c r="L851" s="41">
        <v>10000000</v>
      </c>
      <c r="M851" s="41">
        <v>0</v>
      </c>
      <c r="N851" s="41">
        <v>69254166.666665956</v>
      </c>
      <c r="O851" s="41">
        <v>79166.666666666672</v>
      </c>
      <c r="P851" s="41">
        <v>75000000</v>
      </c>
      <c r="Q851" s="41">
        <v>0</v>
      </c>
      <c r="R851" s="41">
        <v>50000000</v>
      </c>
      <c r="S851" s="41">
        <v>0</v>
      </c>
      <c r="T851" s="41">
        <v>35000000</v>
      </c>
      <c r="U851" s="41">
        <v>0</v>
      </c>
      <c r="V851" s="41">
        <v>449254166.66666597</v>
      </c>
      <c r="W851" s="41">
        <v>79166.666666666672</v>
      </c>
      <c r="X851" s="38">
        <f t="shared" si="72"/>
        <v>0.89850833333333191</v>
      </c>
      <c r="Y851" s="39">
        <f t="shared" si="73"/>
        <v>1.5833333333333335E-4</v>
      </c>
      <c r="Z851" s="39">
        <f t="shared" si="77"/>
        <v>1.7624904918276128E-4</v>
      </c>
      <c r="AA851" s="41">
        <f t="shared" si="74"/>
        <v>50745833.333334029</v>
      </c>
      <c r="AB851" s="39">
        <f t="shared" si="75"/>
        <v>1.5600624024960786E-3</v>
      </c>
      <c r="AC851" s="38">
        <f t="shared" si="76"/>
        <v>0.20039857049019755</v>
      </c>
      <c r="AD851" s="3"/>
    </row>
    <row r="852" spans="1:30" x14ac:dyDescent="0.25">
      <c r="A852" s="37">
        <v>46488</v>
      </c>
      <c r="B852" s="41">
        <v>20000000</v>
      </c>
      <c r="C852" s="41">
        <v>0</v>
      </c>
      <c r="D852" s="41">
        <v>50000000</v>
      </c>
      <c r="E852" s="41">
        <v>0</v>
      </c>
      <c r="F852" s="41">
        <v>50000000</v>
      </c>
      <c r="G852" s="41">
        <v>0</v>
      </c>
      <c r="H852" s="41">
        <v>50000000</v>
      </c>
      <c r="I852" s="41">
        <v>0</v>
      </c>
      <c r="J852" s="41">
        <v>40000000</v>
      </c>
      <c r="K852" s="41">
        <v>0</v>
      </c>
      <c r="L852" s="41">
        <v>10000000</v>
      </c>
      <c r="M852" s="41">
        <v>0</v>
      </c>
      <c r="N852" s="41">
        <v>69333333.333332628</v>
      </c>
      <c r="O852" s="41">
        <v>79166.666666666672</v>
      </c>
      <c r="P852" s="41">
        <v>75000000</v>
      </c>
      <c r="Q852" s="41">
        <v>0</v>
      </c>
      <c r="R852" s="41">
        <v>50000000</v>
      </c>
      <c r="S852" s="41">
        <v>0</v>
      </c>
      <c r="T852" s="41">
        <v>35000000</v>
      </c>
      <c r="U852" s="41">
        <v>0</v>
      </c>
      <c r="V852" s="41">
        <v>449333333.33333272</v>
      </c>
      <c r="W852" s="41">
        <v>79166.666666666672</v>
      </c>
      <c r="X852" s="38">
        <f t="shared" si="72"/>
        <v>0.89866666666666539</v>
      </c>
      <c r="Y852" s="39">
        <f t="shared" si="73"/>
        <v>1.5833333333333335E-4</v>
      </c>
      <c r="Z852" s="39">
        <f t="shared" si="77"/>
        <v>1.7621799092941106E-4</v>
      </c>
      <c r="AA852" s="41">
        <f t="shared" si="74"/>
        <v>50666666.666667283</v>
      </c>
      <c r="AB852" s="39">
        <f t="shared" si="75"/>
        <v>1.562499999999981E-3</v>
      </c>
      <c r="AC852" s="38">
        <f t="shared" si="76"/>
        <v>0.20035618878005376</v>
      </c>
      <c r="AD852" s="3"/>
    </row>
    <row r="853" spans="1:30" x14ac:dyDescent="0.25">
      <c r="A853" s="37">
        <v>46489</v>
      </c>
      <c r="B853" s="41">
        <v>20000000</v>
      </c>
      <c r="C853" s="41">
        <v>0</v>
      </c>
      <c r="D853" s="41">
        <v>50000000</v>
      </c>
      <c r="E853" s="41">
        <v>0</v>
      </c>
      <c r="F853" s="41">
        <v>50000000</v>
      </c>
      <c r="G853" s="41">
        <v>0</v>
      </c>
      <c r="H853" s="41">
        <v>50000000</v>
      </c>
      <c r="I853" s="41">
        <v>0</v>
      </c>
      <c r="J853" s="41">
        <v>40000000</v>
      </c>
      <c r="K853" s="41">
        <v>0</v>
      </c>
      <c r="L853" s="41">
        <v>10000000</v>
      </c>
      <c r="M853" s="41">
        <v>0</v>
      </c>
      <c r="N853" s="41">
        <v>69412499.9999993</v>
      </c>
      <c r="O853" s="41">
        <v>79166.666666666672</v>
      </c>
      <c r="P853" s="41">
        <v>75000000</v>
      </c>
      <c r="Q853" s="41">
        <v>0</v>
      </c>
      <c r="R853" s="41">
        <v>50000000</v>
      </c>
      <c r="S853" s="41">
        <v>0</v>
      </c>
      <c r="T853" s="41">
        <v>35000000</v>
      </c>
      <c r="U853" s="41">
        <v>0</v>
      </c>
      <c r="V853" s="41">
        <v>449412499.99999928</v>
      </c>
      <c r="W853" s="41">
        <v>79166.666666666672</v>
      </c>
      <c r="X853" s="38">
        <f t="shared" si="72"/>
        <v>0.89882499999999854</v>
      </c>
      <c r="Y853" s="39">
        <f t="shared" si="73"/>
        <v>1.5833333333333335E-4</v>
      </c>
      <c r="Z853" s="39">
        <f t="shared" si="77"/>
        <v>1.761869436201783E-4</v>
      </c>
      <c r="AA853" s="41">
        <f t="shared" si="74"/>
        <v>50587500.000000715</v>
      </c>
      <c r="AB853" s="39">
        <f t="shared" si="75"/>
        <v>1.5649452269170358E-3</v>
      </c>
      <c r="AC853" s="38">
        <f t="shared" si="76"/>
        <v>0.20031382499248862</v>
      </c>
      <c r="AD853" s="3"/>
    </row>
    <row r="854" spans="1:30" x14ac:dyDescent="0.25">
      <c r="A854" s="37">
        <v>46490</v>
      </c>
      <c r="B854" s="41">
        <v>20000000</v>
      </c>
      <c r="C854" s="41">
        <v>0</v>
      </c>
      <c r="D854" s="41">
        <v>50000000</v>
      </c>
      <c r="E854" s="41">
        <v>0</v>
      </c>
      <c r="F854" s="41">
        <v>50000000</v>
      </c>
      <c r="G854" s="41">
        <v>0</v>
      </c>
      <c r="H854" s="41">
        <v>50000000</v>
      </c>
      <c r="I854" s="41">
        <v>0</v>
      </c>
      <c r="J854" s="41">
        <v>40000000</v>
      </c>
      <c r="K854" s="41">
        <v>0</v>
      </c>
      <c r="L854" s="41">
        <v>10000000</v>
      </c>
      <c r="M854" s="41">
        <v>0</v>
      </c>
      <c r="N854" s="41">
        <v>69491666.666665971</v>
      </c>
      <c r="O854" s="41">
        <v>79166.666666666672</v>
      </c>
      <c r="P854" s="41">
        <v>75000000</v>
      </c>
      <c r="Q854" s="41">
        <v>0</v>
      </c>
      <c r="R854" s="41">
        <v>50000000</v>
      </c>
      <c r="S854" s="41">
        <v>0</v>
      </c>
      <c r="T854" s="41">
        <v>35000000</v>
      </c>
      <c r="U854" s="41">
        <v>0</v>
      </c>
      <c r="V854" s="41">
        <v>449491666.66666597</v>
      </c>
      <c r="W854" s="41">
        <v>79166.666666666672</v>
      </c>
      <c r="X854" s="38">
        <f t="shared" si="72"/>
        <v>0.89898333333333191</v>
      </c>
      <c r="Y854" s="39">
        <f t="shared" si="73"/>
        <v>1.5833333333333335E-4</v>
      </c>
      <c r="Z854" s="39">
        <f t="shared" si="77"/>
        <v>1.7615590724927944E-4</v>
      </c>
      <c r="AA854" s="41">
        <f t="shared" si="74"/>
        <v>50508333.333334029</v>
      </c>
      <c r="AB854" s="39">
        <f t="shared" si="75"/>
        <v>1.5673981191222355E-3</v>
      </c>
      <c r="AC854" s="38">
        <f t="shared" si="76"/>
        <v>0.20027147911613558</v>
      </c>
      <c r="AD854" s="3"/>
    </row>
    <row r="855" spans="1:30" x14ac:dyDescent="0.25">
      <c r="A855" s="37">
        <v>46491</v>
      </c>
      <c r="B855" s="41">
        <v>20000000</v>
      </c>
      <c r="C855" s="41">
        <v>0</v>
      </c>
      <c r="D855" s="41">
        <v>50000000</v>
      </c>
      <c r="E855" s="41">
        <v>0</v>
      </c>
      <c r="F855" s="41">
        <v>50000000</v>
      </c>
      <c r="G855" s="41">
        <v>0</v>
      </c>
      <c r="H855" s="41">
        <v>50000000</v>
      </c>
      <c r="I855" s="41">
        <v>0</v>
      </c>
      <c r="J855" s="41">
        <v>40000000</v>
      </c>
      <c r="K855" s="41">
        <v>0</v>
      </c>
      <c r="L855" s="41">
        <v>10000000</v>
      </c>
      <c r="M855" s="41">
        <v>0</v>
      </c>
      <c r="N855" s="41">
        <v>69570833.333332643</v>
      </c>
      <c r="O855" s="41">
        <v>79166.666666666672</v>
      </c>
      <c r="P855" s="41">
        <v>75000000</v>
      </c>
      <c r="Q855" s="41">
        <v>0</v>
      </c>
      <c r="R855" s="41">
        <v>50000000</v>
      </c>
      <c r="S855" s="41">
        <v>0</v>
      </c>
      <c r="T855" s="41">
        <v>35000000</v>
      </c>
      <c r="U855" s="41">
        <v>0</v>
      </c>
      <c r="V855" s="41">
        <v>449570833.33333272</v>
      </c>
      <c r="W855" s="41">
        <v>79166.666666666672</v>
      </c>
      <c r="X855" s="38">
        <f t="shared" ref="X855:X918" si="78">V855/$B$6</f>
        <v>0.8991416666666654</v>
      </c>
      <c r="Y855" s="39">
        <f t="shared" ref="Y855:Y918" si="79">W855/$B$6</f>
        <v>1.5833333333333335E-4</v>
      </c>
      <c r="Z855" s="39">
        <f t="shared" si="77"/>
        <v>1.7612488181093487E-4</v>
      </c>
      <c r="AA855" s="41">
        <f t="shared" ref="AA855:AA918" si="80">$B$6-V855</f>
        <v>50429166.666667283</v>
      </c>
      <c r="AB855" s="39">
        <f t="shared" ref="AB855:AB918" si="81">W855/AA855</f>
        <v>1.5698587127158366E-3</v>
      </c>
      <c r="AC855" s="38">
        <f t="shared" ref="AC855:AC918" si="82" xml:space="preserve"> P855/(V855-P855)</f>
        <v>0.20022915113963791</v>
      </c>
      <c r="AD855" s="3"/>
    </row>
    <row r="856" spans="1:30" x14ac:dyDescent="0.25">
      <c r="A856" s="37">
        <v>46492</v>
      </c>
      <c r="B856" s="41">
        <v>20000000</v>
      </c>
      <c r="C856" s="41">
        <v>0</v>
      </c>
      <c r="D856" s="41">
        <v>50000000</v>
      </c>
      <c r="E856" s="41">
        <v>0</v>
      </c>
      <c r="F856" s="41">
        <v>50000000</v>
      </c>
      <c r="G856" s="41">
        <v>0</v>
      </c>
      <c r="H856" s="41">
        <v>50000000</v>
      </c>
      <c r="I856" s="41">
        <v>0</v>
      </c>
      <c r="J856" s="41">
        <v>40000000</v>
      </c>
      <c r="K856" s="41">
        <v>0</v>
      </c>
      <c r="L856" s="41">
        <v>10000000</v>
      </c>
      <c r="M856" s="41">
        <v>0</v>
      </c>
      <c r="N856" s="41">
        <v>69649999.999999315</v>
      </c>
      <c r="O856" s="41">
        <v>79166.666666666672</v>
      </c>
      <c r="P856" s="41">
        <v>75000000</v>
      </c>
      <c r="Q856" s="41">
        <v>0</v>
      </c>
      <c r="R856" s="41">
        <v>50000000</v>
      </c>
      <c r="S856" s="41">
        <v>0</v>
      </c>
      <c r="T856" s="41">
        <v>35000000</v>
      </c>
      <c r="U856" s="41">
        <v>0</v>
      </c>
      <c r="V856" s="41">
        <v>449649999.99999928</v>
      </c>
      <c r="W856" s="41">
        <v>79166.666666666672</v>
      </c>
      <c r="X856" s="38">
        <f t="shared" si="78"/>
        <v>0.89929999999999854</v>
      </c>
      <c r="Y856" s="39">
        <f t="shared" si="79"/>
        <v>1.5833333333333335E-4</v>
      </c>
      <c r="Z856" s="39">
        <f t="shared" ref="Z856:Z919" si="83">W856/V855</f>
        <v>1.7609386729936909E-4</v>
      </c>
      <c r="AA856" s="41">
        <f t="shared" si="80"/>
        <v>50350000.000000715</v>
      </c>
      <c r="AB856" s="39">
        <f t="shared" si="81"/>
        <v>1.572327044025135E-3</v>
      </c>
      <c r="AC856" s="38">
        <f t="shared" si="82"/>
        <v>0.20018684105164858</v>
      </c>
      <c r="AD856" s="3"/>
    </row>
    <row r="857" spans="1:30" x14ac:dyDescent="0.25">
      <c r="A857" s="37">
        <v>46493</v>
      </c>
      <c r="B857" s="41">
        <v>20000000</v>
      </c>
      <c r="C857" s="41">
        <v>0</v>
      </c>
      <c r="D857" s="41">
        <v>50000000</v>
      </c>
      <c r="E857" s="41">
        <v>0</v>
      </c>
      <c r="F857" s="41">
        <v>50000000</v>
      </c>
      <c r="G857" s="41">
        <v>0</v>
      </c>
      <c r="H857" s="41">
        <v>50000000</v>
      </c>
      <c r="I857" s="41">
        <v>0</v>
      </c>
      <c r="J857" s="41">
        <v>40000000</v>
      </c>
      <c r="K857" s="41">
        <v>0</v>
      </c>
      <c r="L857" s="41">
        <v>10000000</v>
      </c>
      <c r="M857" s="41">
        <v>0</v>
      </c>
      <c r="N857" s="41">
        <v>69729166.666665986</v>
      </c>
      <c r="O857" s="41">
        <v>79166.666666666672</v>
      </c>
      <c r="P857" s="41">
        <v>75000000</v>
      </c>
      <c r="Q857" s="41">
        <v>0</v>
      </c>
      <c r="R857" s="41">
        <v>50000000</v>
      </c>
      <c r="S857" s="41">
        <v>0</v>
      </c>
      <c r="T857" s="41">
        <v>35000000</v>
      </c>
      <c r="U857" s="41">
        <v>0</v>
      </c>
      <c r="V857" s="41">
        <v>449729166.66666597</v>
      </c>
      <c r="W857" s="41">
        <v>79166.666666666672</v>
      </c>
      <c r="X857" s="38">
        <f t="shared" si="78"/>
        <v>0.89945833333333192</v>
      </c>
      <c r="Y857" s="39">
        <f t="shared" si="79"/>
        <v>1.5833333333333335E-4</v>
      </c>
      <c r="Z857" s="39">
        <f t="shared" si="83"/>
        <v>1.7606286370881085E-4</v>
      </c>
      <c r="AA857" s="41">
        <f t="shared" si="80"/>
        <v>50270833.333334029</v>
      </c>
      <c r="AB857" s="39">
        <f t="shared" si="81"/>
        <v>1.5748031496062775E-3</v>
      </c>
      <c r="AC857" s="38">
        <f t="shared" si="82"/>
        <v>0.20014454884082986</v>
      </c>
      <c r="AD857" s="3"/>
    </row>
    <row r="858" spans="1:30" x14ac:dyDescent="0.25">
      <c r="A858" s="37">
        <v>46494</v>
      </c>
      <c r="B858" s="41">
        <v>20000000</v>
      </c>
      <c r="C858" s="41">
        <v>0</v>
      </c>
      <c r="D858" s="41">
        <v>50000000</v>
      </c>
      <c r="E858" s="41">
        <v>0</v>
      </c>
      <c r="F858" s="41">
        <v>50000000</v>
      </c>
      <c r="G858" s="41">
        <v>0</v>
      </c>
      <c r="H858" s="41">
        <v>50000000</v>
      </c>
      <c r="I858" s="41">
        <v>0</v>
      </c>
      <c r="J858" s="41">
        <v>40000000</v>
      </c>
      <c r="K858" s="41">
        <v>0</v>
      </c>
      <c r="L858" s="41">
        <v>10000000</v>
      </c>
      <c r="M858" s="41">
        <v>0</v>
      </c>
      <c r="N858" s="41">
        <v>69808333.333332658</v>
      </c>
      <c r="O858" s="41">
        <v>79166.666666666672</v>
      </c>
      <c r="P858" s="41">
        <v>75000000</v>
      </c>
      <c r="Q858" s="41">
        <v>0</v>
      </c>
      <c r="R858" s="41">
        <v>50000000</v>
      </c>
      <c r="S858" s="41">
        <v>0</v>
      </c>
      <c r="T858" s="41">
        <v>35000000</v>
      </c>
      <c r="U858" s="41">
        <v>0</v>
      </c>
      <c r="V858" s="41">
        <v>449808333.33333272</v>
      </c>
      <c r="W858" s="41">
        <v>79166.666666666672</v>
      </c>
      <c r="X858" s="38">
        <f t="shared" si="78"/>
        <v>0.8996166666666654</v>
      </c>
      <c r="Y858" s="39">
        <f t="shared" si="79"/>
        <v>1.5833333333333335E-4</v>
      </c>
      <c r="Z858" s="39">
        <f t="shared" si="83"/>
        <v>1.7603187103349267E-4</v>
      </c>
      <c r="AA858" s="41">
        <f t="shared" si="80"/>
        <v>50191666.666667283</v>
      </c>
      <c r="AB858" s="39">
        <f t="shared" si="81"/>
        <v>1.5772870662460374E-3</v>
      </c>
      <c r="AC858" s="38">
        <f t="shared" si="82"/>
        <v>0.20010227449585377</v>
      </c>
      <c r="AD858" s="3"/>
    </row>
    <row r="859" spans="1:30" x14ac:dyDescent="0.25">
      <c r="A859" s="37">
        <v>46495</v>
      </c>
      <c r="B859" s="41">
        <v>20000000</v>
      </c>
      <c r="C859" s="41">
        <v>0</v>
      </c>
      <c r="D859" s="41">
        <v>50000000</v>
      </c>
      <c r="E859" s="41">
        <v>0</v>
      </c>
      <c r="F859" s="41">
        <v>50000000</v>
      </c>
      <c r="G859" s="41">
        <v>0</v>
      </c>
      <c r="H859" s="41">
        <v>50000000</v>
      </c>
      <c r="I859" s="41">
        <v>0</v>
      </c>
      <c r="J859" s="41">
        <v>40000000</v>
      </c>
      <c r="K859" s="41">
        <v>0</v>
      </c>
      <c r="L859" s="41">
        <v>10000000</v>
      </c>
      <c r="M859" s="41">
        <v>0</v>
      </c>
      <c r="N859" s="41">
        <v>69887499.999999329</v>
      </c>
      <c r="O859" s="41">
        <v>79166.666666666672</v>
      </c>
      <c r="P859" s="41">
        <v>75000000</v>
      </c>
      <c r="Q859" s="41">
        <v>0</v>
      </c>
      <c r="R859" s="41">
        <v>50000000</v>
      </c>
      <c r="S859" s="41">
        <v>0</v>
      </c>
      <c r="T859" s="41">
        <v>35000000</v>
      </c>
      <c r="U859" s="41">
        <v>0</v>
      </c>
      <c r="V859" s="41">
        <v>449887499.99999928</v>
      </c>
      <c r="W859" s="41">
        <v>79166.666666666672</v>
      </c>
      <c r="X859" s="38">
        <f t="shared" si="78"/>
        <v>0.89977499999999855</v>
      </c>
      <c r="Y859" s="39">
        <f t="shared" si="79"/>
        <v>1.5833333333333335E-4</v>
      </c>
      <c r="Z859" s="39">
        <f t="shared" si="83"/>
        <v>1.7600088926765129E-4</v>
      </c>
      <c r="AA859" s="41">
        <f t="shared" si="80"/>
        <v>50112500.000000715</v>
      </c>
      <c r="AB859" s="39">
        <f t="shared" si="81"/>
        <v>1.5797788309636427E-3</v>
      </c>
      <c r="AC859" s="38">
        <f t="shared" si="82"/>
        <v>0.20006001800540199</v>
      </c>
      <c r="AD859" s="3"/>
    </row>
    <row r="860" spans="1:30" x14ac:dyDescent="0.25">
      <c r="A860" s="37">
        <v>46496</v>
      </c>
      <c r="B860" s="41">
        <v>20000000</v>
      </c>
      <c r="C860" s="41">
        <v>0</v>
      </c>
      <c r="D860" s="41">
        <v>50000000</v>
      </c>
      <c r="E860" s="41">
        <v>0</v>
      </c>
      <c r="F860" s="41">
        <v>50000000</v>
      </c>
      <c r="G860" s="41">
        <v>0</v>
      </c>
      <c r="H860" s="41">
        <v>50000000</v>
      </c>
      <c r="I860" s="41">
        <v>0</v>
      </c>
      <c r="J860" s="41">
        <v>40000000</v>
      </c>
      <c r="K860" s="41">
        <v>0</v>
      </c>
      <c r="L860" s="41">
        <v>10000000</v>
      </c>
      <c r="M860" s="41">
        <v>0</v>
      </c>
      <c r="N860" s="41">
        <v>69966666.666666001</v>
      </c>
      <c r="O860" s="41">
        <v>79166.666666666672</v>
      </c>
      <c r="P860" s="41">
        <v>75000000</v>
      </c>
      <c r="Q860" s="41">
        <v>0</v>
      </c>
      <c r="R860" s="41">
        <v>50000000</v>
      </c>
      <c r="S860" s="41">
        <v>0</v>
      </c>
      <c r="T860" s="41">
        <v>35000000</v>
      </c>
      <c r="U860" s="41">
        <v>0</v>
      </c>
      <c r="V860" s="41">
        <v>449966666.66666597</v>
      </c>
      <c r="W860" s="41">
        <v>79166.666666666672</v>
      </c>
      <c r="X860" s="38">
        <f t="shared" si="78"/>
        <v>0.89993333333333192</v>
      </c>
      <c r="Y860" s="39">
        <f t="shared" si="79"/>
        <v>1.5833333333333335E-4</v>
      </c>
      <c r="Z860" s="39">
        <f t="shared" si="83"/>
        <v>1.7596991840552759E-4</v>
      </c>
      <c r="AA860" s="41">
        <f t="shared" si="80"/>
        <v>50033333.333334029</v>
      </c>
      <c r="AB860" s="39">
        <f t="shared" si="81"/>
        <v>1.5822784810126363E-3</v>
      </c>
      <c r="AC860" s="38">
        <f t="shared" si="82"/>
        <v>0.20001777935816553</v>
      </c>
      <c r="AD860" s="3"/>
    </row>
    <row r="861" spans="1:30" x14ac:dyDescent="0.25">
      <c r="A861" s="37">
        <v>46497</v>
      </c>
      <c r="B861" s="41">
        <v>20000000</v>
      </c>
      <c r="C861" s="41">
        <v>0</v>
      </c>
      <c r="D861" s="41">
        <v>50000000</v>
      </c>
      <c r="E861" s="41">
        <v>0</v>
      </c>
      <c r="F861" s="41">
        <v>50000000</v>
      </c>
      <c r="G861" s="41">
        <v>0</v>
      </c>
      <c r="H861" s="41">
        <v>50000000</v>
      </c>
      <c r="I861" s="41">
        <v>0</v>
      </c>
      <c r="J861" s="41">
        <v>40000000</v>
      </c>
      <c r="K861" s="41">
        <v>0</v>
      </c>
      <c r="L861" s="41">
        <v>10000000</v>
      </c>
      <c r="M861" s="41">
        <v>0</v>
      </c>
      <c r="N861" s="41">
        <v>70045833.333332673</v>
      </c>
      <c r="O861" s="41">
        <v>79166.666666666672</v>
      </c>
      <c r="P861" s="41">
        <v>75000000</v>
      </c>
      <c r="Q861" s="41">
        <v>0</v>
      </c>
      <c r="R861" s="41">
        <v>50000000</v>
      </c>
      <c r="S861" s="41">
        <v>0</v>
      </c>
      <c r="T861" s="41">
        <v>35000000</v>
      </c>
      <c r="U861" s="41">
        <v>0</v>
      </c>
      <c r="V861" s="41">
        <v>450045833.33333272</v>
      </c>
      <c r="W861" s="41">
        <v>79166.666666666672</v>
      </c>
      <c r="X861" s="38">
        <f t="shared" si="78"/>
        <v>0.9000916666666654</v>
      </c>
      <c r="Y861" s="39">
        <f t="shared" si="79"/>
        <v>1.5833333333333335E-4</v>
      </c>
      <c r="Z861" s="39">
        <f t="shared" si="83"/>
        <v>1.7593895844136631E-4</v>
      </c>
      <c r="AA861" s="41">
        <f t="shared" si="80"/>
        <v>49954166.666667283</v>
      </c>
      <c r="AB861" s="39">
        <f t="shared" si="81"/>
        <v>1.5847860538827064E-3</v>
      </c>
      <c r="AC861" s="38">
        <f t="shared" si="82"/>
        <v>0.1999755585428451</v>
      </c>
      <c r="AD861" s="3"/>
    </row>
    <row r="862" spans="1:30" x14ac:dyDescent="0.25">
      <c r="A862" s="37">
        <v>46498</v>
      </c>
      <c r="B862" s="41">
        <v>20000000</v>
      </c>
      <c r="C862" s="41">
        <v>0</v>
      </c>
      <c r="D862" s="41">
        <v>50000000</v>
      </c>
      <c r="E862" s="41">
        <v>0</v>
      </c>
      <c r="F862" s="41">
        <v>50000000</v>
      </c>
      <c r="G862" s="41">
        <v>0</v>
      </c>
      <c r="H862" s="41">
        <v>50000000</v>
      </c>
      <c r="I862" s="41">
        <v>0</v>
      </c>
      <c r="J862" s="41">
        <v>40000000</v>
      </c>
      <c r="K862" s="41">
        <v>0</v>
      </c>
      <c r="L862" s="41">
        <v>10000000</v>
      </c>
      <c r="M862" s="41">
        <v>0</v>
      </c>
      <c r="N862" s="41">
        <v>70124999.999999344</v>
      </c>
      <c r="O862" s="41">
        <v>79166.666666666672</v>
      </c>
      <c r="P862" s="41">
        <v>75000000</v>
      </c>
      <c r="Q862" s="41">
        <v>0</v>
      </c>
      <c r="R862" s="41">
        <v>50000000</v>
      </c>
      <c r="S862" s="41">
        <v>0</v>
      </c>
      <c r="T862" s="41">
        <v>35000000</v>
      </c>
      <c r="U862" s="41">
        <v>0</v>
      </c>
      <c r="V862" s="41">
        <v>450124999.99999928</v>
      </c>
      <c r="W862" s="41">
        <v>79166.666666666672</v>
      </c>
      <c r="X862" s="38">
        <f t="shared" si="78"/>
        <v>0.90024999999999855</v>
      </c>
      <c r="Y862" s="39">
        <f t="shared" si="79"/>
        <v>1.5833333333333335E-4</v>
      </c>
      <c r="Z862" s="39">
        <f t="shared" si="83"/>
        <v>1.7590800936941633E-4</v>
      </c>
      <c r="AA862" s="41">
        <f t="shared" si="80"/>
        <v>49875000.000000715</v>
      </c>
      <c r="AB862" s="39">
        <f t="shared" si="81"/>
        <v>1.5873015873015645E-3</v>
      </c>
      <c r="AC862" s="38">
        <f t="shared" si="82"/>
        <v>0.199933355548151</v>
      </c>
      <c r="AD862" s="3"/>
    </row>
    <row r="863" spans="1:30" x14ac:dyDescent="0.25">
      <c r="A863" s="37">
        <v>46499</v>
      </c>
      <c r="B863" s="41">
        <v>20000000</v>
      </c>
      <c r="C863" s="41">
        <v>0</v>
      </c>
      <c r="D863" s="41">
        <v>50000000</v>
      </c>
      <c r="E863" s="41">
        <v>0</v>
      </c>
      <c r="F863" s="41">
        <v>50000000</v>
      </c>
      <c r="G863" s="41">
        <v>0</v>
      </c>
      <c r="H863" s="41">
        <v>50000000</v>
      </c>
      <c r="I863" s="41">
        <v>0</v>
      </c>
      <c r="J863" s="41">
        <v>40000000</v>
      </c>
      <c r="K863" s="41">
        <v>0</v>
      </c>
      <c r="L863" s="41">
        <v>10000000</v>
      </c>
      <c r="M863" s="41">
        <v>0</v>
      </c>
      <c r="N863" s="41">
        <v>70204166.666666016</v>
      </c>
      <c r="O863" s="41">
        <v>79166.666666666672</v>
      </c>
      <c r="P863" s="41">
        <v>75000000</v>
      </c>
      <c r="Q863" s="41">
        <v>0</v>
      </c>
      <c r="R863" s="41">
        <v>50000000</v>
      </c>
      <c r="S863" s="41">
        <v>0</v>
      </c>
      <c r="T863" s="41">
        <v>35000000</v>
      </c>
      <c r="U863" s="41">
        <v>0</v>
      </c>
      <c r="V863" s="41">
        <v>450204166.66666597</v>
      </c>
      <c r="W863" s="41">
        <v>79166.666666666672</v>
      </c>
      <c r="X863" s="38">
        <f t="shared" si="78"/>
        <v>0.90040833333333192</v>
      </c>
      <c r="Y863" s="39">
        <f t="shared" si="79"/>
        <v>1.5833333333333335E-4</v>
      </c>
      <c r="Z863" s="39">
        <f t="shared" si="83"/>
        <v>1.7587707118393067E-4</v>
      </c>
      <c r="AA863" s="41">
        <f t="shared" si="80"/>
        <v>49795833.333334029</v>
      </c>
      <c r="AB863" s="39">
        <f t="shared" si="81"/>
        <v>1.5898251192368619E-3</v>
      </c>
      <c r="AC863" s="38">
        <f t="shared" si="82"/>
        <v>0.19989117036280285</v>
      </c>
      <c r="AD863" s="3"/>
    </row>
    <row r="864" spans="1:30" x14ac:dyDescent="0.25">
      <c r="A864" s="37">
        <v>46500</v>
      </c>
      <c r="B864" s="41">
        <v>20000000</v>
      </c>
      <c r="C864" s="41">
        <v>0</v>
      </c>
      <c r="D864" s="41">
        <v>50000000</v>
      </c>
      <c r="E864" s="41">
        <v>0</v>
      </c>
      <c r="F864" s="41">
        <v>50000000</v>
      </c>
      <c r="G864" s="41">
        <v>0</v>
      </c>
      <c r="H864" s="41">
        <v>50000000</v>
      </c>
      <c r="I864" s="41">
        <v>0</v>
      </c>
      <c r="J864" s="41">
        <v>40000000</v>
      </c>
      <c r="K864" s="41">
        <v>0</v>
      </c>
      <c r="L864" s="41">
        <v>10000000</v>
      </c>
      <c r="M864" s="41">
        <v>0</v>
      </c>
      <c r="N864" s="41">
        <v>70283333.333332688</v>
      </c>
      <c r="O864" s="41">
        <v>79166.666666666672</v>
      </c>
      <c r="P864" s="41">
        <v>75000000</v>
      </c>
      <c r="Q864" s="41">
        <v>0</v>
      </c>
      <c r="R864" s="41">
        <v>50000000</v>
      </c>
      <c r="S864" s="41">
        <v>0</v>
      </c>
      <c r="T864" s="41">
        <v>35000000</v>
      </c>
      <c r="U864" s="41">
        <v>0</v>
      </c>
      <c r="V864" s="41">
        <v>450283333.33333272</v>
      </c>
      <c r="W864" s="41">
        <v>79166.666666666672</v>
      </c>
      <c r="X864" s="38">
        <f t="shared" si="78"/>
        <v>0.90056666666666541</v>
      </c>
      <c r="Y864" s="39">
        <f t="shared" si="79"/>
        <v>1.5833333333333335E-4</v>
      </c>
      <c r="Z864" s="39">
        <f t="shared" si="83"/>
        <v>1.7584614387916621E-4</v>
      </c>
      <c r="AA864" s="41">
        <f t="shared" si="80"/>
        <v>49716666.666667283</v>
      </c>
      <c r="AB864" s="39">
        <f t="shared" si="81"/>
        <v>1.5923566878980695E-3</v>
      </c>
      <c r="AC864" s="38">
        <f t="shared" si="82"/>
        <v>0.19984900297552993</v>
      </c>
      <c r="AD864" s="3"/>
    </row>
    <row r="865" spans="1:30" x14ac:dyDescent="0.25">
      <c r="A865" s="37">
        <v>46501</v>
      </c>
      <c r="B865" s="41">
        <v>20000000</v>
      </c>
      <c r="C865" s="41">
        <v>0</v>
      </c>
      <c r="D865" s="41">
        <v>50000000</v>
      </c>
      <c r="E865" s="41">
        <v>0</v>
      </c>
      <c r="F865" s="41">
        <v>50000000</v>
      </c>
      <c r="G865" s="41">
        <v>0</v>
      </c>
      <c r="H865" s="41">
        <v>50000000</v>
      </c>
      <c r="I865" s="41">
        <v>0</v>
      </c>
      <c r="J865" s="41">
        <v>40000000</v>
      </c>
      <c r="K865" s="41">
        <v>0</v>
      </c>
      <c r="L865" s="41">
        <v>10000000</v>
      </c>
      <c r="M865" s="41">
        <v>0</v>
      </c>
      <c r="N865" s="41">
        <v>70362499.999999359</v>
      </c>
      <c r="O865" s="41">
        <v>79166.666666666672</v>
      </c>
      <c r="P865" s="41">
        <v>75000000</v>
      </c>
      <c r="Q865" s="41">
        <v>0</v>
      </c>
      <c r="R865" s="41">
        <v>50000000</v>
      </c>
      <c r="S865" s="41">
        <v>0</v>
      </c>
      <c r="T865" s="41">
        <v>35000000</v>
      </c>
      <c r="U865" s="41">
        <v>0</v>
      </c>
      <c r="V865" s="41">
        <v>450362499.99999928</v>
      </c>
      <c r="W865" s="41">
        <v>79166.666666666672</v>
      </c>
      <c r="X865" s="38">
        <f t="shared" si="78"/>
        <v>0.90072499999999855</v>
      </c>
      <c r="Y865" s="39">
        <f t="shared" si="79"/>
        <v>1.5833333333333335E-4</v>
      </c>
      <c r="Z865" s="39">
        <f t="shared" si="83"/>
        <v>1.7581522744938396E-4</v>
      </c>
      <c r="AA865" s="41">
        <f t="shared" si="80"/>
        <v>49637500.000000715</v>
      </c>
      <c r="AB865" s="39">
        <f t="shared" si="81"/>
        <v>1.594896331738414E-3</v>
      </c>
      <c r="AC865" s="38">
        <f t="shared" si="82"/>
        <v>0.19980685337507115</v>
      </c>
      <c r="AD865" s="3"/>
    </row>
    <row r="866" spans="1:30" x14ac:dyDescent="0.25">
      <c r="A866" s="37">
        <v>46502</v>
      </c>
      <c r="B866" s="41">
        <v>20000000</v>
      </c>
      <c r="C866" s="41">
        <v>0</v>
      </c>
      <c r="D866" s="41">
        <v>50000000</v>
      </c>
      <c r="E866" s="41">
        <v>0</v>
      </c>
      <c r="F866" s="41">
        <v>50000000</v>
      </c>
      <c r="G866" s="41">
        <v>0</v>
      </c>
      <c r="H866" s="41">
        <v>50000000</v>
      </c>
      <c r="I866" s="41">
        <v>0</v>
      </c>
      <c r="J866" s="41">
        <v>40000000</v>
      </c>
      <c r="K866" s="41">
        <v>0</v>
      </c>
      <c r="L866" s="41">
        <v>10000000</v>
      </c>
      <c r="M866" s="41">
        <v>0</v>
      </c>
      <c r="N866" s="41">
        <v>70441666.666666031</v>
      </c>
      <c r="O866" s="41">
        <v>79166.666666666672</v>
      </c>
      <c r="P866" s="41">
        <v>75000000</v>
      </c>
      <c r="Q866" s="41">
        <v>0</v>
      </c>
      <c r="R866" s="41">
        <v>50000000</v>
      </c>
      <c r="S866" s="41">
        <v>0</v>
      </c>
      <c r="T866" s="41">
        <v>35000000</v>
      </c>
      <c r="U866" s="41">
        <v>0</v>
      </c>
      <c r="V866" s="41">
        <v>450441666.66666597</v>
      </c>
      <c r="W866" s="41">
        <v>79166.666666666672</v>
      </c>
      <c r="X866" s="38">
        <f t="shared" si="78"/>
        <v>0.90088333333333193</v>
      </c>
      <c r="Y866" s="39">
        <f t="shared" si="79"/>
        <v>1.5833333333333335E-4</v>
      </c>
      <c r="Z866" s="39">
        <f t="shared" si="83"/>
        <v>1.7578432188884908E-4</v>
      </c>
      <c r="AA866" s="41">
        <f t="shared" si="80"/>
        <v>49558333.333334029</v>
      </c>
      <c r="AB866" s="39">
        <f t="shared" si="81"/>
        <v>1.5974440894568466E-3</v>
      </c>
      <c r="AC866" s="38">
        <f t="shared" si="82"/>
        <v>0.19976472155017461</v>
      </c>
      <c r="AD866" s="3"/>
    </row>
    <row r="867" spans="1:30" x14ac:dyDescent="0.25">
      <c r="A867" s="37">
        <v>46503</v>
      </c>
      <c r="B867" s="41">
        <v>20000000</v>
      </c>
      <c r="C867" s="41">
        <v>0</v>
      </c>
      <c r="D867" s="41">
        <v>50000000</v>
      </c>
      <c r="E867" s="41">
        <v>0</v>
      </c>
      <c r="F867" s="41">
        <v>50000000</v>
      </c>
      <c r="G867" s="41">
        <v>0</v>
      </c>
      <c r="H867" s="41">
        <v>50000000</v>
      </c>
      <c r="I867" s="41">
        <v>0</v>
      </c>
      <c r="J867" s="41">
        <v>40000000</v>
      </c>
      <c r="K867" s="41">
        <v>0</v>
      </c>
      <c r="L867" s="41">
        <v>10000000</v>
      </c>
      <c r="M867" s="41">
        <v>0</v>
      </c>
      <c r="N867" s="41">
        <v>70520833.333332703</v>
      </c>
      <c r="O867" s="41">
        <v>79166.666666666672</v>
      </c>
      <c r="P867" s="41">
        <v>75000000</v>
      </c>
      <c r="Q867" s="41">
        <v>0</v>
      </c>
      <c r="R867" s="41">
        <v>50000000</v>
      </c>
      <c r="S867" s="41">
        <v>0</v>
      </c>
      <c r="T867" s="41">
        <v>35000000</v>
      </c>
      <c r="U867" s="41">
        <v>0</v>
      </c>
      <c r="V867" s="41">
        <v>450520833.33333272</v>
      </c>
      <c r="W867" s="41">
        <v>79166.666666666672</v>
      </c>
      <c r="X867" s="38">
        <f t="shared" si="78"/>
        <v>0.90104166666666541</v>
      </c>
      <c r="Y867" s="39">
        <f t="shared" si="79"/>
        <v>1.5833333333333335E-4</v>
      </c>
      <c r="Z867" s="39">
        <f t="shared" si="83"/>
        <v>1.7575342719183053E-4</v>
      </c>
      <c r="AA867" s="41">
        <f t="shared" si="80"/>
        <v>49479166.666667283</v>
      </c>
      <c r="AB867" s="39">
        <f t="shared" si="81"/>
        <v>1.5999999999999801E-3</v>
      </c>
      <c r="AC867" s="38">
        <f t="shared" si="82"/>
        <v>0.19972260748959811</v>
      </c>
      <c r="AD867" s="3"/>
    </row>
    <row r="868" spans="1:30" x14ac:dyDescent="0.25">
      <c r="A868" s="37">
        <v>46504</v>
      </c>
      <c r="B868" s="41">
        <v>20000000</v>
      </c>
      <c r="C868" s="41">
        <v>0</v>
      </c>
      <c r="D868" s="41">
        <v>50000000</v>
      </c>
      <c r="E868" s="41">
        <v>0</v>
      </c>
      <c r="F868" s="41">
        <v>50000000</v>
      </c>
      <c r="G868" s="41">
        <v>0</v>
      </c>
      <c r="H868" s="41">
        <v>50000000</v>
      </c>
      <c r="I868" s="41">
        <v>0</v>
      </c>
      <c r="J868" s="41">
        <v>40000000</v>
      </c>
      <c r="K868" s="41">
        <v>0</v>
      </c>
      <c r="L868" s="41">
        <v>10000000</v>
      </c>
      <c r="M868" s="41">
        <v>0</v>
      </c>
      <c r="N868" s="41">
        <v>70599999.999999374</v>
      </c>
      <c r="O868" s="41">
        <v>79166.666666666672</v>
      </c>
      <c r="P868" s="41">
        <v>75000000</v>
      </c>
      <c r="Q868" s="41">
        <v>0</v>
      </c>
      <c r="R868" s="41">
        <v>50000000</v>
      </c>
      <c r="S868" s="41">
        <v>0</v>
      </c>
      <c r="T868" s="41">
        <v>35000000</v>
      </c>
      <c r="U868" s="41">
        <v>0</v>
      </c>
      <c r="V868" s="41">
        <v>450599999.9999994</v>
      </c>
      <c r="W868" s="41">
        <v>79166.666666666672</v>
      </c>
      <c r="X868" s="38">
        <f t="shared" si="78"/>
        <v>0.90119999999999878</v>
      </c>
      <c r="Y868" s="39">
        <f t="shared" si="79"/>
        <v>1.5833333333333335E-4</v>
      </c>
      <c r="Z868" s="39">
        <f t="shared" si="83"/>
        <v>1.7572254335260142E-4</v>
      </c>
      <c r="AA868" s="41">
        <f t="shared" si="80"/>
        <v>49400000.000000596</v>
      </c>
      <c r="AB868" s="39">
        <f t="shared" si="81"/>
        <v>1.6025641025640834E-3</v>
      </c>
      <c r="AC868" s="38">
        <f t="shared" si="82"/>
        <v>0.19968051118210894</v>
      </c>
      <c r="AD868" s="3"/>
    </row>
    <row r="869" spans="1:30" x14ac:dyDescent="0.25">
      <c r="A869" s="37">
        <v>46505</v>
      </c>
      <c r="B869" s="41">
        <v>20000000</v>
      </c>
      <c r="C869" s="41">
        <v>0</v>
      </c>
      <c r="D869" s="41">
        <v>50000000</v>
      </c>
      <c r="E869" s="41">
        <v>0</v>
      </c>
      <c r="F869" s="41">
        <v>50000000</v>
      </c>
      <c r="G869" s="41">
        <v>0</v>
      </c>
      <c r="H869" s="41">
        <v>50000000</v>
      </c>
      <c r="I869" s="41">
        <v>0</v>
      </c>
      <c r="J869" s="41">
        <v>40000000</v>
      </c>
      <c r="K869" s="41">
        <v>0</v>
      </c>
      <c r="L869" s="41">
        <v>10000000</v>
      </c>
      <c r="M869" s="41">
        <v>0</v>
      </c>
      <c r="N869" s="41">
        <v>70679166.666666046</v>
      </c>
      <c r="O869" s="41">
        <v>79166.666666666672</v>
      </c>
      <c r="P869" s="41">
        <v>75000000</v>
      </c>
      <c r="Q869" s="41">
        <v>0</v>
      </c>
      <c r="R869" s="41">
        <v>50000000</v>
      </c>
      <c r="S869" s="41">
        <v>0</v>
      </c>
      <c r="T869" s="41">
        <v>35000000</v>
      </c>
      <c r="U869" s="41">
        <v>0</v>
      </c>
      <c r="V869" s="41">
        <v>450679166.66666597</v>
      </c>
      <c r="W869" s="41">
        <v>79166.666666666672</v>
      </c>
      <c r="X869" s="38">
        <f t="shared" si="78"/>
        <v>0.90135833333333193</v>
      </c>
      <c r="Y869" s="39">
        <f t="shared" si="79"/>
        <v>1.5833333333333335E-4</v>
      </c>
      <c r="Z869" s="39">
        <f t="shared" si="83"/>
        <v>1.7569167036543892E-4</v>
      </c>
      <c r="AA869" s="41">
        <f t="shared" si="80"/>
        <v>49320833.333334029</v>
      </c>
      <c r="AB869" s="39">
        <f t="shared" si="81"/>
        <v>1.6051364365970882E-3</v>
      </c>
      <c r="AC869" s="38">
        <f t="shared" si="82"/>
        <v>0.19963843261648384</v>
      </c>
      <c r="AD869" s="3"/>
    </row>
    <row r="870" spans="1:30" x14ac:dyDescent="0.25">
      <c r="A870" s="37">
        <v>46506</v>
      </c>
      <c r="B870" s="41">
        <v>20000000</v>
      </c>
      <c r="C870" s="41">
        <v>0</v>
      </c>
      <c r="D870" s="41">
        <v>50000000</v>
      </c>
      <c r="E870" s="41">
        <v>0</v>
      </c>
      <c r="F870" s="41">
        <v>50000000</v>
      </c>
      <c r="G870" s="41">
        <v>0</v>
      </c>
      <c r="H870" s="41">
        <v>50000000</v>
      </c>
      <c r="I870" s="41">
        <v>0</v>
      </c>
      <c r="J870" s="41">
        <v>40000000</v>
      </c>
      <c r="K870" s="41">
        <v>0</v>
      </c>
      <c r="L870" s="41">
        <v>10000000</v>
      </c>
      <c r="M870" s="41">
        <v>0</v>
      </c>
      <c r="N870" s="41">
        <v>70758333.333332717</v>
      </c>
      <c r="O870" s="41">
        <v>79166.666666666672</v>
      </c>
      <c r="P870" s="41">
        <v>75000000</v>
      </c>
      <c r="Q870" s="41">
        <v>0</v>
      </c>
      <c r="R870" s="41">
        <v>50000000</v>
      </c>
      <c r="S870" s="41">
        <v>0</v>
      </c>
      <c r="T870" s="41">
        <v>35000000</v>
      </c>
      <c r="U870" s="41">
        <v>0</v>
      </c>
      <c r="V870" s="41">
        <v>450758333.33333272</v>
      </c>
      <c r="W870" s="41">
        <v>79166.666666666672</v>
      </c>
      <c r="X870" s="38">
        <f t="shared" si="78"/>
        <v>0.90151666666666541</v>
      </c>
      <c r="Y870" s="39">
        <f t="shared" si="79"/>
        <v>1.5833333333333335E-4</v>
      </c>
      <c r="Z870" s="39">
        <f t="shared" si="83"/>
        <v>1.7566080822462423E-4</v>
      </c>
      <c r="AA870" s="41">
        <f t="shared" si="80"/>
        <v>49241666.666667283</v>
      </c>
      <c r="AB870" s="39">
        <f t="shared" si="81"/>
        <v>1.6077170418006231E-3</v>
      </c>
      <c r="AC870" s="38">
        <f t="shared" si="82"/>
        <v>0.19959637178150882</v>
      </c>
      <c r="AD870" s="3"/>
    </row>
    <row r="871" spans="1:30" x14ac:dyDescent="0.25">
      <c r="A871" s="37">
        <v>46507</v>
      </c>
      <c r="B871" s="41">
        <v>20000000</v>
      </c>
      <c r="C871" s="41">
        <v>0</v>
      </c>
      <c r="D871" s="41">
        <v>50000000</v>
      </c>
      <c r="E871" s="41">
        <v>0</v>
      </c>
      <c r="F871" s="41">
        <v>50000000</v>
      </c>
      <c r="G871" s="41">
        <v>0</v>
      </c>
      <c r="H871" s="41">
        <v>50000000</v>
      </c>
      <c r="I871" s="41">
        <v>0</v>
      </c>
      <c r="J871" s="41">
        <v>40000000</v>
      </c>
      <c r="K871" s="41">
        <v>0</v>
      </c>
      <c r="L871" s="41">
        <v>10000000</v>
      </c>
      <c r="M871" s="41">
        <v>0</v>
      </c>
      <c r="N871" s="41">
        <v>70837499.999999389</v>
      </c>
      <c r="O871" s="41">
        <v>79166.666666666672</v>
      </c>
      <c r="P871" s="41">
        <v>75000000</v>
      </c>
      <c r="Q871" s="41">
        <v>0</v>
      </c>
      <c r="R871" s="41">
        <v>50000000</v>
      </c>
      <c r="S871" s="41">
        <v>0</v>
      </c>
      <c r="T871" s="41">
        <v>35000000</v>
      </c>
      <c r="U871" s="41">
        <v>0</v>
      </c>
      <c r="V871" s="41">
        <v>450837499.9999994</v>
      </c>
      <c r="W871" s="41">
        <v>79166.666666666672</v>
      </c>
      <c r="X871" s="38">
        <f t="shared" si="78"/>
        <v>0.90167499999999878</v>
      </c>
      <c r="Y871" s="39">
        <f t="shared" si="79"/>
        <v>1.5833333333333335E-4</v>
      </c>
      <c r="Z871" s="39">
        <f t="shared" si="83"/>
        <v>1.7562995692444239E-4</v>
      </c>
      <c r="AA871" s="41">
        <f t="shared" si="80"/>
        <v>49162500.000000596</v>
      </c>
      <c r="AB871" s="39">
        <f t="shared" si="81"/>
        <v>1.6103059581320256E-3</v>
      </c>
      <c r="AC871" s="38">
        <f t="shared" si="82"/>
        <v>0.19955432866597964</v>
      </c>
      <c r="AD871" s="3"/>
    </row>
    <row r="872" spans="1:30" x14ac:dyDescent="0.25">
      <c r="A872" s="37">
        <v>46508</v>
      </c>
      <c r="B872" s="41">
        <v>20000000</v>
      </c>
      <c r="C872" s="41">
        <v>0</v>
      </c>
      <c r="D872" s="41">
        <v>50000000</v>
      </c>
      <c r="E872" s="41">
        <v>0</v>
      </c>
      <c r="F872" s="41">
        <v>50000000</v>
      </c>
      <c r="G872" s="41">
        <v>0</v>
      </c>
      <c r="H872" s="41">
        <v>50000000</v>
      </c>
      <c r="I872" s="41">
        <v>0</v>
      </c>
      <c r="J872" s="41">
        <v>40000000</v>
      </c>
      <c r="K872" s="41">
        <v>0</v>
      </c>
      <c r="L872" s="41">
        <v>10000000</v>
      </c>
      <c r="M872" s="41">
        <v>0</v>
      </c>
      <c r="N872" s="41">
        <v>70916666.666666061</v>
      </c>
      <c r="O872" s="41">
        <v>79166.666666666672</v>
      </c>
      <c r="P872" s="41">
        <v>75000000</v>
      </c>
      <c r="Q872" s="41">
        <v>0</v>
      </c>
      <c r="R872" s="41">
        <v>50000000</v>
      </c>
      <c r="S872" s="41">
        <v>0</v>
      </c>
      <c r="T872" s="41">
        <v>35000000</v>
      </c>
      <c r="U872" s="41">
        <v>0</v>
      </c>
      <c r="V872" s="41">
        <v>450916666.66666597</v>
      </c>
      <c r="W872" s="41">
        <v>79166.666666666672</v>
      </c>
      <c r="X872" s="38">
        <f t="shared" si="78"/>
        <v>0.90183333333333193</v>
      </c>
      <c r="Y872" s="39">
        <f t="shared" si="79"/>
        <v>1.5833333333333335E-4</v>
      </c>
      <c r="Z872" s="39">
        <f t="shared" si="83"/>
        <v>1.7559911645918268E-4</v>
      </c>
      <c r="AA872" s="41">
        <f t="shared" si="80"/>
        <v>49083333.333334029</v>
      </c>
      <c r="AB872" s="39">
        <f t="shared" si="81"/>
        <v>1.6129032258064288E-3</v>
      </c>
      <c r="AC872" s="38">
        <f t="shared" si="82"/>
        <v>0.19951230325870131</v>
      </c>
      <c r="AD872" s="3"/>
    </row>
    <row r="873" spans="1:30" x14ac:dyDescent="0.25">
      <c r="A873" s="37">
        <v>46509</v>
      </c>
      <c r="B873" s="41">
        <v>20000000</v>
      </c>
      <c r="C873" s="41">
        <v>0</v>
      </c>
      <c r="D873" s="41">
        <v>50000000</v>
      </c>
      <c r="E873" s="41">
        <v>0</v>
      </c>
      <c r="F873" s="41">
        <v>50000000</v>
      </c>
      <c r="G873" s="41">
        <v>0</v>
      </c>
      <c r="H873" s="41">
        <v>50000000</v>
      </c>
      <c r="I873" s="41">
        <v>0</v>
      </c>
      <c r="J873" s="41">
        <v>40000000</v>
      </c>
      <c r="K873" s="41">
        <v>0</v>
      </c>
      <c r="L873" s="41">
        <v>10000000</v>
      </c>
      <c r="M873" s="41">
        <v>0</v>
      </c>
      <c r="N873" s="41">
        <v>70995833.333332732</v>
      </c>
      <c r="O873" s="41">
        <v>79166.666666666672</v>
      </c>
      <c r="P873" s="41">
        <v>75000000</v>
      </c>
      <c r="Q873" s="41">
        <v>0</v>
      </c>
      <c r="R873" s="41">
        <v>50000000</v>
      </c>
      <c r="S873" s="41">
        <v>0</v>
      </c>
      <c r="T873" s="41">
        <v>35000000</v>
      </c>
      <c r="U873" s="41">
        <v>0</v>
      </c>
      <c r="V873" s="41">
        <v>450995833.33333272</v>
      </c>
      <c r="W873" s="41">
        <v>79166.666666666672</v>
      </c>
      <c r="X873" s="38">
        <f t="shared" si="78"/>
        <v>0.90199166666666541</v>
      </c>
      <c r="Y873" s="39">
        <f t="shared" si="79"/>
        <v>1.5833333333333335E-4</v>
      </c>
      <c r="Z873" s="39">
        <f t="shared" si="83"/>
        <v>1.7556828682313834E-4</v>
      </c>
      <c r="AA873" s="41">
        <f t="shared" si="80"/>
        <v>49004166.666667283</v>
      </c>
      <c r="AB873" s="39">
        <f t="shared" si="81"/>
        <v>1.6155088852988489E-3</v>
      </c>
      <c r="AC873" s="38">
        <f t="shared" si="82"/>
        <v>0.19947029554848822</v>
      </c>
      <c r="AD873" s="3"/>
    </row>
    <row r="874" spans="1:30" x14ac:dyDescent="0.25">
      <c r="A874" s="37">
        <v>46510</v>
      </c>
      <c r="B874" s="41">
        <v>20000000</v>
      </c>
      <c r="C874" s="41">
        <v>0</v>
      </c>
      <c r="D874" s="41">
        <v>50000000</v>
      </c>
      <c r="E874" s="41">
        <v>0</v>
      </c>
      <c r="F874" s="41">
        <v>50000000</v>
      </c>
      <c r="G874" s="41">
        <v>0</v>
      </c>
      <c r="H874" s="41">
        <v>50000000</v>
      </c>
      <c r="I874" s="41">
        <v>0</v>
      </c>
      <c r="J874" s="41">
        <v>40000000</v>
      </c>
      <c r="K874" s="41">
        <v>0</v>
      </c>
      <c r="L874" s="41">
        <v>10000000</v>
      </c>
      <c r="M874" s="41">
        <v>0</v>
      </c>
      <c r="N874" s="41">
        <v>71074999.999999404</v>
      </c>
      <c r="O874" s="41">
        <v>79166.666666666672</v>
      </c>
      <c r="P874" s="41">
        <v>75000000</v>
      </c>
      <c r="Q874" s="41">
        <v>0</v>
      </c>
      <c r="R874" s="41">
        <v>50000000</v>
      </c>
      <c r="S874" s="41">
        <v>0</v>
      </c>
      <c r="T874" s="41">
        <v>35000000</v>
      </c>
      <c r="U874" s="41">
        <v>0</v>
      </c>
      <c r="V874" s="41">
        <v>451074999.9999994</v>
      </c>
      <c r="W874" s="41">
        <v>79166.666666666672</v>
      </c>
      <c r="X874" s="38">
        <f t="shared" si="78"/>
        <v>0.90214999999999879</v>
      </c>
      <c r="Y874" s="39">
        <f t="shared" si="79"/>
        <v>1.5833333333333335E-4</v>
      </c>
      <c r="Z874" s="39">
        <f t="shared" si="83"/>
        <v>1.7553746801060642E-4</v>
      </c>
      <c r="AA874" s="41">
        <f t="shared" si="80"/>
        <v>48925000.000000596</v>
      </c>
      <c r="AB874" s="39">
        <f t="shared" si="81"/>
        <v>1.6181229773462587E-3</v>
      </c>
      <c r="AC874" s="38">
        <f t="shared" si="82"/>
        <v>0.19942830552416438</v>
      </c>
      <c r="AD874" s="3"/>
    </row>
    <row r="875" spans="1:30" x14ac:dyDescent="0.25">
      <c r="A875" s="37">
        <v>46511</v>
      </c>
      <c r="B875" s="41">
        <v>20000000</v>
      </c>
      <c r="C875" s="41">
        <v>0</v>
      </c>
      <c r="D875" s="41">
        <v>50000000</v>
      </c>
      <c r="E875" s="41">
        <v>0</v>
      </c>
      <c r="F875" s="41">
        <v>50000000</v>
      </c>
      <c r="G875" s="41">
        <v>0</v>
      </c>
      <c r="H875" s="41">
        <v>50000000</v>
      </c>
      <c r="I875" s="41">
        <v>0</v>
      </c>
      <c r="J875" s="41">
        <v>40000000</v>
      </c>
      <c r="K875" s="41">
        <v>0</v>
      </c>
      <c r="L875" s="41">
        <v>10000000</v>
      </c>
      <c r="M875" s="41">
        <v>0</v>
      </c>
      <c r="N875" s="41">
        <v>71154166.666666076</v>
      </c>
      <c r="O875" s="41">
        <v>79166.666666666672</v>
      </c>
      <c r="P875" s="41">
        <v>75000000</v>
      </c>
      <c r="Q875" s="41">
        <v>0</v>
      </c>
      <c r="R875" s="41">
        <v>50000000</v>
      </c>
      <c r="S875" s="41">
        <v>0</v>
      </c>
      <c r="T875" s="41">
        <v>35000000</v>
      </c>
      <c r="U875" s="41">
        <v>0</v>
      </c>
      <c r="V875" s="41">
        <v>451154166.66666609</v>
      </c>
      <c r="W875" s="41">
        <v>79166.666666666672</v>
      </c>
      <c r="X875" s="38">
        <f t="shared" si="78"/>
        <v>0.90230833333333216</v>
      </c>
      <c r="Y875" s="39">
        <f t="shared" si="79"/>
        <v>1.5833333333333335E-4</v>
      </c>
      <c r="Z875" s="39">
        <f t="shared" si="83"/>
        <v>1.7550666001588821E-4</v>
      </c>
      <c r="AA875" s="41">
        <f t="shared" si="80"/>
        <v>48845833.33333391</v>
      </c>
      <c r="AB875" s="39">
        <f t="shared" si="81"/>
        <v>1.6207455429497379E-3</v>
      </c>
      <c r="AC875" s="38">
        <f t="shared" si="82"/>
        <v>0.19938633317456303</v>
      </c>
      <c r="AD875" s="3"/>
    </row>
    <row r="876" spans="1:30" x14ac:dyDescent="0.25">
      <c r="A876" s="37">
        <v>46512</v>
      </c>
      <c r="B876" s="41">
        <v>20000000</v>
      </c>
      <c r="C876" s="41">
        <v>0</v>
      </c>
      <c r="D876" s="41">
        <v>50000000</v>
      </c>
      <c r="E876" s="41">
        <v>0</v>
      </c>
      <c r="F876" s="41">
        <v>50000000</v>
      </c>
      <c r="G876" s="41">
        <v>0</v>
      </c>
      <c r="H876" s="41">
        <v>50000000</v>
      </c>
      <c r="I876" s="41">
        <v>0</v>
      </c>
      <c r="J876" s="41">
        <v>40000000</v>
      </c>
      <c r="K876" s="41">
        <v>0</v>
      </c>
      <c r="L876" s="41">
        <v>10000000</v>
      </c>
      <c r="M876" s="41">
        <v>0</v>
      </c>
      <c r="N876" s="41">
        <v>71233333.333332747</v>
      </c>
      <c r="O876" s="41">
        <v>79166.666666666672</v>
      </c>
      <c r="P876" s="41">
        <v>75000000</v>
      </c>
      <c r="Q876" s="41">
        <v>0</v>
      </c>
      <c r="R876" s="41">
        <v>50000000</v>
      </c>
      <c r="S876" s="41">
        <v>0</v>
      </c>
      <c r="T876" s="41">
        <v>35000000</v>
      </c>
      <c r="U876" s="41">
        <v>0</v>
      </c>
      <c r="V876" s="41">
        <v>451233333.33333278</v>
      </c>
      <c r="W876" s="41">
        <v>79166.666666666672</v>
      </c>
      <c r="X876" s="38">
        <f t="shared" si="78"/>
        <v>0.90246666666666553</v>
      </c>
      <c r="Y876" s="39">
        <f t="shared" si="79"/>
        <v>1.5833333333333335E-4</v>
      </c>
      <c r="Z876" s="39">
        <f t="shared" si="83"/>
        <v>1.7547586283328892E-4</v>
      </c>
      <c r="AA876" s="41">
        <f t="shared" si="80"/>
        <v>48766666.666667223</v>
      </c>
      <c r="AB876" s="39">
        <f t="shared" si="81"/>
        <v>1.6233766233766051E-3</v>
      </c>
      <c r="AC876" s="38">
        <f t="shared" si="82"/>
        <v>0.19934437848852693</v>
      </c>
      <c r="AD876" s="3"/>
    </row>
    <row r="877" spans="1:30" x14ac:dyDescent="0.25">
      <c r="A877" s="37">
        <v>46513</v>
      </c>
      <c r="B877" s="41">
        <v>20000000</v>
      </c>
      <c r="C877" s="41">
        <v>0</v>
      </c>
      <c r="D877" s="41">
        <v>50000000</v>
      </c>
      <c r="E877" s="41">
        <v>0</v>
      </c>
      <c r="F877" s="41">
        <v>50000000</v>
      </c>
      <c r="G877" s="41">
        <v>0</v>
      </c>
      <c r="H877" s="41">
        <v>50000000</v>
      </c>
      <c r="I877" s="41">
        <v>0</v>
      </c>
      <c r="J877" s="41">
        <v>40000000</v>
      </c>
      <c r="K877" s="41">
        <v>0</v>
      </c>
      <c r="L877" s="41">
        <v>10000000</v>
      </c>
      <c r="M877" s="41">
        <v>0</v>
      </c>
      <c r="N877" s="41">
        <v>71312499.999999419</v>
      </c>
      <c r="O877" s="41">
        <v>79166.666666666672</v>
      </c>
      <c r="P877" s="41">
        <v>75000000</v>
      </c>
      <c r="Q877" s="41">
        <v>0</v>
      </c>
      <c r="R877" s="41">
        <v>50000000</v>
      </c>
      <c r="S877" s="41">
        <v>0</v>
      </c>
      <c r="T877" s="41">
        <v>35000000</v>
      </c>
      <c r="U877" s="41">
        <v>0</v>
      </c>
      <c r="V877" s="41">
        <v>451312499.9999994</v>
      </c>
      <c r="W877" s="41">
        <v>79166.666666666672</v>
      </c>
      <c r="X877" s="38">
        <f t="shared" si="78"/>
        <v>0.90262499999999879</v>
      </c>
      <c r="Y877" s="39">
        <f t="shared" si="79"/>
        <v>1.5833333333333335E-4</v>
      </c>
      <c r="Z877" s="39">
        <f t="shared" si="83"/>
        <v>1.7544507645711775E-4</v>
      </c>
      <c r="AA877" s="41">
        <f t="shared" si="80"/>
        <v>48687500.000000596</v>
      </c>
      <c r="AB877" s="39">
        <f t="shared" si="81"/>
        <v>1.6260162601625819E-3</v>
      </c>
      <c r="AC877" s="38">
        <f t="shared" si="82"/>
        <v>0.19930244145490814</v>
      </c>
      <c r="AD877" s="3"/>
    </row>
    <row r="878" spans="1:30" x14ac:dyDescent="0.25">
      <c r="A878" s="37">
        <v>46514</v>
      </c>
      <c r="B878" s="41">
        <v>20000000</v>
      </c>
      <c r="C878" s="41">
        <v>0</v>
      </c>
      <c r="D878" s="41">
        <v>50000000</v>
      </c>
      <c r="E878" s="41">
        <v>0</v>
      </c>
      <c r="F878" s="41">
        <v>50000000</v>
      </c>
      <c r="G878" s="41">
        <v>0</v>
      </c>
      <c r="H878" s="41">
        <v>50000000</v>
      </c>
      <c r="I878" s="41">
        <v>0</v>
      </c>
      <c r="J878" s="41">
        <v>40000000</v>
      </c>
      <c r="K878" s="41">
        <v>0</v>
      </c>
      <c r="L878" s="41">
        <v>10000000</v>
      </c>
      <c r="M878" s="41">
        <v>0</v>
      </c>
      <c r="N878" s="41">
        <v>71391666.66666609</v>
      </c>
      <c r="O878" s="41">
        <v>79166.666666666672</v>
      </c>
      <c r="P878" s="41">
        <v>75000000</v>
      </c>
      <c r="Q878" s="41">
        <v>0</v>
      </c>
      <c r="R878" s="41">
        <v>50000000</v>
      </c>
      <c r="S878" s="41">
        <v>0</v>
      </c>
      <c r="T878" s="41">
        <v>35000000</v>
      </c>
      <c r="U878" s="41">
        <v>0</v>
      </c>
      <c r="V878" s="41">
        <v>451391666.66666609</v>
      </c>
      <c r="W878" s="41">
        <v>79166.666666666672</v>
      </c>
      <c r="X878" s="38">
        <f t="shared" si="78"/>
        <v>0.90278333333333216</v>
      </c>
      <c r="Y878" s="39">
        <f t="shared" si="79"/>
        <v>1.5833333333333335E-4</v>
      </c>
      <c r="Z878" s="39">
        <f t="shared" si="83"/>
        <v>1.754143008816879E-4</v>
      </c>
      <c r="AA878" s="41">
        <f t="shared" si="80"/>
        <v>48608333.33333391</v>
      </c>
      <c r="AB878" s="39">
        <f t="shared" si="81"/>
        <v>1.6286644951139873E-3</v>
      </c>
      <c r="AC878" s="38">
        <f t="shared" si="82"/>
        <v>0.19926052206256811</v>
      </c>
      <c r="AD878" s="3"/>
    </row>
    <row r="879" spans="1:30" x14ac:dyDescent="0.25">
      <c r="A879" s="37">
        <v>46515</v>
      </c>
      <c r="B879" s="41">
        <v>20000000</v>
      </c>
      <c r="C879" s="41">
        <v>0</v>
      </c>
      <c r="D879" s="41">
        <v>50000000</v>
      </c>
      <c r="E879" s="41">
        <v>0</v>
      </c>
      <c r="F879" s="41">
        <v>50000000</v>
      </c>
      <c r="G879" s="41">
        <v>0</v>
      </c>
      <c r="H879" s="41">
        <v>50000000</v>
      </c>
      <c r="I879" s="41">
        <v>0</v>
      </c>
      <c r="J879" s="41">
        <v>40000000</v>
      </c>
      <c r="K879" s="41">
        <v>0</v>
      </c>
      <c r="L879" s="41">
        <v>10000000</v>
      </c>
      <c r="M879" s="41">
        <v>0</v>
      </c>
      <c r="N879" s="41">
        <v>71470833.333332762</v>
      </c>
      <c r="O879" s="41">
        <v>79166.666666666672</v>
      </c>
      <c r="P879" s="41">
        <v>75000000</v>
      </c>
      <c r="Q879" s="41">
        <v>0</v>
      </c>
      <c r="R879" s="41">
        <v>50000000</v>
      </c>
      <c r="S879" s="41">
        <v>0</v>
      </c>
      <c r="T879" s="41">
        <v>35000000</v>
      </c>
      <c r="U879" s="41">
        <v>0</v>
      </c>
      <c r="V879" s="41">
        <v>451470833.33333278</v>
      </c>
      <c r="W879" s="41">
        <v>79166.666666666672</v>
      </c>
      <c r="X879" s="38">
        <f t="shared" si="78"/>
        <v>0.90294166666666553</v>
      </c>
      <c r="Y879" s="39">
        <f t="shared" si="79"/>
        <v>1.5833333333333335E-4</v>
      </c>
      <c r="Z879" s="39">
        <f t="shared" si="83"/>
        <v>1.7538353610131654E-4</v>
      </c>
      <c r="AA879" s="41">
        <f t="shared" si="80"/>
        <v>48529166.666667223</v>
      </c>
      <c r="AB879" s="39">
        <f t="shared" si="81"/>
        <v>1.6313213703099325E-3</v>
      </c>
      <c r="AC879" s="38">
        <f t="shared" si="82"/>
        <v>0.19921862030037771</v>
      </c>
      <c r="AD879" s="3"/>
    </row>
    <row r="880" spans="1:30" x14ac:dyDescent="0.25">
      <c r="A880" s="37">
        <v>46516</v>
      </c>
      <c r="B880" s="41">
        <v>20000000</v>
      </c>
      <c r="C880" s="41">
        <v>0</v>
      </c>
      <c r="D880" s="41">
        <v>50000000</v>
      </c>
      <c r="E880" s="41">
        <v>0</v>
      </c>
      <c r="F880" s="41">
        <v>50000000</v>
      </c>
      <c r="G880" s="41">
        <v>0</v>
      </c>
      <c r="H880" s="41">
        <v>50000000</v>
      </c>
      <c r="I880" s="41">
        <v>0</v>
      </c>
      <c r="J880" s="41">
        <v>40000000</v>
      </c>
      <c r="K880" s="41">
        <v>0</v>
      </c>
      <c r="L880" s="41">
        <v>10000000</v>
      </c>
      <c r="M880" s="41">
        <v>0</v>
      </c>
      <c r="N880" s="41">
        <v>71549999.999999434</v>
      </c>
      <c r="O880" s="41">
        <v>79166.666666666672</v>
      </c>
      <c r="P880" s="41">
        <v>75000000</v>
      </c>
      <c r="Q880" s="41">
        <v>0</v>
      </c>
      <c r="R880" s="41">
        <v>50000000</v>
      </c>
      <c r="S880" s="41">
        <v>0</v>
      </c>
      <c r="T880" s="41">
        <v>35000000</v>
      </c>
      <c r="U880" s="41">
        <v>0</v>
      </c>
      <c r="V880" s="41">
        <v>451549999.9999994</v>
      </c>
      <c r="W880" s="41">
        <v>79166.666666666672</v>
      </c>
      <c r="X880" s="38">
        <f t="shared" si="78"/>
        <v>0.90309999999999879</v>
      </c>
      <c r="Y880" s="39">
        <f t="shared" si="79"/>
        <v>1.5833333333333335E-4</v>
      </c>
      <c r="Z880" s="39">
        <f t="shared" si="83"/>
        <v>1.7535278211032481E-4</v>
      </c>
      <c r="AA880" s="41">
        <f t="shared" si="80"/>
        <v>48450000.000000596</v>
      </c>
      <c r="AB880" s="39">
        <f t="shared" si="81"/>
        <v>1.6339869281045553E-3</v>
      </c>
      <c r="AC880" s="38">
        <f t="shared" si="82"/>
        <v>0.19917673615721715</v>
      </c>
      <c r="AD880" s="3"/>
    </row>
    <row r="881" spans="1:30" x14ac:dyDescent="0.25">
      <c r="A881" s="37">
        <v>46517</v>
      </c>
      <c r="B881" s="41">
        <v>20000000</v>
      </c>
      <c r="C881" s="41">
        <v>0</v>
      </c>
      <c r="D881" s="41">
        <v>50000000</v>
      </c>
      <c r="E881" s="41">
        <v>0</v>
      </c>
      <c r="F881" s="41">
        <v>50000000</v>
      </c>
      <c r="G881" s="41">
        <v>0</v>
      </c>
      <c r="H881" s="41">
        <v>50000000</v>
      </c>
      <c r="I881" s="41">
        <v>0</v>
      </c>
      <c r="J881" s="41">
        <v>40000000</v>
      </c>
      <c r="K881" s="41">
        <v>0</v>
      </c>
      <c r="L881" s="41">
        <v>10000000</v>
      </c>
      <c r="M881" s="41">
        <v>0</v>
      </c>
      <c r="N881" s="41">
        <v>71629166.666666105</v>
      </c>
      <c r="O881" s="41">
        <v>79166.666666666672</v>
      </c>
      <c r="P881" s="41">
        <v>75000000</v>
      </c>
      <c r="Q881" s="41">
        <v>0</v>
      </c>
      <c r="R881" s="41">
        <v>50000000</v>
      </c>
      <c r="S881" s="41">
        <v>0</v>
      </c>
      <c r="T881" s="41">
        <v>35000000</v>
      </c>
      <c r="U881" s="41">
        <v>0</v>
      </c>
      <c r="V881" s="41">
        <v>451629166.66666609</v>
      </c>
      <c r="W881" s="41">
        <v>79166.666666666672</v>
      </c>
      <c r="X881" s="38">
        <f t="shared" si="78"/>
        <v>0.90325833333333216</v>
      </c>
      <c r="Y881" s="39">
        <f t="shared" si="79"/>
        <v>1.5833333333333335E-4</v>
      </c>
      <c r="Z881" s="39">
        <f t="shared" si="83"/>
        <v>1.7532203890303794E-4</v>
      </c>
      <c r="AA881" s="41">
        <f t="shared" si="80"/>
        <v>48370833.33333391</v>
      </c>
      <c r="AB881" s="39">
        <f t="shared" si="81"/>
        <v>1.6366612111292768E-3</v>
      </c>
      <c r="AC881" s="38">
        <f t="shared" si="82"/>
        <v>0.19913486962197594</v>
      </c>
      <c r="AD881" s="3"/>
    </row>
    <row r="882" spans="1:30" x14ac:dyDescent="0.25">
      <c r="A882" s="37">
        <v>46518</v>
      </c>
      <c r="B882" s="41">
        <v>20000000</v>
      </c>
      <c r="C882" s="41">
        <v>0</v>
      </c>
      <c r="D882" s="41">
        <v>50000000</v>
      </c>
      <c r="E882" s="41">
        <v>0</v>
      </c>
      <c r="F882" s="41">
        <v>50000000</v>
      </c>
      <c r="G882" s="41">
        <v>0</v>
      </c>
      <c r="H882" s="41">
        <v>50000000</v>
      </c>
      <c r="I882" s="41">
        <v>0</v>
      </c>
      <c r="J882" s="41">
        <v>40000000</v>
      </c>
      <c r="K882" s="41">
        <v>0</v>
      </c>
      <c r="L882" s="41">
        <v>10000000</v>
      </c>
      <c r="M882" s="41">
        <v>0</v>
      </c>
      <c r="N882" s="41">
        <v>71708333.333332777</v>
      </c>
      <c r="O882" s="41">
        <v>79166.666666666672</v>
      </c>
      <c r="P882" s="41">
        <v>75000000</v>
      </c>
      <c r="Q882" s="41">
        <v>0</v>
      </c>
      <c r="R882" s="41">
        <v>50000000</v>
      </c>
      <c r="S882" s="41">
        <v>0</v>
      </c>
      <c r="T882" s="41">
        <v>35000000</v>
      </c>
      <c r="U882" s="41">
        <v>0</v>
      </c>
      <c r="V882" s="41">
        <v>451708333.33333278</v>
      </c>
      <c r="W882" s="41">
        <v>79166.666666666672</v>
      </c>
      <c r="X882" s="38">
        <f t="shared" si="78"/>
        <v>0.90341666666666554</v>
      </c>
      <c r="Y882" s="39">
        <f t="shared" si="79"/>
        <v>1.5833333333333335E-4</v>
      </c>
      <c r="Z882" s="39">
        <f t="shared" si="83"/>
        <v>1.7529130647378496E-4</v>
      </c>
      <c r="AA882" s="41">
        <f t="shared" si="80"/>
        <v>48291666.666667223</v>
      </c>
      <c r="AB882" s="39">
        <f t="shared" si="81"/>
        <v>1.6393442622950631E-3</v>
      </c>
      <c r="AC882" s="38">
        <f t="shared" si="82"/>
        <v>0.199093020683553</v>
      </c>
      <c r="AD882" s="3"/>
    </row>
    <row r="883" spans="1:30" x14ac:dyDescent="0.25">
      <c r="A883" s="37">
        <v>46519</v>
      </c>
      <c r="B883" s="41">
        <v>20000000</v>
      </c>
      <c r="C883" s="41">
        <v>0</v>
      </c>
      <c r="D883" s="41">
        <v>50000000</v>
      </c>
      <c r="E883" s="41">
        <v>0</v>
      </c>
      <c r="F883" s="41">
        <v>50000000</v>
      </c>
      <c r="G883" s="41">
        <v>0</v>
      </c>
      <c r="H883" s="41">
        <v>50000000</v>
      </c>
      <c r="I883" s="41">
        <v>0</v>
      </c>
      <c r="J883" s="41">
        <v>40000000</v>
      </c>
      <c r="K883" s="41">
        <v>0</v>
      </c>
      <c r="L883" s="41">
        <v>10000000</v>
      </c>
      <c r="M883" s="41">
        <v>0</v>
      </c>
      <c r="N883" s="41">
        <v>71787499.999999449</v>
      </c>
      <c r="O883" s="41">
        <v>79166.666666666672</v>
      </c>
      <c r="P883" s="41">
        <v>75000000</v>
      </c>
      <c r="Q883" s="41">
        <v>0</v>
      </c>
      <c r="R883" s="41">
        <v>50000000</v>
      </c>
      <c r="S883" s="41">
        <v>0</v>
      </c>
      <c r="T883" s="41">
        <v>35000000</v>
      </c>
      <c r="U883" s="41">
        <v>0</v>
      </c>
      <c r="V883" s="41">
        <v>451787499.99999952</v>
      </c>
      <c r="W883" s="41">
        <v>79166.666666666672</v>
      </c>
      <c r="X883" s="38">
        <f t="shared" si="78"/>
        <v>0.90357499999999902</v>
      </c>
      <c r="Y883" s="39">
        <f t="shared" si="79"/>
        <v>1.5833333333333335E-4</v>
      </c>
      <c r="Z883" s="39">
        <f t="shared" si="83"/>
        <v>1.7526058481689904E-4</v>
      </c>
      <c r="AA883" s="41">
        <f t="shared" si="80"/>
        <v>48212500.000000477</v>
      </c>
      <c r="AB883" s="39">
        <f t="shared" si="81"/>
        <v>1.6420361247947294E-3</v>
      </c>
      <c r="AC883" s="38">
        <f t="shared" si="82"/>
        <v>0.1990511893308565</v>
      </c>
      <c r="AD883" s="3"/>
    </row>
    <row r="884" spans="1:30" x14ac:dyDescent="0.25">
      <c r="A884" s="37">
        <v>46520</v>
      </c>
      <c r="B884" s="41">
        <v>20000000</v>
      </c>
      <c r="C884" s="41">
        <v>0</v>
      </c>
      <c r="D884" s="41">
        <v>50000000</v>
      </c>
      <c r="E884" s="41">
        <v>0</v>
      </c>
      <c r="F884" s="41">
        <v>50000000</v>
      </c>
      <c r="G884" s="41">
        <v>0</v>
      </c>
      <c r="H884" s="41">
        <v>50000000</v>
      </c>
      <c r="I884" s="41">
        <v>0</v>
      </c>
      <c r="J884" s="41">
        <v>40000000</v>
      </c>
      <c r="K884" s="41">
        <v>0</v>
      </c>
      <c r="L884" s="41">
        <v>10000000</v>
      </c>
      <c r="M884" s="41">
        <v>0</v>
      </c>
      <c r="N884" s="41">
        <v>71866666.66666612</v>
      </c>
      <c r="O884" s="41">
        <v>79166.666666666672</v>
      </c>
      <c r="P884" s="41">
        <v>75000000</v>
      </c>
      <c r="Q884" s="41">
        <v>0</v>
      </c>
      <c r="R884" s="41">
        <v>50000000</v>
      </c>
      <c r="S884" s="41">
        <v>0</v>
      </c>
      <c r="T884" s="41">
        <v>35000000</v>
      </c>
      <c r="U884" s="41">
        <v>0</v>
      </c>
      <c r="V884" s="41">
        <v>451866666.66666621</v>
      </c>
      <c r="W884" s="41">
        <v>79166.666666666672</v>
      </c>
      <c r="X884" s="38">
        <f t="shared" si="78"/>
        <v>0.90373333333333239</v>
      </c>
      <c r="Y884" s="39">
        <f t="shared" si="79"/>
        <v>1.5833333333333335E-4</v>
      </c>
      <c r="Z884" s="39">
        <f t="shared" si="83"/>
        <v>1.7522987392671721E-4</v>
      </c>
      <c r="AA884" s="41">
        <f t="shared" si="80"/>
        <v>48133333.33333379</v>
      </c>
      <c r="AB884" s="39">
        <f t="shared" si="81"/>
        <v>1.6447368421052477E-3</v>
      </c>
      <c r="AC884" s="38">
        <f t="shared" si="82"/>
        <v>0.19900937555280407</v>
      </c>
      <c r="AD884" s="3"/>
    </row>
    <row r="885" spans="1:30" x14ac:dyDescent="0.25">
      <c r="A885" s="37">
        <v>46521</v>
      </c>
      <c r="B885" s="41">
        <v>20000000</v>
      </c>
      <c r="C885" s="41">
        <v>0</v>
      </c>
      <c r="D885" s="41">
        <v>50000000</v>
      </c>
      <c r="E885" s="41">
        <v>0</v>
      </c>
      <c r="F885" s="41">
        <v>50000000</v>
      </c>
      <c r="G885" s="41">
        <v>0</v>
      </c>
      <c r="H885" s="41">
        <v>50000000</v>
      </c>
      <c r="I885" s="41">
        <v>0</v>
      </c>
      <c r="J885" s="41">
        <v>40000000</v>
      </c>
      <c r="K885" s="41">
        <v>0</v>
      </c>
      <c r="L885" s="41">
        <v>10000000</v>
      </c>
      <c r="M885" s="41">
        <v>0</v>
      </c>
      <c r="N885" s="41">
        <v>71945833.333332792</v>
      </c>
      <c r="O885" s="41">
        <v>79166.666666666672</v>
      </c>
      <c r="P885" s="41">
        <v>75000000</v>
      </c>
      <c r="Q885" s="41">
        <v>0</v>
      </c>
      <c r="R885" s="41">
        <v>50000000</v>
      </c>
      <c r="S885" s="41">
        <v>0</v>
      </c>
      <c r="T885" s="41">
        <v>35000000</v>
      </c>
      <c r="U885" s="41">
        <v>0</v>
      </c>
      <c r="V885" s="41">
        <v>451945833.33333278</v>
      </c>
      <c r="W885" s="41">
        <v>79166.666666666672</v>
      </c>
      <c r="X885" s="38">
        <f t="shared" si="78"/>
        <v>0.90389166666666554</v>
      </c>
      <c r="Y885" s="39">
        <f t="shared" si="79"/>
        <v>1.5833333333333335E-4</v>
      </c>
      <c r="Z885" s="39">
        <f t="shared" si="83"/>
        <v>1.7519917379758059E-4</v>
      </c>
      <c r="AA885" s="41">
        <f t="shared" si="80"/>
        <v>48054166.666667223</v>
      </c>
      <c r="AB885" s="39">
        <f t="shared" si="81"/>
        <v>1.6474464579900963E-3</v>
      </c>
      <c r="AC885" s="38">
        <f t="shared" si="82"/>
        <v>0.19896757933832254</v>
      </c>
      <c r="AD885" s="3"/>
    </row>
    <row r="886" spans="1:30" x14ac:dyDescent="0.25">
      <c r="A886" s="37">
        <v>46522</v>
      </c>
      <c r="B886" s="41">
        <v>20000000</v>
      </c>
      <c r="C886" s="41">
        <v>0</v>
      </c>
      <c r="D886" s="41">
        <v>50000000</v>
      </c>
      <c r="E886" s="41">
        <v>0</v>
      </c>
      <c r="F886" s="41">
        <v>50000000</v>
      </c>
      <c r="G886" s="41">
        <v>0</v>
      </c>
      <c r="H886" s="41">
        <v>50000000</v>
      </c>
      <c r="I886" s="41">
        <v>0</v>
      </c>
      <c r="J886" s="41">
        <v>40000000</v>
      </c>
      <c r="K886" s="41">
        <v>0</v>
      </c>
      <c r="L886" s="41">
        <v>10000000</v>
      </c>
      <c r="M886" s="41">
        <v>0</v>
      </c>
      <c r="N886" s="41">
        <v>72024999.999999464</v>
      </c>
      <c r="O886" s="41">
        <v>79166.666666666672</v>
      </c>
      <c r="P886" s="41">
        <v>75000000</v>
      </c>
      <c r="Q886" s="41">
        <v>0</v>
      </c>
      <c r="R886" s="41">
        <v>50000000</v>
      </c>
      <c r="S886" s="41">
        <v>0</v>
      </c>
      <c r="T886" s="41">
        <v>35000000</v>
      </c>
      <c r="U886" s="41">
        <v>0</v>
      </c>
      <c r="V886" s="41">
        <v>452024999.99999952</v>
      </c>
      <c r="W886" s="41">
        <v>79166.666666666672</v>
      </c>
      <c r="X886" s="38">
        <f t="shared" si="78"/>
        <v>0.90404999999999902</v>
      </c>
      <c r="Y886" s="39">
        <f t="shared" si="79"/>
        <v>1.5833333333333335E-4</v>
      </c>
      <c r="Z886" s="39">
        <f t="shared" si="83"/>
        <v>1.751684844238342E-4</v>
      </c>
      <c r="AA886" s="41">
        <f t="shared" si="80"/>
        <v>47975000.000000477</v>
      </c>
      <c r="AB886" s="39">
        <f t="shared" si="81"/>
        <v>1.6501650165016339E-3</v>
      </c>
      <c r="AC886" s="38">
        <f t="shared" si="82"/>
        <v>0.19892580067634796</v>
      </c>
      <c r="AD886" s="3"/>
    </row>
    <row r="887" spans="1:30" x14ac:dyDescent="0.25">
      <c r="A887" s="37">
        <v>46523</v>
      </c>
      <c r="B887" s="41">
        <v>20000000</v>
      </c>
      <c r="C887" s="41">
        <v>0</v>
      </c>
      <c r="D887" s="41">
        <v>50000000</v>
      </c>
      <c r="E887" s="41">
        <v>0</v>
      </c>
      <c r="F887" s="41">
        <v>50000000</v>
      </c>
      <c r="G887" s="41">
        <v>0</v>
      </c>
      <c r="H887" s="41">
        <v>50000000</v>
      </c>
      <c r="I887" s="41">
        <v>0</v>
      </c>
      <c r="J887" s="41">
        <v>40000000</v>
      </c>
      <c r="K887" s="41">
        <v>0</v>
      </c>
      <c r="L887" s="41">
        <v>10000000</v>
      </c>
      <c r="M887" s="41">
        <v>0</v>
      </c>
      <c r="N887" s="41">
        <v>72104166.666666135</v>
      </c>
      <c r="O887" s="41">
        <v>79166.666666666672</v>
      </c>
      <c r="P887" s="41">
        <v>75000000</v>
      </c>
      <c r="Q887" s="41">
        <v>0</v>
      </c>
      <c r="R887" s="41">
        <v>50000000</v>
      </c>
      <c r="S887" s="41">
        <v>0</v>
      </c>
      <c r="T887" s="41">
        <v>35000000</v>
      </c>
      <c r="U887" s="41">
        <v>0</v>
      </c>
      <c r="V887" s="41">
        <v>452104166.66666621</v>
      </c>
      <c r="W887" s="41">
        <v>79166.666666666672</v>
      </c>
      <c r="X887" s="38">
        <f t="shared" si="78"/>
        <v>0.90420833333333239</v>
      </c>
      <c r="Y887" s="39">
        <f t="shared" si="79"/>
        <v>1.5833333333333335E-4</v>
      </c>
      <c r="Z887" s="39">
        <f t="shared" si="83"/>
        <v>1.7513780579982689E-4</v>
      </c>
      <c r="AA887" s="41">
        <f t="shared" si="80"/>
        <v>47895833.33333379</v>
      </c>
      <c r="AB887" s="39">
        <f t="shared" si="81"/>
        <v>1.6528925619834554E-3</v>
      </c>
      <c r="AC887" s="38">
        <f t="shared" si="82"/>
        <v>0.1988840395558259</v>
      </c>
      <c r="AD887" s="3"/>
    </row>
    <row r="888" spans="1:30" x14ac:dyDescent="0.25">
      <c r="A888" s="37">
        <v>46524</v>
      </c>
      <c r="B888" s="41">
        <v>20000000</v>
      </c>
      <c r="C888" s="41">
        <v>0</v>
      </c>
      <c r="D888" s="41">
        <v>50000000</v>
      </c>
      <c r="E888" s="41">
        <v>0</v>
      </c>
      <c r="F888" s="41">
        <v>50000000</v>
      </c>
      <c r="G888" s="41">
        <v>0</v>
      </c>
      <c r="H888" s="41">
        <v>50000000</v>
      </c>
      <c r="I888" s="41">
        <v>0</v>
      </c>
      <c r="J888" s="41">
        <v>40000000</v>
      </c>
      <c r="K888" s="41">
        <v>0</v>
      </c>
      <c r="L888" s="41">
        <v>10000000</v>
      </c>
      <c r="M888" s="41">
        <v>0</v>
      </c>
      <c r="N888" s="41">
        <v>72183333.333332807</v>
      </c>
      <c r="O888" s="41">
        <v>79166.666666666672</v>
      </c>
      <c r="P888" s="41">
        <v>75000000</v>
      </c>
      <c r="Q888" s="41">
        <v>0</v>
      </c>
      <c r="R888" s="41">
        <v>50000000</v>
      </c>
      <c r="S888" s="41">
        <v>0</v>
      </c>
      <c r="T888" s="41">
        <v>35000000</v>
      </c>
      <c r="U888" s="41">
        <v>0</v>
      </c>
      <c r="V888" s="41">
        <v>452183333.33333278</v>
      </c>
      <c r="W888" s="41">
        <v>79166.666666666672</v>
      </c>
      <c r="X888" s="38">
        <f t="shared" si="78"/>
        <v>0.90436666666666554</v>
      </c>
      <c r="Y888" s="39">
        <f t="shared" si="79"/>
        <v>1.5833333333333335E-4</v>
      </c>
      <c r="Z888" s="39">
        <f t="shared" si="83"/>
        <v>1.7510713791991171E-4</v>
      </c>
      <c r="AA888" s="41">
        <f t="shared" si="80"/>
        <v>47816666.666667223</v>
      </c>
      <c r="AB888" s="39">
        <f t="shared" si="81"/>
        <v>1.6556291390728286E-3</v>
      </c>
      <c r="AC888" s="38">
        <f t="shared" si="82"/>
        <v>0.19884229596571104</v>
      </c>
      <c r="AD888" s="3"/>
    </row>
    <row r="889" spans="1:30" x14ac:dyDescent="0.25">
      <c r="A889" s="37">
        <v>46525</v>
      </c>
      <c r="B889" s="41">
        <v>20000000</v>
      </c>
      <c r="C889" s="41">
        <v>0</v>
      </c>
      <c r="D889" s="41">
        <v>50000000</v>
      </c>
      <c r="E889" s="41">
        <v>0</v>
      </c>
      <c r="F889" s="41">
        <v>50000000</v>
      </c>
      <c r="G889" s="41">
        <v>0</v>
      </c>
      <c r="H889" s="41">
        <v>50000000</v>
      </c>
      <c r="I889" s="41">
        <v>0</v>
      </c>
      <c r="J889" s="41">
        <v>40000000</v>
      </c>
      <c r="K889" s="41">
        <v>0</v>
      </c>
      <c r="L889" s="41">
        <v>10000000</v>
      </c>
      <c r="M889" s="41">
        <v>0</v>
      </c>
      <c r="N889" s="41">
        <v>72262499.999999478</v>
      </c>
      <c r="O889" s="41">
        <v>79166.666666666672</v>
      </c>
      <c r="P889" s="41">
        <v>75000000</v>
      </c>
      <c r="Q889" s="41">
        <v>0</v>
      </c>
      <c r="R889" s="41">
        <v>50000000</v>
      </c>
      <c r="S889" s="41">
        <v>0</v>
      </c>
      <c r="T889" s="41">
        <v>35000000</v>
      </c>
      <c r="U889" s="41">
        <v>0</v>
      </c>
      <c r="V889" s="41">
        <v>452262499.99999952</v>
      </c>
      <c r="W889" s="41">
        <v>79166.666666666672</v>
      </c>
      <c r="X889" s="38">
        <f t="shared" si="78"/>
        <v>0.90452499999999902</v>
      </c>
      <c r="Y889" s="39">
        <f t="shared" si="79"/>
        <v>1.5833333333333335E-4</v>
      </c>
      <c r="Z889" s="39">
        <f t="shared" si="83"/>
        <v>1.7507648077844554E-4</v>
      </c>
      <c r="AA889" s="41">
        <f t="shared" si="80"/>
        <v>47737500.000000477</v>
      </c>
      <c r="AB889" s="39">
        <f t="shared" si="81"/>
        <v>1.6583747927031345E-3</v>
      </c>
      <c r="AC889" s="38">
        <f t="shared" si="82"/>
        <v>0.19880056989496728</v>
      </c>
      <c r="AD889" s="3"/>
    </row>
    <row r="890" spans="1:30" x14ac:dyDescent="0.25">
      <c r="A890" s="37">
        <v>46526</v>
      </c>
      <c r="B890" s="41">
        <v>20000000</v>
      </c>
      <c r="C890" s="41">
        <v>0</v>
      </c>
      <c r="D890" s="41">
        <v>50000000</v>
      </c>
      <c r="E890" s="41">
        <v>0</v>
      </c>
      <c r="F890" s="41">
        <v>50000000</v>
      </c>
      <c r="G890" s="41">
        <v>0</v>
      </c>
      <c r="H890" s="41">
        <v>50000000</v>
      </c>
      <c r="I890" s="41">
        <v>0</v>
      </c>
      <c r="J890" s="41">
        <v>40000000</v>
      </c>
      <c r="K890" s="41">
        <v>0</v>
      </c>
      <c r="L890" s="41">
        <v>10000000</v>
      </c>
      <c r="M890" s="41">
        <v>0</v>
      </c>
      <c r="N890" s="41">
        <v>72341666.66666615</v>
      </c>
      <c r="O890" s="41">
        <v>79166.666666666672</v>
      </c>
      <c r="P890" s="41">
        <v>75000000</v>
      </c>
      <c r="Q890" s="41">
        <v>0</v>
      </c>
      <c r="R890" s="41">
        <v>50000000</v>
      </c>
      <c r="S890" s="41">
        <v>0</v>
      </c>
      <c r="T890" s="41">
        <v>35000000</v>
      </c>
      <c r="U890" s="41">
        <v>0</v>
      </c>
      <c r="V890" s="41">
        <v>452341666.66666621</v>
      </c>
      <c r="W890" s="41">
        <v>79166.666666666672</v>
      </c>
      <c r="X890" s="38">
        <f t="shared" si="78"/>
        <v>0.9046833333333324</v>
      </c>
      <c r="Y890" s="39">
        <f t="shared" si="79"/>
        <v>1.5833333333333335E-4</v>
      </c>
      <c r="Z890" s="39">
        <f t="shared" si="83"/>
        <v>1.7504583436978914E-4</v>
      </c>
      <c r="AA890" s="41">
        <f t="shared" si="80"/>
        <v>47658333.33333379</v>
      </c>
      <c r="AB890" s="39">
        <f t="shared" si="81"/>
        <v>1.6611295681062965E-3</v>
      </c>
      <c r="AC890" s="38">
        <f t="shared" si="82"/>
        <v>0.19875886133256798</v>
      </c>
      <c r="AD890" s="3"/>
    </row>
    <row r="891" spans="1:30" x14ac:dyDescent="0.25">
      <c r="A891" s="37">
        <v>46527</v>
      </c>
      <c r="B891" s="41">
        <v>20000000</v>
      </c>
      <c r="C891" s="41">
        <v>0</v>
      </c>
      <c r="D891" s="41">
        <v>50000000</v>
      </c>
      <c r="E891" s="41">
        <v>0</v>
      </c>
      <c r="F891" s="41">
        <v>50000000</v>
      </c>
      <c r="G891" s="41">
        <v>0</v>
      </c>
      <c r="H891" s="41">
        <v>50000000</v>
      </c>
      <c r="I891" s="41">
        <v>0</v>
      </c>
      <c r="J891" s="41">
        <v>40000000</v>
      </c>
      <c r="K891" s="41">
        <v>0</v>
      </c>
      <c r="L891" s="41">
        <v>10000000</v>
      </c>
      <c r="M891" s="41">
        <v>0</v>
      </c>
      <c r="N891" s="41">
        <v>72420833.333332822</v>
      </c>
      <c r="O891" s="41">
        <v>79166.666666666672</v>
      </c>
      <c r="P891" s="41">
        <v>75000000</v>
      </c>
      <c r="Q891" s="41">
        <v>0</v>
      </c>
      <c r="R891" s="41">
        <v>50000000</v>
      </c>
      <c r="S891" s="41">
        <v>0</v>
      </c>
      <c r="T891" s="41">
        <v>35000000</v>
      </c>
      <c r="U891" s="41">
        <v>0</v>
      </c>
      <c r="V891" s="41">
        <v>452420833.33333278</v>
      </c>
      <c r="W891" s="41">
        <v>79166.666666666672</v>
      </c>
      <c r="X891" s="38">
        <f t="shared" si="78"/>
        <v>0.90484166666666555</v>
      </c>
      <c r="Y891" s="39">
        <f t="shared" si="79"/>
        <v>1.5833333333333335E-4</v>
      </c>
      <c r="Z891" s="39">
        <f t="shared" si="83"/>
        <v>1.7501519868830733E-4</v>
      </c>
      <c r="AA891" s="41">
        <f t="shared" si="80"/>
        <v>47579166.666667223</v>
      </c>
      <c r="AB891" s="39">
        <f t="shared" si="81"/>
        <v>1.6638935108152886E-3</v>
      </c>
      <c r="AC891" s="38">
        <f t="shared" si="82"/>
        <v>0.19871717026749569</v>
      </c>
      <c r="AD891" s="3"/>
    </row>
    <row r="892" spans="1:30" x14ac:dyDescent="0.25">
      <c r="A892" s="37">
        <v>46528</v>
      </c>
      <c r="B892" s="41">
        <v>20000000</v>
      </c>
      <c r="C892" s="41">
        <v>0</v>
      </c>
      <c r="D892" s="41">
        <v>50000000</v>
      </c>
      <c r="E892" s="41">
        <v>0</v>
      </c>
      <c r="F892" s="41">
        <v>50000000</v>
      </c>
      <c r="G892" s="41">
        <v>0</v>
      </c>
      <c r="H892" s="41">
        <v>50000000</v>
      </c>
      <c r="I892" s="41">
        <v>0</v>
      </c>
      <c r="J892" s="41">
        <v>40000000</v>
      </c>
      <c r="K892" s="41">
        <v>0</v>
      </c>
      <c r="L892" s="41">
        <v>10000000</v>
      </c>
      <c r="M892" s="41">
        <v>0</v>
      </c>
      <c r="N892" s="41">
        <v>72499999.999999493</v>
      </c>
      <c r="O892" s="41">
        <v>79166.666666666672</v>
      </c>
      <c r="P892" s="41">
        <v>75000000</v>
      </c>
      <c r="Q892" s="41">
        <v>0</v>
      </c>
      <c r="R892" s="41">
        <v>50000000</v>
      </c>
      <c r="S892" s="41">
        <v>0</v>
      </c>
      <c r="T892" s="41">
        <v>35000000</v>
      </c>
      <c r="U892" s="41">
        <v>0</v>
      </c>
      <c r="V892" s="41">
        <v>452499999.99999952</v>
      </c>
      <c r="W892" s="41">
        <v>79166.666666666672</v>
      </c>
      <c r="X892" s="38">
        <f t="shared" si="78"/>
        <v>0.90499999999999903</v>
      </c>
      <c r="Y892" s="39">
        <f t="shared" si="79"/>
        <v>1.5833333333333335E-4</v>
      </c>
      <c r="Z892" s="39">
        <f t="shared" si="83"/>
        <v>1.7498457372836892E-4</v>
      </c>
      <c r="AA892" s="41">
        <f t="shared" si="80"/>
        <v>47500000.000000477</v>
      </c>
      <c r="AB892" s="39">
        <f t="shared" si="81"/>
        <v>1.6666666666666501E-3</v>
      </c>
      <c r="AC892" s="38">
        <f t="shared" si="82"/>
        <v>0.19867549668874196</v>
      </c>
      <c r="AD892" s="3"/>
    </row>
    <row r="893" spans="1:30" x14ac:dyDescent="0.25">
      <c r="A893" s="37">
        <v>46529</v>
      </c>
      <c r="B893" s="41">
        <v>20000000</v>
      </c>
      <c r="C893" s="41">
        <v>0</v>
      </c>
      <c r="D893" s="41">
        <v>50000000</v>
      </c>
      <c r="E893" s="41">
        <v>0</v>
      </c>
      <c r="F893" s="41">
        <v>50000000</v>
      </c>
      <c r="G893" s="41">
        <v>0</v>
      </c>
      <c r="H893" s="41">
        <v>50000000</v>
      </c>
      <c r="I893" s="41">
        <v>0</v>
      </c>
      <c r="J893" s="41">
        <v>40000000</v>
      </c>
      <c r="K893" s="41">
        <v>0</v>
      </c>
      <c r="L893" s="41">
        <v>10000000</v>
      </c>
      <c r="M893" s="41">
        <v>0</v>
      </c>
      <c r="N893" s="41">
        <v>72579166.666666165</v>
      </c>
      <c r="O893" s="41">
        <v>79166.666666666672</v>
      </c>
      <c r="P893" s="41">
        <v>75000000</v>
      </c>
      <c r="Q893" s="41">
        <v>0</v>
      </c>
      <c r="R893" s="41">
        <v>50000000</v>
      </c>
      <c r="S893" s="41">
        <v>0</v>
      </c>
      <c r="T893" s="41">
        <v>35000000</v>
      </c>
      <c r="U893" s="41">
        <v>0</v>
      </c>
      <c r="V893" s="41">
        <v>452579166.66666621</v>
      </c>
      <c r="W893" s="41">
        <v>79166.666666666672</v>
      </c>
      <c r="X893" s="38">
        <f t="shared" si="78"/>
        <v>0.9051583333333324</v>
      </c>
      <c r="Y893" s="39">
        <f t="shared" si="79"/>
        <v>1.5833333333333335E-4</v>
      </c>
      <c r="Z893" s="39">
        <f t="shared" si="83"/>
        <v>1.7495395948434643E-4</v>
      </c>
      <c r="AA893" s="41">
        <f t="shared" si="80"/>
        <v>47420833.33333379</v>
      </c>
      <c r="AB893" s="39">
        <f t="shared" si="81"/>
        <v>1.669449081802989E-3</v>
      </c>
      <c r="AC893" s="38">
        <f t="shared" si="82"/>
        <v>0.19863384058530795</v>
      </c>
      <c r="AD893" s="3"/>
    </row>
    <row r="894" spans="1:30" x14ac:dyDescent="0.25">
      <c r="A894" s="37">
        <v>46530</v>
      </c>
      <c r="B894" s="41">
        <v>20000000</v>
      </c>
      <c r="C894" s="41">
        <v>0</v>
      </c>
      <c r="D894" s="41">
        <v>50000000</v>
      </c>
      <c r="E894" s="41">
        <v>0</v>
      </c>
      <c r="F894" s="41">
        <v>50000000</v>
      </c>
      <c r="G894" s="41">
        <v>0</v>
      </c>
      <c r="H894" s="41">
        <v>50000000</v>
      </c>
      <c r="I894" s="41">
        <v>0</v>
      </c>
      <c r="J894" s="41">
        <v>40000000</v>
      </c>
      <c r="K894" s="41">
        <v>0</v>
      </c>
      <c r="L894" s="41">
        <v>10000000</v>
      </c>
      <c r="M894" s="41">
        <v>0</v>
      </c>
      <c r="N894" s="41">
        <v>72658333.333332837</v>
      </c>
      <c r="O894" s="41">
        <v>79166.666666666672</v>
      </c>
      <c r="P894" s="41">
        <v>75000000</v>
      </c>
      <c r="Q894" s="41">
        <v>0</v>
      </c>
      <c r="R894" s="41">
        <v>50000000</v>
      </c>
      <c r="S894" s="41">
        <v>0</v>
      </c>
      <c r="T894" s="41">
        <v>35000000</v>
      </c>
      <c r="U894" s="41">
        <v>0</v>
      </c>
      <c r="V894" s="41">
        <v>452658333.33333278</v>
      </c>
      <c r="W894" s="41">
        <v>79166.666666666672</v>
      </c>
      <c r="X894" s="38">
        <f t="shared" si="78"/>
        <v>0.90531666666666555</v>
      </c>
      <c r="Y894" s="39">
        <f t="shared" si="79"/>
        <v>1.5833333333333335E-4</v>
      </c>
      <c r="Z894" s="39">
        <f t="shared" si="83"/>
        <v>1.7492335595061656E-4</v>
      </c>
      <c r="AA894" s="41">
        <f t="shared" si="80"/>
        <v>47341666.666667223</v>
      </c>
      <c r="AB894" s="39">
        <f t="shared" si="81"/>
        <v>1.6722408026755657E-3</v>
      </c>
      <c r="AC894" s="38">
        <f t="shared" si="82"/>
        <v>0.19859220194620386</v>
      </c>
      <c r="AD894" s="3"/>
    </row>
    <row r="895" spans="1:30" x14ac:dyDescent="0.25">
      <c r="A895" s="37">
        <v>46531</v>
      </c>
      <c r="B895" s="41">
        <v>20000000</v>
      </c>
      <c r="C895" s="41">
        <v>0</v>
      </c>
      <c r="D895" s="41">
        <v>50000000</v>
      </c>
      <c r="E895" s="41">
        <v>0</v>
      </c>
      <c r="F895" s="41">
        <v>50000000</v>
      </c>
      <c r="G895" s="41">
        <v>0</v>
      </c>
      <c r="H895" s="41">
        <v>50000000</v>
      </c>
      <c r="I895" s="41">
        <v>0</v>
      </c>
      <c r="J895" s="41">
        <v>40000000</v>
      </c>
      <c r="K895" s="41">
        <v>0</v>
      </c>
      <c r="L895" s="41">
        <v>10000000</v>
      </c>
      <c r="M895" s="41">
        <v>0</v>
      </c>
      <c r="N895" s="41">
        <v>72737499.999999508</v>
      </c>
      <c r="O895" s="41">
        <v>79166.666666666672</v>
      </c>
      <c r="P895" s="41">
        <v>75000000</v>
      </c>
      <c r="Q895" s="41">
        <v>0</v>
      </c>
      <c r="R895" s="41">
        <v>50000000</v>
      </c>
      <c r="S895" s="41">
        <v>0</v>
      </c>
      <c r="T895" s="41">
        <v>35000000</v>
      </c>
      <c r="U895" s="41">
        <v>0</v>
      </c>
      <c r="V895" s="41">
        <v>452737499.99999952</v>
      </c>
      <c r="W895" s="41">
        <v>79166.666666666672</v>
      </c>
      <c r="X895" s="38">
        <f t="shared" si="78"/>
        <v>0.90547499999999903</v>
      </c>
      <c r="Y895" s="39">
        <f t="shared" si="79"/>
        <v>1.5833333333333335E-4</v>
      </c>
      <c r="Z895" s="39">
        <f t="shared" si="83"/>
        <v>1.748927631215599E-4</v>
      </c>
      <c r="AA895" s="41">
        <f t="shared" si="80"/>
        <v>47262500.000000477</v>
      </c>
      <c r="AB895" s="39">
        <f t="shared" si="81"/>
        <v>1.6750418760468843E-3</v>
      </c>
      <c r="AC895" s="38">
        <f t="shared" si="82"/>
        <v>0.19855058076044899</v>
      </c>
      <c r="AD895" s="3"/>
    </row>
    <row r="896" spans="1:30" x14ac:dyDescent="0.25">
      <c r="A896" s="37">
        <v>46532</v>
      </c>
      <c r="B896" s="41">
        <v>20000000</v>
      </c>
      <c r="C896" s="41">
        <v>0</v>
      </c>
      <c r="D896" s="41">
        <v>50000000</v>
      </c>
      <c r="E896" s="41">
        <v>0</v>
      </c>
      <c r="F896" s="41">
        <v>50000000</v>
      </c>
      <c r="G896" s="41">
        <v>0</v>
      </c>
      <c r="H896" s="41">
        <v>50000000</v>
      </c>
      <c r="I896" s="41">
        <v>0</v>
      </c>
      <c r="J896" s="41">
        <v>40000000</v>
      </c>
      <c r="K896" s="41">
        <v>0</v>
      </c>
      <c r="L896" s="41">
        <v>10000000</v>
      </c>
      <c r="M896" s="41">
        <v>0</v>
      </c>
      <c r="N896" s="41">
        <v>72816666.66666618</v>
      </c>
      <c r="O896" s="41">
        <v>79166.666666666672</v>
      </c>
      <c r="P896" s="41">
        <v>75000000</v>
      </c>
      <c r="Q896" s="41">
        <v>0</v>
      </c>
      <c r="R896" s="41">
        <v>50000000</v>
      </c>
      <c r="S896" s="41">
        <v>0</v>
      </c>
      <c r="T896" s="41">
        <v>35000000</v>
      </c>
      <c r="U896" s="41">
        <v>0</v>
      </c>
      <c r="V896" s="41">
        <v>452816666.66666621</v>
      </c>
      <c r="W896" s="41">
        <v>79166.666666666672</v>
      </c>
      <c r="X896" s="38">
        <f t="shared" si="78"/>
        <v>0.9056333333333324</v>
      </c>
      <c r="Y896" s="39">
        <f t="shared" si="79"/>
        <v>1.5833333333333335E-4</v>
      </c>
      <c r="Z896" s="39">
        <f t="shared" si="83"/>
        <v>1.7486218099156079E-4</v>
      </c>
      <c r="AA896" s="41">
        <f t="shared" si="80"/>
        <v>47183333.33333379</v>
      </c>
      <c r="AB896" s="39">
        <f t="shared" si="81"/>
        <v>1.6778523489932725E-3</v>
      </c>
      <c r="AC896" s="38">
        <f t="shared" si="82"/>
        <v>0.19850897701707201</v>
      </c>
      <c r="AD896" s="3"/>
    </row>
    <row r="897" spans="1:30" x14ac:dyDescent="0.25">
      <c r="A897" s="37">
        <v>46533</v>
      </c>
      <c r="B897" s="41">
        <v>20000000</v>
      </c>
      <c r="C897" s="41">
        <v>0</v>
      </c>
      <c r="D897" s="41">
        <v>50000000</v>
      </c>
      <c r="E897" s="41">
        <v>0</v>
      </c>
      <c r="F897" s="41">
        <v>50000000</v>
      </c>
      <c r="G897" s="41">
        <v>0</v>
      </c>
      <c r="H897" s="41">
        <v>50000000</v>
      </c>
      <c r="I897" s="41">
        <v>0</v>
      </c>
      <c r="J897" s="41">
        <v>40000000</v>
      </c>
      <c r="K897" s="41">
        <v>0</v>
      </c>
      <c r="L897" s="41">
        <v>10000000</v>
      </c>
      <c r="M897" s="41">
        <v>0</v>
      </c>
      <c r="N897" s="41">
        <v>72895833.333332852</v>
      </c>
      <c r="O897" s="41">
        <v>79166.666666666672</v>
      </c>
      <c r="P897" s="41">
        <v>75000000</v>
      </c>
      <c r="Q897" s="41">
        <v>0</v>
      </c>
      <c r="R897" s="41">
        <v>50000000</v>
      </c>
      <c r="S897" s="41">
        <v>0</v>
      </c>
      <c r="T897" s="41">
        <v>35000000</v>
      </c>
      <c r="U897" s="41">
        <v>0</v>
      </c>
      <c r="V897" s="41">
        <v>452895833.33333278</v>
      </c>
      <c r="W897" s="41">
        <v>79166.666666666672</v>
      </c>
      <c r="X897" s="38">
        <f t="shared" si="78"/>
        <v>0.90579166666666555</v>
      </c>
      <c r="Y897" s="39">
        <f t="shared" si="79"/>
        <v>1.5833333333333335E-4</v>
      </c>
      <c r="Z897" s="39">
        <f t="shared" si="83"/>
        <v>1.7483160955500773E-4</v>
      </c>
      <c r="AA897" s="41">
        <f t="shared" si="80"/>
        <v>47104166.666667223</v>
      </c>
      <c r="AB897" s="39">
        <f t="shared" si="81"/>
        <v>1.6806722689075432E-3</v>
      </c>
      <c r="AC897" s="38">
        <f t="shared" si="82"/>
        <v>0.19846739070511082</v>
      </c>
      <c r="AD897" s="3"/>
    </row>
    <row r="898" spans="1:30" x14ac:dyDescent="0.25">
      <c r="A898" s="37">
        <v>46534</v>
      </c>
      <c r="B898" s="41">
        <v>20000000</v>
      </c>
      <c r="C898" s="41">
        <v>0</v>
      </c>
      <c r="D898" s="41">
        <v>50000000</v>
      </c>
      <c r="E898" s="41">
        <v>0</v>
      </c>
      <c r="F898" s="41">
        <v>50000000</v>
      </c>
      <c r="G898" s="41">
        <v>0</v>
      </c>
      <c r="H898" s="41">
        <v>50000000</v>
      </c>
      <c r="I898" s="41">
        <v>0</v>
      </c>
      <c r="J898" s="41">
        <v>40000000</v>
      </c>
      <c r="K898" s="41">
        <v>0</v>
      </c>
      <c r="L898" s="41">
        <v>10000000</v>
      </c>
      <c r="M898" s="41">
        <v>0</v>
      </c>
      <c r="N898" s="41">
        <v>72974999.999999523</v>
      </c>
      <c r="O898" s="41">
        <v>79166.666666666672</v>
      </c>
      <c r="P898" s="41">
        <v>75000000</v>
      </c>
      <c r="Q898" s="41">
        <v>0</v>
      </c>
      <c r="R898" s="41">
        <v>50000000</v>
      </c>
      <c r="S898" s="41">
        <v>0</v>
      </c>
      <c r="T898" s="41">
        <v>35000000</v>
      </c>
      <c r="U898" s="41">
        <v>0</v>
      </c>
      <c r="V898" s="41">
        <v>452974999.99999952</v>
      </c>
      <c r="W898" s="41">
        <v>79166.666666666672</v>
      </c>
      <c r="X898" s="38">
        <f t="shared" si="78"/>
        <v>0.90594999999999903</v>
      </c>
      <c r="Y898" s="39">
        <f t="shared" si="79"/>
        <v>1.5833333333333335E-4</v>
      </c>
      <c r="Z898" s="39">
        <f t="shared" si="83"/>
        <v>1.7480104880629305E-4</v>
      </c>
      <c r="AA898" s="41">
        <f t="shared" si="80"/>
        <v>47025000.000000477</v>
      </c>
      <c r="AB898" s="39">
        <f t="shared" si="81"/>
        <v>1.6835016835016665E-3</v>
      </c>
      <c r="AC898" s="38">
        <f t="shared" si="82"/>
        <v>0.19842582181361226</v>
      </c>
      <c r="AD898" s="3"/>
    </row>
    <row r="899" spans="1:30" x14ac:dyDescent="0.25">
      <c r="A899" s="37">
        <v>46535</v>
      </c>
      <c r="B899" s="41">
        <v>20000000</v>
      </c>
      <c r="C899" s="41">
        <v>0</v>
      </c>
      <c r="D899" s="41">
        <v>50000000</v>
      </c>
      <c r="E899" s="41">
        <v>0</v>
      </c>
      <c r="F899" s="41">
        <v>50000000</v>
      </c>
      <c r="G899" s="41">
        <v>0</v>
      </c>
      <c r="H899" s="41">
        <v>50000000</v>
      </c>
      <c r="I899" s="41">
        <v>0</v>
      </c>
      <c r="J899" s="41">
        <v>40000000</v>
      </c>
      <c r="K899" s="41">
        <v>0</v>
      </c>
      <c r="L899" s="41">
        <v>10000000</v>
      </c>
      <c r="M899" s="41">
        <v>0</v>
      </c>
      <c r="N899" s="41">
        <v>73054166.666666195</v>
      </c>
      <c r="O899" s="41">
        <v>79166.666666666672</v>
      </c>
      <c r="P899" s="41">
        <v>75000000</v>
      </c>
      <c r="Q899" s="41">
        <v>0</v>
      </c>
      <c r="R899" s="41">
        <v>50000000</v>
      </c>
      <c r="S899" s="41">
        <v>0</v>
      </c>
      <c r="T899" s="41">
        <v>35000000</v>
      </c>
      <c r="U899" s="41">
        <v>0</v>
      </c>
      <c r="V899" s="41">
        <v>453054166.66666621</v>
      </c>
      <c r="W899" s="41">
        <v>79166.666666666672</v>
      </c>
      <c r="X899" s="38">
        <f t="shared" si="78"/>
        <v>0.90610833333333241</v>
      </c>
      <c r="Y899" s="39">
        <f t="shared" si="79"/>
        <v>1.5833333333333335E-4</v>
      </c>
      <c r="Z899" s="39">
        <f t="shared" si="83"/>
        <v>1.7477049873981291E-4</v>
      </c>
      <c r="AA899" s="41">
        <f t="shared" si="80"/>
        <v>46945833.33333379</v>
      </c>
      <c r="AB899" s="39">
        <f t="shared" si="81"/>
        <v>1.6863406408094272E-3</v>
      </c>
      <c r="AC899" s="38">
        <f t="shared" si="82"/>
        <v>0.19838427033163261</v>
      </c>
      <c r="AD899" s="3"/>
    </row>
    <row r="900" spans="1:30" x14ac:dyDescent="0.25">
      <c r="A900" s="37">
        <v>46536</v>
      </c>
      <c r="B900" s="41">
        <v>20000000</v>
      </c>
      <c r="C900" s="41">
        <v>0</v>
      </c>
      <c r="D900" s="41">
        <v>50000000</v>
      </c>
      <c r="E900" s="41">
        <v>0</v>
      </c>
      <c r="F900" s="41">
        <v>50000000</v>
      </c>
      <c r="G900" s="41">
        <v>0</v>
      </c>
      <c r="H900" s="41">
        <v>50000000</v>
      </c>
      <c r="I900" s="41">
        <v>0</v>
      </c>
      <c r="J900" s="41">
        <v>40000000</v>
      </c>
      <c r="K900" s="41">
        <v>0</v>
      </c>
      <c r="L900" s="41">
        <v>10000000</v>
      </c>
      <c r="M900" s="41">
        <v>0</v>
      </c>
      <c r="N900" s="41">
        <v>73133333.333332866</v>
      </c>
      <c r="O900" s="41">
        <v>79166.666666666672</v>
      </c>
      <c r="P900" s="41">
        <v>75000000</v>
      </c>
      <c r="Q900" s="41">
        <v>0</v>
      </c>
      <c r="R900" s="41">
        <v>50000000</v>
      </c>
      <c r="S900" s="41">
        <v>0</v>
      </c>
      <c r="T900" s="41">
        <v>35000000</v>
      </c>
      <c r="U900" s="41">
        <v>0</v>
      </c>
      <c r="V900" s="41">
        <v>453133333.3333329</v>
      </c>
      <c r="W900" s="41">
        <v>79166.666666666672</v>
      </c>
      <c r="X900" s="38">
        <f t="shared" si="78"/>
        <v>0.90626666666666578</v>
      </c>
      <c r="Y900" s="39">
        <f t="shared" si="79"/>
        <v>1.5833333333333335E-4</v>
      </c>
      <c r="Z900" s="39">
        <f t="shared" si="83"/>
        <v>1.7473995934996753E-4</v>
      </c>
      <c r="AA900" s="41">
        <f t="shared" si="80"/>
        <v>46866666.666667104</v>
      </c>
      <c r="AB900" s="39">
        <f t="shared" si="81"/>
        <v>1.6891891891891735E-3</v>
      </c>
      <c r="AC900" s="38">
        <f t="shared" si="82"/>
        <v>0.19834273624823717</v>
      </c>
      <c r="AD900" s="3"/>
    </row>
    <row r="901" spans="1:30" x14ac:dyDescent="0.25">
      <c r="A901" s="37">
        <v>46537</v>
      </c>
      <c r="B901" s="41">
        <v>20000000</v>
      </c>
      <c r="C901" s="41">
        <v>0</v>
      </c>
      <c r="D901" s="41">
        <v>50000000</v>
      </c>
      <c r="E901" s="41">
        <v>0</v>
      </c>
      <c r="F901" s="41">
        <v>50000000</v>
      </c>
      <c r="G901" s="41">
        <v>0</v>
      </c>
      <c r="H901" s="41">
        <v>50000000</v>
      </c>
      <c r="I901" s="41">
        <v>0</v>
      </c>
      <c r="J901" s="41">
        <v>40000000</v>
      </c>
      <c r="K901" s="41">
        <v>0</v>
      </c>
      <c r="L901" s="41">
        <v>10000000</v>
      </c>
      <c r="M901" s="41">
        <v>0</v>
      </c>
      <c r="N901" s="41">
        <v>73212499.999999538</v>
      </c>
      <c r="O901" s="41">
        <v>79166.666666666672</v>
      </c>
      <c r="P901" s="41">
        <v>75000000</v>
      </c>
      <c r="Q901" s="41">
        <v>0</v>
      </c>
      <c r="R901" s="41">
        <v>50000000</v>
      </c>
      <c r="S901" s="41">
        <v>0</v>
      </c>
      <c r="T901" s="41">
        <v>35000000</v>
      </c>
      <c r="U901" s="41">
        <v>0</v>
      </c>
      <c r="V901" s="41">
        <v>453212499.99999952</v>
      </c>
      <c r="W901" s="41">
        <v>79166.666666666672</v>
      </c>
      <c r="X901" s="38">
        <f t="shared" si="78"/>
        <v>0.90642499999999904</v>
      </c>
      <c r="Y901" s="39">
        <f t="shared" si="79"/>
        <v>1.5833333333333335E-4</v>
      </c>
      <c r="Z901" s="39">
        <f t="shared" si="83"/>
        <v>1.7470943063116099E-4</v>
      </c>
      <c r="AA901" s="41">
        <f t="shared" si="80"/>
        <v>46787500.000000477</v>
      </c>
      <c r="AB901" s="39">
        <f t="shared" si="81"/>
        <v>1.692047377326548E-3</v>
      </c>
      <c r="AC901" s="38">
        <f t="shared" si="82"/>
        <v>0.19830121955250049</v>
      </c>
      <c r="AD901" s="3"/>
    </row>
    <row r="902" spans="1:30" x14ac:dyDescent="0.25">
      <c r="A902" s="37">
        <v>46538</v>
      </c>
      <c r="B902" s="41">
        <v>20000000</v>
      </c>
      <c r="C902" s="41">
        <v>0</v>
      </c>
      <c r="D902" s="41">
        <v>50000000</v>
      </c>
      <c r="E902" s="41">
        <v>0</v>
      </c>
      <c r="F902" s="41">
        <v>50000000</v>
      </c>
      <c r="G902" s="41">
        <v>0</v>
      </c>
      <c r="H902" s="41">
        <v>50000000</v>
      </c>
      <c r="I902" s="41">
        <v>0</v>
      </c>
      <c r="J902" s="41">
        <v>40000000</v>
      </c>
      <c r="K902" s="41">
        <v>0</v>
      </c>
      <c r="L902" s="41">
        <v>10000000</v>
      </c>
      <c r="M902" s="41">
        <v>0</v>
      </c>
      <c r="N902" s="41">
        <v>73291666.66666621</v>
      </c>
      <c r="O902" s="41">
        <v>79166.666666666672</v>
      </c>
      <c r="P902" s="41">
        <v>75000000</v>
      </c>
      <c r="Q902" s="41">
        <v>0</v>
      </c>
      <c r="R902" s="41">
        <v>50000000</v>
      </c>
      <c r="S902" s="41">
        <v>0</v>
      </c>
      <c r="T902" s="41">
        <v>35000000</v>
      </c>
      <c r="U902" s="41">
        <v>0</v>
      </c>
      <c r="V902" s="41">
        <v>453291666.66666621</v>
      </c>
      <c r="W902" s="41">
        <v>79166.666666666672</v>
      </c>
      <c r="X902" s="38">
        <f t="shared" si="78"/>
        <v>0.90658333333333241</v>
      </c>
      <c r="Y902" s="39">
        <f t="shared" si="79"/>
        <v>1.5833333333333335E-4</v>
      </c>
      <c r="Z902" s="39">
        <f t="shared" si="83"/>
        <v>1.7467891257780127E-4</v>
      </c>
      <c r="AA902" s="41">
        <f t="shared" si="80"/>
        <v>46708333.33333379</v>
      </c>
      <c r="AB902" s="39">
        <f t="shared" si="81"/>
        <v>1.6949152542372716E-3</v>
      </c>
      <c r="AC902" s="38">
        <f t="shared" si="82"/>
        <v>0.19825972023350613</v>
      </c>
      <c r="AD902" s="3"/>
    </row>
    <row r="903" spans="1:30" x14ac:dyDescent="0.25">
      <c r="A903" s="37">
        <v>46539</v>
      </c>
      <c r="B903" s="41">
        <v>20000000</v>
      </c>
      <c r="C903" s="41">
        <v>0</v>
      </c>
      <c r="D903" s="41">
        <v>50000000</v>
      </c>
      <c r="E903" s="41">
        <v>0</v>
      </c>
      <c r="F903" s="41">
        <v>50000000</v>
      </c>
      <c r="G903" s="41">
        <v>0</v>
      </c>
      <c r="H903" s="41">
        <v>50000000</v>
      </c>
      <c r="I903" s="41">
        <v>0</v>
      </c>
      <c r="J903" s="41">
        <v>40000000</v>
      </c>
      <c r="K903" s="41">
        <v>0</v>
      </c>
      <c r="L903" s="41">
        <v>10000000</v>
      </c>
      <c r="M903" s="41">
        <v>0</v>
      </c>
      <c r="N903" s="41">
        <v>73370833.333332881</v>
      </c>
      <c r="O903" s="41">
        <v>79166.666666666672</v>
      </c>
      <c r="P903" s="41">
        <v>75000000</v>
      </c>
      <c r="Q903" s="41">
        <v>0</v>
      </c>
      <c r="R903" s="41">
        <v>50000000</v>
      </c>
      <c r="S903" s="41">
        <v>0</v>
      </c>
      <c r="T903" s="41">
        <v>35000000</v>
      </c>
      <c r="U903" s="41">
        <v>0</v>
      </c>
      <c r="V903" s="41">
        <v>453370833.3333329</v>
      </c>
      <c r="W903" s="41">
        <v>79166.666666666672</v>
      </c>
      <c r="X903" s="38">
        <f t="shared" si="78"/>
        <v>0.90674166666666578</v>
      </c>
      <c r="Y903" s="39">
        <f t="shared" si="79"/>
        <v>1.5833333333333335E-4</v>
      </c>
      <c r="Z903" s="39">
        <f t="shared" si="83"/>
        <v>1.7464840518430021E-4</v>
      </c>
      <c r="AA903" s="41">
        <f t="shared" si="80"/>
        <v>46629166.666667104</v>
      </c>
      <c r="AB903" s="39">
        <f t="shared" si="81"/>
        <v>1.6977928692699332E-3</v>
      </c>
      <c r="AC903" s="38">
        <f t="shared" si="82"/>
        <v>0.1982182382803469</v>
      </c>
      <c r="AD903" s="3"/>
    </row>
    <row r="904" spans="1:30" x14ac:dyDescent="0.25">
      <c r="A904" s="37">
        <v>46540</v>
      </c>
      <c r="B904" s="41">
        <v>20000000</v>
      </c>
      <c r="C904" s="41">
        <v>0</v>
      </c>
      <c r="D904" s="41">
        <v>50000000</v>
      </c>
      <c r="E904" s="41">
        <v>0</v>
      </c>
      <c r="F904" s="41">
        <v>50000000</v>
      </c>
      <c r="G904" s="41">
        <v>0</v>
      </c>
      <c r="H904" s="41">
        <v>50000000</v>
      </c>
      <c r="I904" s="41">
        <v>0</v>
      </c>
      <c r="J904" s="41">
        <v>40000000</v>
      </c>
      <c r="K904" s="41">
        <v>0</v>
      </c>
      <c r="L904" s="41">
        <v>10000000</v>
      </c>
      <c r="M904" s="41">
        <v>0</v>
      </c>
      <c r="N904" s="41">
        <v>73449999.999999553</v>
      </c>
      <c r="O904" s="41">
        <v>79166.666666666672</v>
      </c>
      <c r="P904" s="41">
        <v>75000000</v>
      </c>
      <c r="Q904" s="41">
        <v>0</v>
      </c>
      <c r="R904" s="41">
        <v>50000000</v>
      </c>
      <c r="S904" s="41">
        <v>0</v>
      </c>
      <c r="T904" s="41">
        <v>35000000</v>
      </c>
      <c r="U904" s="41">
        <v>0</v>
      </c>
      <c r="V904" s="41">
        <v>453449999.99999952</v>
      </c>
      <c r="W904" s="41">
        <v>79166.666666666672</v>
      </c>
      <c r="X904" s="38">
        <f t="shared" si="78"/>
        <v>0.90689999999999904</v>
      </c>
      <c r="Y904" s="39">
        <f t="shared" si="79"/>
        <v>1.5833333333333335E-4</v>
      </c>
      <c r="Z904" s="39">
        <f t="shared" si="83"/>
        <v>1.7461790844507365E-4</v>
      </c>
      <c r="AA904" s="41">
        <f t="shared" si="80"/>
        <v>46550000.000000477</v>
      </c>
      <c r="AB904" s="39">
        <f t="shared" si="81"/>
        <v>1.7006802721088261E-3</v>
      </c>
      <c r="AC904" s="38">
        <f t="shared" si="82"/>
        <v>0.19817677368212472</v>
      </c>
      <c r="AD904" s="3"/>
    </row>
    <row r="905" spans="1:30" x14ac:dyDescent="0.25">
      <c r="A905" s="37">
        <v>46541</v>
      </c>
      <c r="B905" s="41">
        <v>20000000</v>
      </c>
      <c r="C905" s="41">
        <v>0</v>
      </c>
      <c r="D905" s="41">
        <v>50000000</v>
      </c>
      <c r="E905" s="41">
        <v>0</v>
      </c>
      <c r="F905" s="41">
        <v>50000000</v>
      </c>
      <c r="G905" s="41">
        <v>0</v>
      </c>
      <c r="H905" s="41">
        <v>50000000</v>
      </c>
      <c r="I905" s="41">
        <v>0</v>
      </c>
      <c r="J905" s="41">
        <v>40000000</v>
      </c>
      <c r="K905" s="41">
        <v>0</v>
      </c>
      <c r="L905" s="41">
        <v>10000000</v>
      </c>
      <c r="M905" s="41">
        <v>0</v>
      </c>
      <c r="N905" s="41">
        <v>73529166.666666225</v>
      </c>
      <c r="O905" s="41">
        <v>79166.666666666672</v>
      </c>
      <c r="P905" s="41">
        <v>75000000</v>
      </c>
      <c r="Q905" s="41">
        <v>0</v>
      </c>
      <c r="R905" s="41">
        <v>50000000</v>
      </c>
      <c r="S905" s="41">
        <v>0</v>
      </c>
      <c r="T905" s="41">
        <v>35000000</v>
      </c>
      <c r="U905" s="41">
        <v>0</v>
      </c>
      <c r="V905" s="41">
        <v>453529166.66666621</v>
      </c>
      <c r="W905" s="41">
        <v>79166.666666666672</v>
      </c>
      <c r="X905" s="38">
        <f t="shared" si="78"/>
        <v>0.90705833333333241</v>
      </c>
      <c r="Y905" s="39">
        <f t="shared" si="79"/>
        <v>1.5833333333333335E-4</v>
      </c>
      <c r="Z905" s="39">
        <f t="shared" si="83"/>
        <v>1.7458742235454132E-4</v>
      </c>
      <c r="AA905" s="41">
        <f t="shared" si="80"/>
        <v>46470833.33333379</v>
      </c>
      <c r="AB905" s="39">
        <f t="shared" si="81"/>
        <v>1.7035775127768147E-3</v>
      </c>
      <c r="AC905" s="38">
        <f t="shared" si="82"/>
        <v>0.19813532642795054</v>
      </c>
      <c r="AD905" s="3"/>
    </row>
    <row r="906" spans="1:30" x14ac:dyDescent="0.25">
      <c r="A906" s="37">
        <v>46542</v>
      </c>
      <c r="B906" s="41">
        <v>20000000</v>
      </c>
      <c r="C906" s="41">
        <v>0</v>
      </c>
      <c r="D906" s="41">
        <v>50000000</v>
      </c>
      <c r="E906" s="41">
        <v>0</v>
      </c>
      <c r="F906" s="41">
        <v>50000000</v>
      </c>
      <c r="G906" s="41">
        <v>0</v>
      </c>
      <c r="H906" s="41">
        <v>50000000</v>
      </c>
      <c r="I906" s="41">
        <v>0</v>
      </c>
      <c r="J906" s="41">
        <v>40000000</v>
      </c>
      <c r="K906" s="41">
        <v>0</v>
      </c>
      <c r="L906" s="41">
        <v>10000000</v>
      </c>
      <c r="M906" s="41">
        <v>0</v>
      </c>
      <c r="N906" s="41">
        <v>73608333.333332896</v>
      </c>
      <c r="O906" s="41">
        <v>79166.666666666672</v>
      </c>
      <c r="P906" s="41">
        <v>75000000</v>
      </c>
      <c r="Q906" s="41">
        <v>0</v>
      </c>
      <c r="R906" s="41">
        <v>50000000</v>
      </c>
      <c r="S906" s="41">
        <v>0</v>
      </c>
      <c r="T906" s="41">
        <v>35000000</v>
      </c>
      <c r="U906" s="41">
        <v>0</v>
      </c>
      <c r="V906" s="41">
        <v>453608333.3333329</v>
      </c>
      <c r="W906" s="41">
        <v>79166.666666666672</v>
      </c>
      <c r="X906" s="38">
        <f t="shared" si="78"/>
        <v>0.90721666666666578</v>
      </c>
      <c r="Y906" s="39">
        <f t="shared" si="79"/>
        <v>1.5833333333333335E-4</v>
      </c>
      <c r="Z906" s="39">
        <f t="shared" si="83"/>
        <v>1.7455694690712671E-4</v>
      </c>
      <c r="AA906" s="41">
        <f t="shared" si="80"/>
        <v>46391666.666667104</v>
      </c>
      <c r="AB906" s="39">
        <f t="shared" si="81"/>
        <v>1.7064846416382092E-3</v>
      </c>
      <c r="AC906" s="38">
        <f t="shared" si="82"/>
        <v>0.19809389650694453</v>
      </c>
      <c r="AD906" s="3"/>
    </row>
    <row r="907" spans="1:30" x14ac:dyDescent="0.25">
      <c r="A907" s="37">
        <v>46543</v>
      </c>
      <c r="B907" s="41">
        <v>20000000</v>
      </c>
      <c r="C907" s="41">
        <v>0</v>
      </c>
      <c r="D907" s="41">
        <v>50000000</v>
      </c>
      <c r="E907" s="41">
        <v>0</v>
      </c>
      <c r="F907" s="41">
        <v>50000000</v>
      </c>
      <c r="G907" s="41">
        <v>0</v>
      </c>
      <c r="H907" s="41">
        <v>50000000</v>
      </c>
      <c r="I907" s="41">
        <v>0</v>
      </c>
      <c r="J907" s="41">
        <v>40000000</v>
      </c>
      <c r="K907" s="41">
        <v>0</v>
      </c>
      <c r="L907" s="41">
        <v>10000000</v>
      </c>
      <c r="M907" s="41">
        <v>0</v>
      </c>
      <c r="N907" s="41">
        <v>73687499.999999568</v>
      </c>
      <c r="O907" s="41">
        <v>79166.666666666672</v>
      </c>
      <c r="P907" s="41">
        <v>75000000</v>
      </c>
      <c r="Q907" s="41">
        <v>0</v>
      </c>
      <c r="R907" s="41">
        <v>50000000</v>
      </c>
      <c r="S907" s="41">
        <v>0</v>
      </c>
      <c r="T907" s="41">
        <v>35000000</v>
      </c>
      <c r="U907" s="41">
        <v>0</v>
      </c>
      <c r="V907" s="41">
        <v>453687499.99999958</v>
      </c>
      <c r="W907" s="41">
        <v>79166.666666666672</v>
      </c>
      <c r="X907" s="38">
        <f t="shared" si="78"/>
        <v>0.90737499999999915</v>
      </c>
      <c r="Y907" s="39">
        <f t="shared" si="79"/>
        <v>1.5833333333333335E-4</v>
      </c>
      <c r="Z907" s="39">
        <f t="shared" si="83"/>
        <v>1.7452648209725737E-4</v>
      </c>
      <c r="AA907" s="41">
        <f t="shared" si="80"/>
        <v>46312500.000000417</v>
      </c>
      <c r="AB907" s="39">
        <f t="shared" si="81"/>
        <v>1.709401709401694E-3</v>
      </c>
      <c r="AC907" s="38">
        <f t="shared" si="82"/>
        <v>0.1980524839082359</v>
      </c>
      <c r="AD907" s="3"/>
    </row>
    <row r="908" spans="1:30" x14ac:dyDescent="0.25">
      <c r="A908" s="37">
        <v>46544</v>
      </c>
      <c r="B908" s="41">
        <v>20000000</v>
      </c>
      <c r="C908" s="41">
        <v>0</v>
      </c>
      <c r="D908" s="41">
        <v>50000000</v>
      </c>
      <c r="E908" s="41">
        <v>0</v>
      </c>
      <c r="F908" s="41">
        <v>50000000</v>
      </c>
      <c r="G908" s="41">
        <v>0</v>
      </c>
      <c r="H908" s="41">
        <v>50000000</v>
      </c>
      <c r="I908" s="41">
        <v>0</v>
      </c>
      <c r="J908" s="41">
        <v>40000000</v>
      </c>
      <c r="K908" s="41">
        <v>0</v>
      </c>
      <c r="L908" s="41">
        <v>10000000</v>
      </c>
      <c r="M908" s="41">
        <v>0</v>
      </c>
      <c r="N908" s="41">
        <v>73766666.66666624</v>
      </c>
      <c r="O908" s="41">
        <v>79166.666666666672</v>
      </c>
      <c r="P908" s="41">
        <v>75000000</v>
      </c>
      <c r="Q908" s="41">
        <v>0</v>
      </c>
      <c r="R908" s="41">
        <v>50000000</v>
      </c>
      <c r="S908" s="41">
        <v>0</v>
      </c>
      <c r="T908" s="41">
        <v>35000000</v>
      </c>
      <c r="U908" s="41">
        <v>0</v>
      </c>
      <c r="V908" s="41">
        <v>453766666.66666633</v>
      </c>
      <c r="W908" s="41">
        <v>79166.666666666672</v>
      </c>
      <c r="X908" s="38">
        <f t="shared" si="78"/>
        <v>0.90753333333333264</v>
      </c>
      <c r="Y908" s="39">
        <f t="shared" si="79"/>
        <v>1.5833333333333335E-4</v>
      </c>
      <c r="Z908" s="39">
        <f t="shared" si="83"/>
        <v>1.7449602791936463E-4</v>
      </c>
      <c r="AA908" s="41">
        <f t="shared" si="80"/>
        <v>46233333.333333671</v>
      </c>
      <c r="AB908" s="39">
        <f t="shared" si="81"/>
        <v>1.7123287671232752E-3</v>
      </c>
      <c r="AC908" s="38">
        <f t="shared" si="82"/>
        <v>0.19801108862096295</v>
      </c>
      <c r="AD908" s="3"/>
    </row>
    <row r="909" spans="1:30" x14ac:dyDescent="0.25">
      <c r="A909" s="37">
        <v>46545</v>
      </c>
      <c r="B909" s="41">
        <v>20000000</v>
      </c>
      <c r="C909" s="41">
        <v>0</v>
      </c>
      <c r="D909" s="41">
        <v>50000000</v>
      </c>
      <c r="E909" s="41">
        <v>0</v>
      </c>
      <c r="F909" s="41">
        <v>50000000</v>
      </c>
      <c r="G909" s="41">
        <v>0</v>
      </c>
      <c r="H909" s="41">
        <v>50000000</v>
      </c>
      <c r="I909" s="41">
        <v>0</v>
      </c>
      <c r="J909" s="41">
        <v>40000000</v>
      </c>
      <c r="K909" s="41">
        <v>0</v>
      </c>
      <c r="L909" s="41">
        <v>10000000</v>
      </c>
      <c r="M909" s="41">
        <v>0</v>
      </c>
      <c r="N909" s="41">
        <v>73845833.333332911</v>
      </c>
      <c r="O909" s="41">
        <v>79166.666666666672</v>
      </c>
      <c r="P909" s="41">
        <v>75000000</v>
      </c>
      <c r="Q909" s="41">
        <v>0</v>
      </c>
      <c r="R909" s="41">
        <v>50000000</v>
      </c>
      <c r="S909" s="41">
        <v>0</v>
      </c>
      <c r="T909" s="41">
        <v>35000000</v>
      </c>
      <c r="U909" s="41">
        <v>0</v>
      </c>
      <c r="V909" s="41">
        <v>453845833.3333329</v>
      </c>
      <c r="W909" s="41">
        <v>79166.666666666672</v>
      </c>
      <c r="X909" s="38">
        <f t="shared" si="78"/>
        <v>0.90769166666666579</v>
      </c>
      <c r="Y909" s="39">
        <f t="shared" si="79"/>
        <v>1.5833333333333335E-4</v>
      </c>
      <c r="Z909" s="39">
        <f t="shared" si="83"/>
        <v>1.7446558436788379E-4</v>
      </c>
      <c r="AA909" s="41">
        <f t="shared" si="80"/>
        <v>46154166.666667104</v>
      </c>
      <c r="AB909" s="39">
        <f t="shared" si="81"/>
        <v>1.7152658662092464E-3</v>
      </c>
      <c r="AC909" s="38">
        <f t="shared" si="82"/>
        <v>0.19796971063427318</v>
      </c>
      <c r="AD909" s="3"/>
    </row>
    <row r="910" spans="1:30" x14ac:dyDescent="0.25">
      <c r="A910" s="37">
        <v>46546</v>
      </c>
      <c r="B910" s="41">
        <v>20000000</v>
      </c>
      <c r="C910" s="41">
        <v>0</v>
      </c>
      <c r="D910" s="41">
        <v>50000000</v>
      </c>
      <c r="E910" s="41">
        <v>0</v>
      </c>
      <c r="F910" s="41">
        <v>50000000</v>
      </c>
      <c r="G910" s="41">
        <v>0</v>
      </c>
      <c r="H910" s="41">
        <v>50000000</v>
      </c>
      <c r="I910" s="41">
        <v>0</v>
      </c>
      <c r="J910" s="41">
        <v>40000000</v>
      </c>
      <c r="K910" s="41">
        <v>0</v>
      </c>
      <c r="L910" s="41">
        <v>10000000</v>
      </c>
      <c r="M910" s="41">
        <v>0</v>
      </c>
      <c r="N910" s="41">
        <v>73924999.999999583</v>
      </c>
      <c r="O910" s="41">
        <v>79166.666666666672</v>
      </c>
      <c r="P910" s="41">
        <v>75000000</v>
      </c>
      <c r="Q910" s="41">
        <v>0</v>
      </c>
      <c r="R910" s="41">
        <v>50000000</v>
      </c>
      <c r="S910" s="41">
        <v>0</v>
      </c>
      <c r="T910" s="41">
        <v>35000000</v>
      </c>
      <c r="U910" s="41">
        <v>0</v>
      </c>
      <c r="V910" s="41">
        <v>453924999.99999958</v>
      </c>
      <c r="W910" s="41">
        <v>79166.666666666672</v>
      </c>
      <c r="X910" s="38">
        <f t="shared" si="78"/>
        <v>0.90784999999999916</v>
      </c>
      <c r="Y910" s="39">
        <f t="shared" si="79"/>
        <v>1.5833333333333335E-4</v>
      </c>
      <c r="Z910" s="39">
        <f t="shared" si="83"/>
        <v>1.7443515143725401E-4</v>
      </c>
      <c r="AA910" s="41">
        <f t="shared" si="80"/>
        <v>46075000.000000417</v>
      </c>
      <c r="AB910" s="39">
        <f t="shared" si="81"/>
        <v>1.7182130584192286E-3</v>
      </c>
      <c r="AC910" s="38">
        <f t="shared" si="82"/>
        <v>0.19792834993732292</v>
      </c>
      <c r="AD910" s="3"/>
    </row>
    <row r="911" spans="1:30" x14ac:dyDescent="0.25">
      <c r="A911" s="37">
        <v>46547</v>
      </c>
      <c r="B911" s="41">
        <v>20000000</v>
      </c>
      <c r="C911" s="41">
        <v>0</v>
      </c>
      <c r="D911" s="41">
        <v>50000000</v>
      </c>
      <c r="E911" s="41">
        <v>0</v>
      </c>
      <c r="F911" s="41">
        <v>50000000</v>
      </c>
      <c r="G911" s="41">
        <v>0</v>
      </c>
      <c r="H911" s="41">
        <v>50000000</v>
      </c>
      <c r="I911" s="41">
        <v>0</v>
      </c>
      <c r="J911" s="41">
        <v>40000000</v>
      </c>
      <c r="K911" s="41">
        <v>0</v>
      </c>
      <c r="L911" s="41">
        <v>10000000</v>
      </c>
      <c r="M911" s="41">
        <v>0</v>
      </c>
      <c r="N911" s="41">
        <v>74004166.666666254</v>
      </c>
      <c r="O911" s="41">
        <v>79166.666666666672</v>
      </c>
      <c r="P911" s="41">
        <v>75000000</v>
      </c>
      <c r="Q911" s="41">
        <v>0</v>
      </c>
      <c r="R911" s="41">
        <v>50000000</v>
      </c>
      <c r="S911" s="41">
        <v>0</v>
      </c>
      <c r="T911" s="41">
        <v>35000000</v>
      </c>
      <c r="U911" s="41">
        <v>0</v>
      </c>
      <c r="V911" s="41">
        <v>454004166.66666633</v>
      </c>
      <c r="W911" s="41">
        <v>79166.666666666672</v>
      </c>
      <c r="X911" s="38">
        <f t="shared" si="78"/>
        <v>0.90800833333333264</v>
      </c>
      <c r="Y911" s="39">
        <f t="shared" si="79"/>
        <v>1.5833333333333335E-4</v>
      </c>
      <c r="Z911" s="39">
        <f t="shared" si="83"/>
        <v>1.7440472912191824E-4</v>
      </c>
      <c r="AA911" s="41">
        <f t="shared" si="80"/>
        <v>45995833.333333671</v>
      </c>
      <c r="AB911" s="39">
        <f t="shared" si="81"/>
        <v>1.7211703958691785E-3</v>
      </c>
      <c r="AC911" s="38">
        <f t="shared" si="82"/>
        <v>0.19788700651927768</v>
      </c>
      <c r="AD911" s="3"/>
    </row>
    <row r="912" spans="1:30" x14ac:dyDescent="0.25">
      <c r="A912" s="37">
        <v>46548</v>
      </c>
      <c r="B912" s="41">
        <v>20000000</v>
      </c>
      <c r="C912" s="41">
        <v>0</v>
      </c>
      <c r="D912" s="41">
        <v>50000000</v>
      </c>
      <c r="E912" s="41">
        <v>0</v>
      </c>
      <c r="F912" s="41">
        <v>50000000</v>
      </c>
      <c r="G912" s="41">
        <v>0</v>
      </c>
      <c r="H912" s="41">
        <v>50000000</v>
      </c>
      <c r="I912" s="41">
        <v>0</v>
      </c>
      <c r="J912" s="41">
        <v>40000000</v>
      </c>
      <c r="K912" s="41">
        <v>0</v>
      </c>
      <c r="L912" s="41">
        <v>10000000</v>
      </c>
      <c r="M912" s="41">
        <v>0</v>
      </c>
      <c r="N912" s="41">
        <v>74083333.333332926</v>
      </c>
      <c r="O912" s="41">
        <v>79166.666666666672</v>
      </c>
      <c r="P912" s="41">
        <v>75000000</v>
      </c>
      <c r="Q912" s="41">
        <v>0</v>
      </c>
      <c r="R912" s="41">
        <v>50000000</v>
      </c>
      <c r="S912" s="41">
        <v>0</v>
      </c>
      <c r="T912" s="41">
        <v>35000000</v>
      </c>
      <c r="U912" s="41">
        <v>0</v>
      </c>
      <c r="V912" s="41">
        <v>454083333.3333329</v>
      </c>
      <c r="W912" s="41">
        <v>79166.666666666672</v>
      </c>
      <c r="X912" s="38">
        <f t="shared" si="78"/>
        <v>0.90816666666666579</v>
      </c>
      <c r="Y912" s="39">
        <f t="shared" si="79"/>
        <v>1.5833333333333335E-4</v>
      </c>
      <c r="Z912" s="39">
        <f t="shared" si="83"/>
        <v>1.743743174163234E-4</v>
      </c>
      <c r="AA912" s="41">
        <f t="shared" si="80"/>
        <v>45916666.666667104</v>
      </c>
      <c r="AB912" s="39">
        <f t="shared" si="81"/>
        <v>1.7241379310344665E-3</v>
      </c>
      <c r="AC912" s="38">
        <f t="shared" si="82"/>
        <v>0.19784568036931216</v>
      </c>
      <c r="AD912" s="3"/>
    </row>
    <row r="913" spans="1:30" x14ac:dyDescent="0.25">
      <c r="A913" s="37">
        <v>46549</v>
      </c>
      <c r="B913" s="41">
        <v>20000000</v>
      </c>
      <c r="C913" s="41">
        <v>0</v>
      </c>
      <c r="D913" s="41">
        <v>50000000</v>
      </c>
      <c r="E913" s="41">
        <v>0</v>
      </c>
      <c r="F913" s="41">
        <v>50000000</v>
      </c>
      <c r="G913" s="41">
        <v>0</v>
      </c>
      <c r="H913" s="41">
        <v>50000000</v>
      </c>
      <c r="I913" s="41">
        <v>0</v>
      </c>
      <c r="J913" s="41">
        <v>40000000</v>
      </c>
      <c r="K913" s="41">
        <v>0</v>
      </c>
      <c r="L913" s="41">
        <v>10000000</v>
      </c>
      <c r="M913" s="41">
        <v>0</v>
      </c>
      <c r="N913" s="41">
        <v>74162499.999999598</v>
      </c>
      <c r="O913" s="41">
        <v>79166.666666666672</v>
      </c>
      <c r="P913" s="41">
        <v>75000000</v>
      </c>
      <c r="Q913" s="41">
        <v>0</v>
      </c>
      <c r="R913" s="41">
        <v>50000000</v>
      </c>
      <c r="S913" s="41">
        <v>0</v>
      </c>
      <c r="T913" s="41">
        <v>35000000</v>
      </c>
      <c r="U913" s="41">
        <v>0</v>
      </c>
      <c r="V913" s="41">
        <v>454162499.99999958</v>
      </c>
      <c r="W913" s="41">
        <v>79166.666666666672</v>
      </c>
      <c r="X913" s="38">
        <f t="shared" si="78"/>
        <v>0.90832499999999916</v>
      </c>
      <c r="Y913" s="39">
        <f t="shared" si="79"/>
        <v>1.5833333333333335E-4</v>
      </c>
      <c r="Z913" s="39">
        <f t="shared" si="83"/>
        <v>1.7434391631492035E-4</v>
      </c>
      <c r="AA913" s="41">
        <f t="shared" si="80"/>
        <v>45837500.000000417</v>
      </c>
      <c r="AB913" s="39">
        <f t="shared" si="81"/>
        <v>1.7271157167530068E-3</v>
      </c>
      <c r="AC913" s="38">
        <f t="shared" si="82"/>
        <v>0.19780437147660984</v>
      </c>
      <c r="AD913" s="3"/>
    </row>
    <row r="914" spans="1:30" x14ac:dyDescent="0.25">
      <c r="A914" s="37">
        <v>46550</v>
      </c>
      <c r="B914" s="41">
        <v>20000000</v>
      </c>
      <c r="C914" s="41">
        <v>0</v>
      </c>
      <c r="D914" s="41">
        <v>50000000</v>
      </c>
      <c r="E914" s="41">
        <v>0</v>
      </c>
      <c r="F914" s="41">
        <v>50000000</v>
      </c>
      <c r="G914" s="41">
        <v>0</v>
      </c>
      <c r="H914" s="41">
        <v>50000000</v>
      </c>
      <c r="I914" s="41">
        <v>0</v>
      </c>
      <c r="J914" s="41">
        <v>40000000</v>
      </c>
      <c r="K914" s="41">
        <v>0</v>
      </c>
      <c r="L914" s="41">
        <v>10000000</v>
      </c>
      <c r="M914" s="41">
        <v>0</v>
      </c>
      <c r="N914" s="41">
        <v>74241666.666666269</v>
      </c>
      <c r="O914" s="41">
        <v>79166.666666666672</v>
      </c>
      <c r="P914" s="41">
        <v>75000000</v>
      </c>
      <c r="Q914" s="41">
        <v>0</v>
      </c>
      <c r="R914" s="41">
        <v>50000000</v>
      </c>
      <c r="S914" s="41">
        <v>0</v>
      </c>
      <c r="T914" s="41">
        <v>35000000</v>
      </c>
      <c r="U914" s="41">
        <v>0</v>
      </c>
      <c r="V914" s="41">
        <v>454241666.66666633</v>
      </c>
      <c r="W914" s="41">
        <v>79166.666666666672</v>
      </c>
      <c r="X914" s="38">
        <f t="shared" si="78"/>
        <v>0.90848333333333264</v>
      </c>
      <c r="Y914" s="39">
        <f t="shared" si="79"/>
        <v>1.5833333333333335E-4</v>
      </c>
      <c r="Z914" s="39">
        <f t="shared" si="83"/>
        <v>1.7431352581216358E-4</v>
      </c>
      <c r="AA914" s="41">
        <f t="shared" si="80"/>
        <v>45758333.333333671</v>
      </c>
      <c r="AB914" s="39">
        <f t="shared" si="81"/>
        <v>1.730103806228361E-3</v>
      </c>
      <c r="AC914" s="38">
        <f t="shared" si="82"/>
        <v>0.1977630798303634</v>
      </c>
      <c r="AD914" s="3"/>
    </row>
    <row r="915" spans="1:30" x14ac:dyDescent="0.25">
      <c r="A915" s="37">
        <v>46551</v>
      </c>
      <c r="B915" s="41">
        <v>20000000</v>
      </c>
      <c r="C915" s="41">
        <v>0</v>
      </c>
      <c r="D915" s="41">
        <v>50000000</v>
      </c>
      <c r="E915" s="41">
        <v>0</v>
      </c>
      <c r="F915" s="41">
        <v>50000000</v>
      </c>
      <c r="G915" s="41">
        <v>0</v>
      </c>
      <c r="H915" s="41">
        <v>50000000</v>
      </c>
      <c r="I915" s="41">
        <v>0</v>
      </c>
      <c r="J915" s="41">
        <v>40000000</v>
      </c>
      <c r="K915" s="41">
        <v>0</v>
      </c>
      <c r="L915" s="41">
        <v>10000000</v>
      </c>
      <c r="M915" s="41">
        <v>0</v>
      </c>
      <c r="N915" s="41">
        <v>74320833.333332941</v>
      </c>
      <c r="O915" s="41">
        <v>79166.666666666672</v>
      </c>
      <c r="P915" s="41">
        <v>75000000</v>
      </c>
      <c r="Q915" s="41">
        <v>0</v>
      </c>
      <c r="R915" s="41">
        <v>50000000</v>
      </c>
      <c r="S915" s="41">
        <v>0</v>
      </c>
      <c r="T915" s="41">
        <v>35000000</v>
      </c>
      <c r="U915" s="41">
        <v>0</v>
      </c>
      <c r="V915" s="41">
        <v>454320833.33333302</v>
      </c>
      <c r="W915" s="41">
        <v>79166.666666666672</v>
      </c>
      <c r="X915" s="38">
        <f t="shared" si="78"/>
        <v>0.90864166666666601</v>
      </c>
      <c r="Y915" s="39">
        <f t="shared" si="79"/>
        <v>1.5833333333333335E-4</v>
      </c>
      <c r="Z915" s="39">
        <f t="shared" si="83"/>
        <v>1.7428314590251166E-4</v>
      </c>
      <c r="AA915" s="41">
        <f t="shared" si="80"/>
        <v>45679166.666666985</v>
      </c>
      <c r="AB915" s="39">
        <f t="shared" si="81"/>
        <v>1.7331022530329169E-3</v>
      </c>
      <c r="AC915" s="38">
        <f t="shared" si="82"/>
        <v>0.19772180541977455</v>
      </c>
      <c r="AD915" s="3"/>
    </row>
    <row r="916" spans="1:30" x14ac:dyDescent="0.25">
      <c r="A916" s="37">
        <v>46552</v>
      </c>
      <c r="B916" s="41">
        <v>20000000</v>
      </c>
      <c r="C916" s="41">
        <v>0</v>
      </c>
      <c r="D916" s="41">
        <v>50000000</v>
      </c>
      <c r="E916" s="41">
        <v>0</v>
      </c>
      <c r="F916" s="41">
        <v>50000000</v>
      </c>
      <c r="G916" s="41">
        <v>0</v>
      </c>
      <c r="H916" s="41">
        <v>50000000</v>
      </c>
      <c r="I916" s="41">
        <v>0</v>
      </c>
      <c r="J916" s="41">
        <v>40000000</v>
      </c>
      <c r="K916" s="41">
        <v>0</v>
      </c>
      <c r="L916" s="41">
        <v>10000000</v>
      </c>
      <c r="M916" s="41">
        <v>0</v>
      </c>
      <c r="N916" s="41">
        <v>74399999.999999613</v>
      </c>
      <c r="O916" s="41">
        <v>79166.666666666672</v>
      </c>
      <c r="P916" s="41">
        <v>75000000</v>
      </c>
      <c r="Q916" s="41">
        <v>0</v>
      </c>
      <c r="R916" s="41">
        <v>50000000</v>
      </c>
      <c r="S916" s="41">
        <v>0</v>
      </c>
      <c r="T916" s="41">
        <v>35000000</v>
      </c>
      <c r="U916" s="41">
        <v>0</v>
      </c>
      <c r="V916" s="41">
        <v>454399999.99999958</v>
      </c>
      <c r="W916" s="41">
        <v>79166.666666666672</v>
      </c>
      <c r="X916" s="38">
        <f t="shared" si="78"/>
        <v>0.90879999999999916</v>
      </c>
      <c r="Y916" s="39">
        <f t="shared" si="79"/>
        <v>1.5833333333333335E-4</v>
      </c>
      <c r="Z916" s="39">
        <f t="shared" si="83"/>
        <v>1.7425277658042696E-4</v>
      </c>
      <c r="AA916" s="41">
        <f t="shared" si="80"/>
        <v>45600000.000000417</v>
      </c>
      <c r="AB916" s="39">
        <f t="shared" si="81"/>
        <v>1.7361111111110954E-3</v>
      </c>
      <c r="AC916" s="38">
        <f t="shared" si="82"/>
        <v>0.19768054823405398</v>
      </c>
      <c r="AD916" s="3"/>
    </row>
    <row r="917" spans="1:30" x14ac:dyDescent="0.25">
      <c r="A917" s="37">
        <v>46553</v>
      </c>
      <c r="B917" s="41">
        <v>20000000</v>
      </c>
      <c r="C917" s="41">
        <v>0</v>
      </c>
      <c r="D917" s="41">
        <v>50000000</v>
      </c>
      <c r="E917" s="41">
        <v>0</v>
      </c>
      <c r="F917" s="41">
        <v>50000000</v>
      </c>
      <c r="G917" s="41">
        <v>0</v>
      </c>
      <c r="H917" s="41">
        <v>50000000</v>
      </c>
      <c r="I917" s="41">
        <v>0</v>
      </c>
      <c r="J917" s="41">
        <v>40000000</v>
      </c>
      <c r="K917" s="41">
        <v>0</v>
      </c>
      <c r="L917" s="41">
        <v>10000000</v>
      </c>
      <c r="M917" s="41">
        <v>0</v>
      </c>
      <c r="N917" s="41">
        <v>74479166.666666284</v>
      </c>
      <c r="O917" s="41">
        <v>79166.666666666672</v>
      </c>
      <c r="P917" s="41">
        <v>75000000</v>
      </c>
      <c r="Q917" s="41">
        <v>0</v>
      </c>
      <c r="R917" s="41">
        <v>50000000</v>
      </c>
      <c r="S917" s="41">
        <v>0</v>
      </c>
      <c r="T917" s="41">
        <v>35000000</v>
      </c>
      <c r="U917" s="41">
        <v>0</v>
      </c>
      <c r="V917" s="41">
        <v>454479166.66666633</v>
      </c>
      <c r="W917" s="41">
        <v>79166.666666666672</v>
      </c>
      <c r="X917" s="38">
        <f t="shared" si="78"/>
        <v>0.90895833333333265</v>
      </c>
      <c r="Y917" s="39">
        <f t="shared" si="79"/>
        <v>1.5833333333333335E-4</v>
      </c>
      <c r="Z917" s="39">
        <f t="shared" si="83"/>
        <v>1.7422241784037577E-4</v>
      </c>
      <c r="AA917" s="41">
        <f t="shared" si="80"/>
        <v>45520833.333333671</v>
      </c>
      <c r="AB917" s="39">
        <f t="shared" si="81"/>
        <v>1.739130434782596E-3</v>
      </c>
      <c r="AC917" s="38">
        <f t="shared" si="82"/>
        <v>0.19763930826242126</v>
      </c>
      <c r="AD917" s="3"/>
    </row>
    <row r="918" spans="1:30" x14ac:dyDescent="0.25">
      <c r="A918" s="37">
        <v>46554</v>
      </c>
      <c r="B918" s="41">
        <v>20000000</v>
      </c>
      <c r="C918" s="41">
        <v>0</v>
      </c>
      <c r="D918" s="41">
        <v>50000000</v>
      </c>
      <c r="E918" s="41">
        <v>0</v>
      </c>
      <c r="F918" s="41">
        <v>50000000</v>
      </c>
      <c r="G918" s="41">
        <v>0</v>
      </c>
      <c r="H918" s="41">
        <v>50000000</v>
      </c>
      <c r="I918" s="41">
        <v>0</v>
      </c>
      <c r="J918" s="41">
        <v>40000000</v>
      </c>
      <c r="K918" s="41">
        <v>0</v>
      </c>
      <c r="L918" s="41">
        <v>10000000</v>
      </c>
      <c r="M918" s="41">
        <v>0</v>
      </c>
      <c r="N918" s="41">
        <v>74558333.333332956</v>
      </c>
      <c r="O918" s="41">
        <v>79166.666666666672</v>
      </c>
      <c r="P918" s="41">
        <v>75000000</v>
      </c>
      <c r="Q918" s="41">
        <v>0</v>
      </c>
      <c r="R918" s="41">
        <v>50000000</v>
      </c>
      <c r="S918" s="41">
        <v>0</v>
      </c>
      <c r="T918" s="41">
        <v>35000000</v>
      </c>
      <c r="U918" s="41">
        <v>0</v>
      </c>
      <c r="V918" s="41">
        <v>454558333.33333302</v>
      </c>
      <c r="W918" s="41">
        <v>79166.666666666672</v>
      </c>
      <c r="X918" s="38">
        <f t="shared" si="78"/>
        <v>0.90911666666666602</v>
      </c>
      <c r="Y918" s="39">
        <f t="shared" si="79"/>
        <v>1.5833333333333335E-4</v>
      </c>
      <c r="Z918" s="39">
        <f t="shared" si="83"/>
        <v>1.7419206967682802E-4</v>
      </c>
      <c r="AA918" s="41">
        <f t="shared" si="80"/>
        <v>45441666.666666985</v>
      </c>
      <c r="AB918" s="39">
        <f t="shared" si="81"/>
        <v>1.7421602787456325E-3</v>
      </c>
      <c r="AC918" s="38">
        <f t="shared" si="82"/>
        <v>0.19759808549410515</v>
      </c>
      <c r="AD918" s="3"/>
    </row>
    <row r="919" spans="1:30" x14ac:dyDescent="0.25">
      <c r="A919" s="37">
        <v>46555</v>
      </c>
      <c r="B919" s="41">
        <v>20000000</v>
      </c>
      <c r="C919" s="41">
        <v>0</v>
      </c>
      <c r="D919" s="41">
        <v>50000000</v>
      </c>
      <c r="E919" s="41">
        <v>0</v>
      </c>
      <c r="F919" s="41">
        <v>50000000</v>
      </c>
      <c r="G919" s="41">
        <v>0</v>
      </c>
      <c r="H919" s="41">
        <v>50000000</v>
      </c>
      <c r="I919" s="41">
        <v>0</v>
      </c>
      <c r="J919" s="41">
        <v>40000000</v>
      </c>
      <c r="K919" s="41">
        <v>0</v>
      </c>
      <c r="L919" s="41">
        <v>10000000</v>
      </c>
      <c r="M919" s="41">
        <v>0</v>
      </c>
      <c r="N919" s="41">
        <v>74637499.999999627</v>
      </c>
      <c r="O919" s="41">
        <v>79166.666666666672</v>
      </c>
      <c r="P919" s="41">
        <v>75000000</v>
      </c>
      <c r="Q919" s="41">
        <v>0</v>
      </c>
      <c r="R919" s="41">
        <v>50000000</v>
      </c>
      <c r="S919" s="41">
        <v>0</v>
      </c>
      <c r="T919" s="41">
        <v>35000000</v>
      </c>
      <c r="U919" s="41">
        <v>0</v>
      </c>
      <c r="V919" s="41">
        <v>454637499.99999958</v>
      </c>
      <c r="W919" s="41">
        <v>79166.666666666672</v>
      </c>
      <c r="X919" s="38">
        <f t="shared" ref="X919:X982" si="84">V919/$B$6</f>
        <v>0.90927499999999917</v>
      </c>
      <c r="Y919" s="39">
        <f t="shared" ref="Y919:Y982" si="85">W919/$B$6</f>
        <v>1.5833333333333335E-4</v>
      </c>
      <c r="Z919" s="39">
        <f t="shared" si="83"/>
        <v>1.7416173208425773E-4</v>
      </c>
      <c r="AA919" s="41">
        <f t="shared" ref="AA919:AA982" si="86">$B$6-V919</f>
        <v>45362500.000000417</v>
      </c>
      <c r="AB919" s="39">
        <f t="shared" ref="AB919:AB982" si="87">W919/AA919</f>
        <v>1.7452006980802632E-3</v>
      </c>
      <c r="AC919" s="38">
        <f t="shared" ref="AC919:AC982" si="88" xml:space="preserve"> P919/(V919-P919)</f>
        <v>0.19755687991834336</v>
      </c>
      <c r="AD919" s="3"/>
    </row>
    <row r="920" spans="1:30" x14ac:dyDescent="0.25">
      <c r="A920" s="37">
        <v>46556</v>
      </c>
      <c r="B920" s="41">
        <v>20000000</v>
      </c>
      <c r="C920" s="41">
        <v>0</v>
      </c>
      <c r="D920" s="41">
        <v>50000000</v>
      </c>
      <c r="E920" s="41">
        <v>0</v>
      </c>
      <c r="F920" s="41">
        <v>50000000</v>
      </c>
      <c r="G920" s="41">
        <v>0</v>
      </c>
      <c r="H920" s="41">
        <v>50000000</v>
      </c>
      <c r="I920" s="41">
        <v>0</v>
      </c>
      <c r="J920" s="41">
        <v>40000000</v>
      </c>
      <c r="K920" s="41">
        <v>0</v>
      </c>
      <c r="L920" s="41">
        <v>10000000</v>
      </c>
      <c r="M920" s="41">
        <v>0</v>
      </c>
      <c r="N920" s="41">
        <v>74716666.666666299</v>
      </c>
      <c r="O920" s="41">
        <v>79166.666666666672</v>
      </c>
      <c r="P920" s="41">
        <v>75000000</v>
      </c>
      <c r="Q920" s="41">
        <v>0</v>
      </c>
      <c r="R920" s="41">
        <v>50000000</v>
      </c>
      <c r="S920" s="41">
        <v>0</v>
      </c>
      <c r="T920" s="41">
        <v>35000000</v>
      </c>
      <c r="U920" s="41">
        <v>0</v>
      </c>
      <c r="V920" s="41">
        <v>454716666.66666633</v>
      </c>
      <c r="W920" s="41">
        <v>79166.666666666672</v>
      </c>
      <c r="X920" s="38">
        <f t="shared" si="84"/>
        <v>0.90943333333333265</v>
      </c>
      <c r="Y920" s="39">
        <f t="shared" si="85"/>
        <v>1.5833333333333335E-4</v>
      </c>
      <c r="Z920" s="39">
        <f t="shared" ref="Z920:Z983" si="89">W920/V919</f>
        <v>1.7413140505714278E-4</v>
      </c>
      <c r="AA920" s="41">
        <f t="shared" si="86"/>
        <v>45283333.333333671</v>
      </c>
      <c r="AB920" s="39">
        <f t="shared" si="87"/>
        <v>1.7482517482517352E-3</v>
      </c>
      <c r="AC920" s="38">
        <f t="shared" si="88"/>
        <v>0.19751569152438239</v>
      </c>
      <c r="AD920" s="3"/>
    </row>
    <row r="921" spans="1:30" x14ac:dyDescent="0.25">
      <c r="A921" s="37">
        <v>46557</v>
      </c>
      <c r="B921" s="41">
        <v>20000000</v>
      </c>
      <c r="C921" s="41">
        <v>0</v>
      </c>
      <c r="D921" s="41">
        <v>50000000</v>
      </c>
      <c r="E921" s="41">
        <v>0</v>
      </c>
      <c r="F921" s="41">
        <v>50000000</v>
      </c>
      <c r="G921" s="41">
        <v>0</v>
      </c>
      <c r="H921" s="41">
        <v>50000000</v>
      </c>
      <c r="I921" s="41">
        <v>0</v>
      </c>
      <c r="J921" s="41">
        <v>40000000</v>
      </c>
      <c r="K921" s="41">
        <v>0</v>
      </c>
      <c r="L921" s="41">
        <v>10000000</v>
      </c>
      <c r="M921" s="41">
        <v>0</v>
      </c>
      <c r="N921" s="41">
        <v>74795833.333332971</v>
      </c>
      <c r="O921" s="41">
        <v>79166.666666666672</v>
      </c>
      <c r="P921" s="41">
        <v>75000000</v>
      </c>
      <c r="Q921" s="41">
        <v>0</v>
      </c>
      <c r="R921" s="41">
        <v>50000000</v>
      </c>
      <c r="S921" s="41">
        <v>0</v>
      </c>
      <c r="T921" s="41">
        <v>35000000</v>
      </c>
      <c r="U921" s="41">
        <v>0</v>
      </c>
      <c r="V921" s="41">
        <v>454795833.33333302</v>
      </c>
      <c r="W921" s="41">
        <v>79166.666666666672</v>
      </c>
      <c r="X921" s="38">
        <f t="shared" si="84"/>
        <v>0.90959166666666602</v>
      </c>
      <c r="Y921" s="39">
        <f t="shared" si="85"/>
        <v>1.5833333333333335E-4</v>
      </c>
      <c r="Z921" s="39">
        <f t="shared" si="89"/>
        <v>1.7410108858996459E-4</v>
      </c>
      <c r="AA921" s="41">
        <f t="shared" si="86"/>
        <v>45204166.666666985</v>
      </c>
      <c r="AB921" s="39">
        <f t="shared" si="87"/>
        <v>1.7513134851138232E-3</v>
      </c>
      <c r="AC921" s="38">
        <f t="shared" si="88"/>
        <v>0.19747452030147794</v>
      </c>
      <c r="AD921" s="3"/>
    </row>
    <row r="922" spans="1:30" x14ac:dyDescent="0.25">
      <c r="A922" s="37">
        <v>46558</v>
      </c>
      <c r="B922" s="41">
        <v>20000000</v>
      </c>
      <c r="C922" s="41">
        <v>0</v>
      </c>
      <c r="D922" s="41">
        <v>50000000</v>
      </c>
      <c r="E922" s="41">
        <v>0</v>
      </c>
      <c r="F922" s="41">
        <v>50000000</v>
      </c>
      <c r="G922" s="41">
        <v>0</v>
      </c>
      <c r="H922" s="41">
        <v>50000000</v>
      </c>
      <c r="I922" s="41">
        <v>0</v>
      </c>
      <c r="J922" s="41">
        <v>40000000</v>
      </c>
      <c r="K922" s="41">
        <v>0</v>
      </c>
      <c r="L922" s="41">
        <v>10000000</v>
      </c>
      <c r="M922" s="41">
        <v>0</v>
      </c>
      <c r="N922" s="41">
        <v>74874999.999999642</v>
      </c>
      <c r="O922" s="41">
        <v>79166.666666666672</v>
      </c>
      <c r="P922" s="41">
        <v>75000000</v>
      </c>
      <c r="Q922" s="41">
        <v>0</v>
      </c>
      <c r="R922" s="41">
        <v>50000000</v>
      </c>
      <c r="S922" s="41">
        <v>0</v>
      </c>
      <c r="T922" s="41">
        <v>35000000</v>
      </c>
      <c r="U922" s="41">
        <v>0</v>
      </c>
      <c r="V922" s="41">
        <v>454874999.99999958</v>
      </c>
      <c r="W922" s="41">
        <v>79166.666666666672</v>
      </c>
      <c r="X922" s="38">
        <f t="shared" si="84"/>
        <v>0.90974999999999917</v>
      </c>
      <c r="Y922" s="39">
        <f t="shared" si="85"/>
        <v>1.5833333333333335E-4</v>
      </c>
      <c r="Z922" s="39">
        <f t="shared" si="89"/>
        <v>1.7407078267720876E-4</v>
      </c>
      <c r="AA922" s="41">
        <f t="shared" si="86"/>
        <v>45125000.000000417</v>
      </c>
      <c r="AB922" s="39">
        <f t="shared" si="87"/>
        <v>1.7543859649122647E-3</v>
      </c>
      <c r="AC922" s="38">
        <f t="shared" si="88"/>
        <v>0.1974333662388946</v>
      </c>
      <c r="AD922" s="3"/>
    </row>
    <row r="923" spans="1:30" x14ac:dyDescent="0.25">
      <c r="A923" s="37">
        <v>46559</v>
      </c>
      <c r="B923" s="41">
        <v>20000000</v>
      </c>
      <c r="C923" s="41">
        <v>0</v>
      </c>
      <c r="D923" s="41">
        <v>50000000</v>
      </c>
      <c r="E923" s="41">
        <v>0</v>
      </c>
      <c r="F923" s="41">
        <v>50000000</v>
      </c>
      <c r="G923" s="41">
        <v>0</v>
      </c>
      <c r="H923" s="41">
        <v>50000000</v>
      </c>
      <c r="I923" s="41">
        <v>0</v>
      </c>
      <c r="J923" s="41">
        <v>40000000</v>
      </c>
      <c r="K923" s="41">
        <v>0</v>
      </c>
      <c r="L923" s="41">
        <v>10000000</v>
      </c>
      <c r="M923" s="41">
        <v>0</v>
      </c>
      <c r="N923" s="41">
        <v>74954166.666666314</v>
      </c>
      <c r="O923" s="41">
        <v>79166.666666666672</v>
      </c>
      <c r="P923" s="41">
        <v>75000000</v>
      </c>
      <c r="Q923" s="41">
        <v>0</v>
      </c>
      <c r="R923" s="41">
        <v>50000000</v>
      </c>
      <c r="S923" s="41">
        <v>0</v>
      </c>
      <c r="T923" s="41">
        <v>35000000</v>
      </c>
      <c r="U923" s="41">
        <v>0</v>
      </c>
      <c r="V923" s="41">
        <v>454954166.66666633</v>
      </c>
      <c r="W923" s="41">
        <v>79166.666666666672</v>
      </c>
      <c r="X923" s="38">
        <f t="shared" si="84"/>
        <v>0.90990833333333265</v>
      </c>
      <c r="Y923" s="39">
        <f t="shared" si="85"/>
        <v>1.5833333333333335E-4</v>
      </c>
      <c r="Z923" s="39">
        <f t="shared" si="89"/>
        <v>1.7404048731336464E-4</v>
      </c>
      <c r="AA923" s="41">
        <f t="shared" si="86"/>
        <v>45045833.333333671</v>
      </c>
      <c r="AB923" s="39">
        <f t="shared" si="87"/>
        <v>1.7574692442882118E-3</v>
      </c>
      <c r="AC923" s="38">
        <f t="shared" si="88"/>
        <v>0.19739222932590572</v>
      </c>
      <c r="AD923" s="3"/>
    </row>
    <row r="924" spans="1:30" x14ac:dyDescent="0.25">
      <c r="A924" s="37">
        <v>46560</v>
      </c>
      <c r="B924" s="41">
        <v>20000000</v>
      </c>
      <c r="C924" s="41">
        <v>0</v>
      </c>
      <c r="D924" s="41">
        <v>50000000</v>
      </c>
      <c r="E924" s="41">
        <v>0</v>
      </c>
      <c r="F924" s="41">
        <v>50000000</v>
      </c>
      <c r="G924" s="41">
        <v>0</v>
      </c>
      <c r="H924" s="41">
        <v>50000000</v>
      </c>
      <c r="I924" s="41">
        <v>0</v>
      </c>
      <c r="J924" s="41">
        <v>40000000</v>
      </c>
      <c r="K924" s="41">
        <v>0</v>
      </c>
      <c r="L924" s="41">
        <v>10000000</v>
      </c>
      <c r="M924" s="41">
        <v>0</v>
      </c>
      <c r="N924" s="41">
        <v>75033333.333332986</v>
      </c>
      <c r="O924" s="41">
        <v>79166.666666666672</v>
      </c>
      <c r="P924" s="41">
        <v>75000000</v>
      </c>
      <c r="Q924" s="41">
        <v>0</v>
      </c>
      <c r="R924" s="41">
        <v>50000000</v>
      </c>
      <c r="S924" s="41">
        <v>0</v>
      </c>
      <c r="T924" s="41">
        <v>35000000</v>
      </c>
      <c r="U924" s="41">
        <v>0</v>
      </c>
      <c r="V924" s="41">
        <v>455033333.33333302</v>
      </c>
      <c r="W924" s="41">
        <v>79166.666666666672</v>
      </c>
      <c r="X924" s="38">
        <f t="shared" si="84"/>
        <v>0.91006666666666602</v>
      </c>
      <c r="Y924" s="39">
        <f t="shared" si="85"/>
        <v>1.5833333333333335E-4</v>
      </c>
      <c r="Z924" s="39">
        <f t="shared" si="89"/>
        <v>1.7401020249292526E-4</v>
      </c>
      <c r="AA924" s="41">
        <f t="shared" si="86"/>
        <v>44966666.666666985</v>
      </c>
      <c r="AB924" s="39">
        <f t="shared" si="87"/>
        <v>1.7605633802816778E-3</v>
      </c>
      <c r="AC924" s="38">
        <f t="shared" si="88"/>
        <v>0.19735110955179386</v>
      </c>
      <c r="AD924" s="3"/>
    </row>
    <row r="925" spans="1:30" x14ac:dyDescent="0.25">
      <c r="A925" s="37">
        <v>46561</v>
      </c>
      <c r="B925" s="41">
        <v>20000000</v>
      </c>
      <c r="C925" s="41">
        <v>0</v>
      </c>
      <c r="D925" s="41">
        <v>50000000</v>
      </c>
      <c r="E925" s="41">
        <v>0</v>
      </c>
      <c r="F925" s="41">
        <v>50000000</v>
      </c>
      <c r="G925" s="41">
        <v>0</v>
      </c>
      <c r="H925" s="41">
        <v>50000000</v>
      </c>
      <c r="I925" s="41">
        <v>0</v>
      </c>
      <c r="J925" s="41">
        <v>40000000</v>
      </c>
      <c r="K925" s="41">
        <v>0</v>
      </c>
      <c r="L925" s="41">
        <v>10000000</v>
      </c>
      <c r="M925" s="41">
        <v>0</v>
      </c>
      <c r="N925" s="41">
        <v>75112499.999999657</v>
      </c>
      <c r="O925" s="41">
        <v>79166.666666666672</v>
      </c>
      <c r="P925" s="41">
        <v>75000000</v>
      </c>
      <c r="Q925" s="41">
        <v>0</v>
      </c>
      <c r="R925" s="41">
        <v>50000000</v>
      </c>
      <c r="S925" s="41">
        <v>0</v>
      </c>
      <c r="T925" s="41">
        <v>35000000</v>
      </c>
      <c r="U925" s="41">
        <v>0</v>
      </c>
      <c r="V925" s="41">
        <v>455112499.99999958</v>
      </c>
      <c r="W925" s="41">
        <v>79166.666666666672</v>
      </c>
      <c r="X925" s="38">
        <f t="shared" si="84"/>
        <v>0.91022499999999917</v>
      </c>
      <c r="Y925" s="39">
        <f t="shared" si="85"/>
        <v>1.5833333333333335E-4</v>
      </c>
      <c r="Z925" s="39">
        <f t="shared" si="89"/>
        <v>1.7397992821038764E-4</v>
      </c>
      <c r="AA925" s="41">
        <f t="shared" si="86"/>
        <v>44887500.000000417</v>
      </c>
      <c r="AB925" s="39">
        <f t="shared" si="87"/>
        <v>1.7636684303350806E-3</v>
      </c>
      <c r="AC925" s="38">
        <f t="shared" si="88"/>
        <v>0.19731000690585046</v>
      </c>
      <c r="AD925" s="3"/>
    </row>
    <row r="926" spans="1:30" x14ac:dyDescent="0.25">
      <c r="A926" s="37">
        <v>46562</v>
      </c>
      <c r="B926" s="41">
        <v>20000000</v>
      </c>
      <c r="C926" s="41">
        <v>0</v>
      </c>
      <c r="D926" s="41">
        <v>50000000</v>
      </c>
      <c r="E926" s="41">
        <v>0</v>
      </c>
      <c r="F926" s="41">
        <v>50000000</v>
      </c>
      <c r="G926" s="41">
        <v>0</v>
      </c>
      <c r="H926" s="41">
        <v>50000000</v>
      </c>
      <c r="I926" s="41">
        <v>0</v>
      </c>
      <c r="J926" s="41">
        <v>40000000</v>
      </c>
      <c r="K926" s="41">
        <v>0</v>
      </c>
      <c r="L926" s="41">
        <v>10000000</v>
      </c>
      <c r="M926" s="41">
        <v>0</v>
      </c>
      <c r="N926" s="41">
        <v>75191666.666666329</v>
      </c>
      <c r="O926" s="41">
        <v>79166.666666666672</v>
      </c>
      <c r="P926" s="41">
        <v>75000000</v>
      </c>
      <c r="Q926" s="41">
        <v>0</v>
      </c>
      <c r="R926" s="41">
        <v>50000000</v>
      </c>
      <c r="S926" s="41">
        <v>0</v>
      </c>
      <c r="T926" s="41">
        <v>35000000</v>
      </c>
      <c r="U926" s="41">
        <v>0</v>
      </c>
      <c r="V926" s="41">
        <v>455191666.66666633</v>
      </c>
      <c r="W926" s="41">
        <v>79166.666666666672</v>
      </c>
      <c r="X926" s="38">
        <f t="shared" si="84"/>
        <v>0.91038333333333266</v>
      </c>
      <c r="Y926" s="39">
        <f t="shared" si="85"/>
        <v>1.5833333333333335E-4</v>
      </c>
      <c r="Z926" s="39">
        <f t="shared" si="89"/>
        <v>1.7394966446025267E-4</v>
      </c>
      <c r="AA926" s="41">
        <f t="shared" si="86"/>
        <v>44808333.333333671</v>
      </c>
      <c r="AB926" s="39">
        <f t="shared" si="87"/>
        <v>1.7667844522968065E-3</v>
      </c>
      <c r="AC926" s="38">
        <f t="shared" si="88"/>
        <v>0.19726892137737562</v>
      </c>
      <c r="AD926" s="3"/>
    </row>
    <row r="927" spans="1:30" x14ac:dyDescent="0.25">
      <c r="A927" s="37">
        <v>46563</v>
      </c>
      <c r="B927" s="41">
        <v>20000000</v>
      </c>
      <c r="C927" s="41">
        <v>0</v>
      </c>
      <c r="D927" s="41">
        <v>50000000</v>
      </c>
      <c r="E927" s="41">
        <v>0</v>
      </c>
      <c r="F927" s="41">
        <v>50000000</v>
      </c>
      <c r="G927" s="41">
        <v>0</v>
      </c>
      <c r="H927" s="41">
        <v>50000000</v>
      </c>
      <c r="I927" s="41">
        <v>0</v>
      </c>
      <c r="J927" s="41">
        <v>40000000</v>
      </c>
      <c r="K927" s="41">
        <v>0</v>
      </c>
      <c r="L927" s="41">
        <v>10000000</v>
      </c>
      <c r="M927" s="41">
        <v>0</v>
      </c>
      <c r="N927" s="41">
        <v>75270833.333333001</v>
      </c>
      <c r="O927" s="41">
        <v>79166.666666666672</v>
      </c>
      <c r="P927" s="41">
        <v>75000000</v>
      </c>
      <c r="Q927" s="41">
        <v>0</v>
      </c>
      <c r="R927" s="41">
        <v>50000000</v>
      </c>
      <c r="S927" s="41">
        <v>0</v>
      </c>
      <c r="T927" s="41">
        <v>35000000</v>
      </c>
      <c r="U927" s="41">
        <v>0</v>
      </c>
      <c r="V927" s="41">
        <v>455270833.33333302</v>
      </c>
      <c r="W927" s="41">
        <v>79166.666666666672</v>
      </c>
      <c r="X927" s="38">
        <f t="shared" si="84"/>
        <v>0.91054166666666603</v>
      </c>
      <c r="Y927" s="39">
        <f t="shared" si="85"/>
        <v>1.5833333333333335E-4</v>
      </c>
      <c r="Z927" s="39">
        <f t="shared" si="89"/>
        <v>1.7391941123702485E-4</v>
      </c>
      <c r="AA927" s="41">
        <f t="shared" si="86"/>
        <v>44729166.666666985</v>
      </c>
      <c r="AB927" s="39">
        <f t="shared" si="87"/>
        <v>1.7699115044247664E-3</v>
      </c>
      <c r="AC927" s="38">
        <f t="shared" si="88"/>
        <v>0.19722785295567868</v>
      </c>
      <c r="AD927" s="3"/>
    </row>
    <row r="928" spans="1:30" x14ac:dyDescent="0.25">
      <c r="A928" s="37">
        <v>46564</v>
      </c>
      <c r="B928" s="41">
        <v>20000000</v>
      </c>
      <c r="C928" s="41">
        <v>0</v>
      </c>
      <c r="D928" s="41">
        <v>50000000</v>
      </c>
      <c r="E928" s="41">
        <v>0</v>
      </c>
      <c r="F928" s="41">
        <v>50000000</v>
      </c>
      <c r="G928" s="41">
        <v>0</v>
      </c>
      <c r="H928" s="41">
        <v>50000000</v>
      </c>
      <c r="I928" s="41">
        <v>0</v>
      </c>
      <c r="J928" s="41">
        <v>40000000</v>
      </c>
      <c r="K928" s="41">
        <v>0</v>
      </c>
      <c r="L928" s="41">
        <v>10000000</v>
      </c>
      <c r="M928" s="41">
        <v>0</v>
      </c>
      <c r="N928" s="41">
        <v>75349999.999999672</v>
      </c>
      <c r="O928" s="41">
        <v>79166.666666666672</v>
      </c>
      <c r="P928" s="41">
        <v>75000000</v>
      </c>
      <c r="Q928" s="41">
        <v>0</v>
      </c>
      <c r="R928" s="41">
        <v>50000000</v>
      </c>
      <c r="S928" s="41">
        <v>0</v>
      </c>
      <c r="T928" s="41">
        <v>35000000</v>
      </c>
      <c r="U928" s="41">
        <v>0</v>
      </c>
      <c r="V928" s="41">
        <v>455349999.99999958</v>
      </c>
      <c r="W928" s="41">
        <v>79166.666666666672</v>
      </c>
      <c r="X928" s="38">
        <f t="shared" si="84"/>
        <v>0.91069999999999918</v>
      </c>
      <c r="Y928" s="39">
        <f t="shared" si="85"/>
        <v>1.5833333333333335E-4</v>
      </c>
      <c r="Z928" s="39">
        <f t="shared" si="89"/>
        <v>1.7388916853521268E-4</v>
      </c>
      <c r="AA928" s="41">
        <f t="shared" si="86"/>
        <v>44650000.000000417</v>
      </c>
      <c r="AB928" s="39">
        <f t="shared" si="87"/>
        <v>1.7730496453900544E-3</v>
      </c>
      <c r="AC928" s="38">
        <f t="shared" si="88"/>
        <v>0.19718680163007776</v>
      </c>
      <c r="AD928" s="3"/>
    </row>
    <row r="929" spans="1:30" x14ac:dyDescent="0.25">
      <c r="A929" s="37">
        <v>46565</v>
      </c>
      <c r="B929" s="41">
        <v>20000000</v>
      </c>
      <c r="C929" s="41">
        <v>0</v>
      </c>
      <c r="D929" s="41">
        <v>50000000</v>
      </c>
      <c r="E929" s="41">
        <v>0</v>
      </c>
      <c r="F929" s="41">
        <v>50000000</v>
      </c>
      <c r="G929" s="41">
        <v>0</v>
      </c>
      <c r="H929" s="41">
        <v>50000000</v>
      </c>
      <c r="I929" s="41">
        <v>0</v>
      </c>
      <c r="J929" s="41">
        <v>40000000</v>
      </c>
      <c r="K929" s="41">
        <v>0</v>
      </c>
      <c r="L929" s="41">
        <v>10000000</v>
      </c>
      <c r="M929" s="41">
        <v>0</v>
      </c>
      <c r="N929" s="41">
        <v>75429166.666666344</v>
      </c>
      <c r="O929" s="41">
        <v>79166.666666666672</v>
      </c>
      <c r="P929" s="41">
        <v>75000000</v>
      </c>
      <c r="Q929" s="41">
        <v>0</v>
      </c>
      <c r="R929" s="41">
        <v>50000000</v>
      </c>
      <c r="S929" s="41">
        <v>0</v>
      </c>
      <c r="T929" s="41">
        <v>35000000</v>
      </c>
      <c r="U929" s="41">
        <v>0</v>
      </c>
      <c r="V929" s="41">
        <v>455429166.66666633</v>
      </c>
      <c r="W929" s="41">
        <v>79166.666666666672</v>
      </c>
      <c r="X929" s="38">
        <f t="shared" si="84"/>
        <v>0.91085833333333266</v>
      </c>
      <c r="Y929" s="39">
        <f t="shared" si="85"/>
        <v>1.5833333333333335E-4</v>
      </c>
      <c r="Z929" s="39">
        <f t="shared" si="89"/>
        <v>1.7385893634932852E-4</v>
      </c>
      <c r="AA929" s="41">
        <f t="shared" si="86"/>
        <v>44570833.333333671</v>
      </c>
      <c r="AB929" s="39">
        <f t="shared" si="87"/>
        <v>1.7761989342806261E-3</v>
      </c>
      <c r="AC929" s="38">
        <f t="shared" si="88"/>
        <v>0.19714576738989975</v>
      </c>
      <c r="AD929" s="3"/>
    </row>
    <row r="930" spans="1:30" x14ac:dyDescent="0.25">
      <c r="A930" s="37">
        <v>46566</v>
      </c>
      <c r="B930" s="41">
        <v>20000000</v>
      </c>
      <c r="C930" s="41">
        <v>0</v>
      </c>
      <c r="D930" s="41">
        <v>50000000</v>
      </c>
      <c r="E930" s="41">
        <v>0</v>
      </c>
      <c r="F930" s="41">
        <v>50000000</v>
      </c>
      <c r="G930" s="41">
        <v>0</v>
      </c>
      <c r="H930" s="41">
        <v>50000000</v>
      </c>
      <c r="I930" s="41">
        <v>0</v>
      </c>
      <c r="J930" s="41">
        <v>40000000</v>
      </c>
      <c r="K930" s="41">
        <v>0</v>
      </c>
      <c r="L930" s="41">
        <v>10000000</v>
      </c>
      <c r="M930" s="41">
        <v>0</v>
      </c>
      <c r="N930" s="41">
        <v>75508333.333333015</v>
      </c>
      <c r="O930" s="41">
        <v>79166.666666666672</v>
      </c>
      <c r="P930" s="41">
        <v>75000000</v>
      </c>
      <c r="Q930" s="41">
        <v>0</v>
      </c>
      <c r="R930" s="41">
        <v>50000000</v>
      </c>
      <c r="S930" s="41">
        <v>0</v>
      </c>
      <c r="T930" s="41">
        <v>35000000</v>
      </c>
      <c r="U930" s="41">
        <v>0</v>
      </c>
      <c r="V930" s="41">
        <v>455508333.33333302</v>
      </c>
      <c r="W930" s="41">
        <v>79166.666666666672</v>
      </c>
      <c r="X930" s="38">
        <f t="shared" si="84"/>
        <v>0.91101666666666603</v>
      </c>
      <c r="Y930" s="39">
        <f t="shared" si="85"/>
        <v>1.5833333333333335E-4</v>
      </c>
      <c r="Z930" s="39">
        <f t="shared" si="89"/>
        <v>1.7382871467388832E-4</v>
      </c>
      <c r="AA930" s="41">
        <f t="shared" si="86"/>
        <v>44491666.666666985</v>
      </c>
      <c r="AB930" s="39">
        <f t="shared" si="87"/>
        <v>1.7793594306049695E-3</v>
      </c>
      <c r="AC930" s="38">
        <f t="shared" si="88"/>
        <v>0.19710475022448057</v>
      </c>
      <c r="AD930" s="3"/>
    </row>
    <row r="931" spans="1:30" x14ac:dyDescent="0.25">
      <c r="A931" s="37">
        <v>46567</v>
      </c>
      <c r="B931" s="41">
        <v>20000000</v>
      </c>
      <c r="C931" s="41">
        <v>0</v>
      </c>
      <c r="D931" s="41">
        <v>50000000</v>
      </c>
      <c r="E931" s="41">
        <v>0</v>
      </c>
      <c r="F931" s="41">
        <v>50000000</v>
      </c>
      <c r="G931" s="41">
        <v>0</v>
      </c>
      <c r="H931" s="41">
        <v>50000000</v>
      </c>
      <c r="I931" s="41">
        <v>0</v>
      </c>
      <c r="J931" s="41">
        <v>40000000</v>
      </c>
      <c r="K931" s="41">
        <v>0</v>
      </c>
      <c r="L931" s="41">
        <v>10000000</v>
      </c>
      <c r="M931" s="41">
        <v>0</v>
      </c>
      <c r="N931" s="41">
        <v>75587499.999999687</v>
      </c>
      <c r="O931" s="41">
        <v>79166.666666666672</v>
      </c>
      <c r="P931" s="41">
        <v>75000000</v>
      </c>
      <c r="Q931" s="41">
        <v>0</v>
      </c>
      <c r="R931" s="41">
        <v>50000000</v>
      </c>
      <c r="S931" s="41">
        <v>0</v>
      </c>
      <c r="T931" s="41">
        <v>35000000</v>
      </c>
      <c r="U931" s="41">
        <v>0</v>
      </c>
      <c r="V931" s="41">
        <v>455587499.9999997</v>
      </c>
      <c r="W931" s="41">
        <v>79166.666666666672</v>
      </c>
      <c r="X931" s="38">
        <f t="shared" si="84"/>
        <v>0.9111749999999994</v>
      </c>
      <c r="Y931" s="39">
        <f t="shared" si="85"/>
        <v>1.5833333333333335E-4</v>
      </c>
      <c r="Z931" s="39">
        <f t="shared" si="89"/>
        <v>1.7379850350341208E-4</v>
      </c>
      <c r="AA931" s="41">
        <f t="shared" si="86"/>
        <v>44412500.000000298</v>
      </c>
      <c r="AB931" s="39">
        <f t="shared" si="87"/>
        <v>1.7825311942958884E-3</v>
      </c>
      <c r="AC931" s="38">
        <f t="shared" si="88"/>
        <v>0.19706375012316499</v>
      </c>
      <c r="AD931" s="3"/>
    </row>
    <row r="932" spans="1:30" x14ac:dyDescent="0.25">
      <c r="A932" s="37">
        <v>46568</v>
      </c>
      <c r="B932" s="41">
        <v>20000000</v>
      </c>
      <c r="C932" s="41">
        <v>0</v>
      </c>
      <c r="D932" s="41">
        <v>50000000</v>
      </c>
      <c r="E932" s="41">
        <v>0</v>
      </c>
      <c r="F932" s="41">
        <v>50000000</v>
      </c>
      <c r="G932" s="41">
        <v>0</v>
      </c>
      <c r="H932" s="41">
        <v>50000000</v>
      </c>
      <c r="I932" s="41">
        <v>0</v>
      </c>
      <c r="J932" s="41">
        <v>40000000</v>
      </c>
      <c r="K932" s="41">
        <v>0</v>
      </c>
      <c r="L932" s="41">
        <v>10000000</v>
      </c>
      <c r="M932" s="41">
        <v>0</v>
      </c>
      <c r="N932" s="41">
        <v>75666666.666666359</v>
      </c>
      <c r="O932" s="41">
        <v>79166.666666666672</v>
      </c>
      <c r="P932" s="41">
        <v>75000000</v>
      </c>
      <c r="Q932" s="41">
        <v>0</v>
      </c>
      <c r="R932" s="41">
        <v>50000000</v>
      </c>
      <c r="S932" s="41">
        <v>0</v>
      </c>
      <c r="T932" s="41">
        <v>35000000</v>
      </c>
      <c r="U932" s="41">
        <v>0</v>
      </c>
      <c r="V932" s="41">
        <v>455666666.66666639</v>
      </c>
      <c r="W932" s="41">
        <v>79166.666666666672</v>
      </c>
      <c r="X932" s="38">
        <f t="shared" si="84"/>
        <v>0.91133333333333277</v>
      </c>
      <c r="Y932" s="39">
        <f t="shared" si="85"/>
        <v>1.5833333333333335E-4</v>
      </c>
      <c r="Z932" s="39">
        <f t="shared" si="89"/>
        <v>1.7376830283242345E-4</v>
      </c>
      <c r="AA932" s="41">
        <f t="shared" si="86"/>
        <v>44333333.333333611</v>
      </c>
      <c r="AB932" s="39">
        <f t="shared" si="87"/>
        <v>1.7857142857142746E-3</v>
      </c>
      <c r="AC932" s="38">
        <f t="shared" si="88"/>
        <v>0.19702276707530664</v>
      </c>
      <c r="AD932" s="3"/>
    </row>
    <row r="933" spans="1:30" x14ac:dyDescent="0.25">
      <c r="A933" s="37">
        <v>46569</v>
      </c>
      <c r="B933" s="41">
        <v>20000000</v>
      </c>
      <c r="C933" s="41">
        <v>0</v>
      </c>
      <c r="D933" s="41">
        <v>50000000</v>
      </c>
      <c r="E933" s="41">
        <v>0</v>
      </c>
      <c r="F933" s="41">
        <v>50000000</v>
      </c>
      <c r="G933" s="41">
        <v>0</v>
      </c>
      <c r="H933" s="41">
        <v>50000000</v>
      </c>
      <c r="I933" s="41">
        <v>0</v>
      </c>
      <c r="J933" s="41">
        <v>40000000</v>
      </c>
      <c r="K933" s="41">
        <v>0</v>
      </c>
      <c r="L933" s="41">
        <v>10000000</v>
      </c>
      <c r="M933" s="41">
        <v>0</v>
      </c>
      <c r="N933" s="41">
        <v>75745833.33333303</v>
      </c>
      <c r="O933" s="41">
        <v>79166.666666666672</v>
      </c>
      <c r="P933" s="41">
        <v>75000000</v>
      </c>
      <c r="Q933" s="41">
        <v>0</v>
      </c>
      <c r="R933" s="41">
        <v>50000000</v>
      </c>
      <c r="S933" s="41">
        <v>0</v>
      </c>
      <c r="T933" s="41">
        <v>35000000</v>
      </c>
      <c r="U933" s="41">
        <v>0</v>
      </c>
      <c r="V933" s="41">
        <v>455745833.33333302</v>
      </c>
      <c r="W933" s="41">
        <v>79166.666666666672</v>
      </c>
      <c r="X933" s="38">
        <f t="shared" si="84"/>
        <v>0.91149166666666603</v>
      </c>
      <c r="Y933" s="39">
        <f t="shared" si="85"/>
        <v>1.5833333333333335E-4</v>
      </c>
      <c r="Z933" s="39">
        <f t="shared" si="89"/>
        <v>1.7373811265545001E-4</v>
      </c>
      <c r="AA933" s="41">
        <f t="shared" si="86"/>
        <v>44254166.666666985</v>
      </c>
      <c r="AB933" s="39">
        <f t="shared" si="87"/>
        <v>1.7889087656529389E-3</v>
      </c>
      <c r="AC933" s="38">
        <f t="shared" si="88"/>
        <v>0.19698180107026794</v>
      </c>
      <c r="AD933" s="3"/>
    </row>
    <row r="934" spans="1:30" x14ac:dyDescent="0.25">
      <c r="A934" s="37">
        <v>46570</v>
      </c>
      <c r="B934" s="41">
        <v>20000000</v>
      </c>
      <c r="C934" s="41">
        <v>0</v>
      </c>
      <c r="D934" s="41">
        <v>50000000</v>
      </c>
      <c r="E934" s="41">
        <v>0</v>
      </c>
      <c r="F934" s="41">
        <v>50000000</v>
      </c>
      <c r="G934" s="41">
        <v>0</v>
      </c>
      <c r="H934" s="41">
        <v>50000000</v>
      </c>
      <c r="I934" s="41">
        <v>0</v>
      </c>
      <c r="J934" s="41">
        <v>40000000</v>
      </c>
      <c r="K934" s="41">
        <v>0</v>
      </c>
      <c r="L934" s="41">
        <v>10000000</v>
      </c>
      <c r="M934" s="41">
        <v>0</v>
      </c>
      <c r="N934" s="41">
        <v>75824999.999999702</v>
      </c>
      <c r="O934" s="41">
        <v>79166.666666666672</v>
      </c>
      <c r="P934" s="41">
        <v>75000000</v>
      </c>
      <c r="Q934" s="41">
        <v>0</v>
      </c>
      <c r="R934" s="41">
        <v>50000000</v>
      </c>
      <c r="S934" s="41">
        <v>0</v>
      </c>
      <c r="T934" s="41">
        <v>35000000</v>
      </c>
      <c r="U934" s="41">
        <v>0</v>
      </c>
      <c r="V934" s="41">
        <v>455824999.9999997</v>
      </c>
      <c r="W934" s="41">
        <v>79166.666666666672</v>
      </c>
      <c r="X934" s="38">
        <f t="shared" si="84"/>
        <v>0.91164999999999941</v>
      </c>
      <c r="Y934" s="39">
        <f t="shared" si="85"/>
        <v>1.5833333333333335E-4</v>
      </c>
      <c r="Z934" s="39">
        <f t="shared" si="89"/>
        <v>1.7370793296702305E-4</v>
      </c>
      <c r="AA934" s="41">
        <f t="shared" si="86"/>
        <v>44175000.000000298</v>
      </c>
      <c r="AB934" s="39">
        <f t="shared" si="87"/>
        <v>1.7921146953404899E-3</v>
      </c>
      <c r="AC934" s="38">
        <f t="shared" si="88"/>
        <v>0.19694085209742024</v>
      </c>
      <c r="AD934" s="3"/>
    </row>
    <row r="935" spans="1:30" x14ac:dyDescent="0.25">
      <c r="A935" s="37">
        <v>46571</v>
      </c>
      <c r="B935" s="41">
        <v>20000000</v>
      </c>
      <c r="C935" s="41">
        <v>0</v>
      </c>
      <c r="D935" s="41">
        <v>50000000</v>
      </c>
      <c r="E935" s="41">
        <v>0</v>
      </c>
      <c r="F935" s="41">
        <v>50000000</v>
      </c>
      <c r="G935" s="41">
        <v>0</v>
      </c>
      <c r="H935" s="41">
        <v>50000000</v>
      </c>
      <c r="I935" s="41">
        <v>0</v>
      </c>
      <c r="J935" s="41">
        <v>40000000</v>
      </c>
      <c r="K935" s="41">
        <v>0</v>
      </c>
      <c r="L935" s="41">
        <v>10000000</v>
      </c>
      <c r="M935" s="41">
        <v>0</v>
      </c>
      <c r="N935" s="41">
        <v>75904166.666666374</v>
      </c>
      <c r="O935" s="41">
        <v>79166.666666666672</v>
      </c>
      <c r="P935" s="41">
        <v>75000000</v>
      </c>
      <c r="Q935" s="41">
        <v>0</v>
      </c>
      <c r="R935" s="41">
        <v>50000000</v>
      </c>
      <c r="S935" s="41">
        <v>0</v>
      </c>
      <c r="T935" s="41">
        <v>35000000</v>
      </c>
      <c r="U935" s="41">
        <v>0</v>
      </c>
      <c r="V935" s="41">
        <v>455904166.66666639</v>
      </c>
      <c r="W935" s="41">
        <v>79166.666666666672</v>
      </c>
      <c r="X935" s="38">
        <f t="shared" si="84"/>
        <v>0.91180833333333278</v>
      </c>
      <c r="Y935" s="39">
        <f t="shared" si="85"/>
        <v>1.5833333333333335E-4</v>
      </c>
      <c r="Z935" s="39">
        <f t="shared" si="89"/>
        <v>1.7367776376167767E-4</v>
      </c>
      <c r="AA935" s="41">
        <f t="shared" si="86"/>
        <v>44095833.333333611</v>
      </c>
      <c r="AB935" s="39">
        <f t="shared" si="87"/>
        <v>1.7953321364452312E-3</v>
      </c>
      <c r="AC935" s="38">
        <f t="shared" si="88"/>
        <v>0.19689992014614363</v>
      </c>
      <c r="AD935" s="3"/>
    </row>
    <row r="936" spans="1:30" x14ac:dyDescent="0.25">
      <c r="A936" s="37">
        <v>46572</v>
      </c>
      <c r="B936" s="41">
        <v>20000000</v>
      </c>
      <c r="C936" s="41">
        <v>0</v>
      </c>
      <c r="D936" s="41">
        <v>50000000</v>
      </c>
      <c r="E936" s="41">
        <v>0</v>
      </c>
      <c r="F936" s="41">
        <v>50000000</v>
      </c>
      <c r="G936" s="41">
        <v>0</v>
      </c>
      <c r="H936" s="41">
        <v>50000000</v>
      </c>
      <c r="I936" s="41">
        <v>0</v>
      </c>
      <c r="J936" s="41">
        <v>40000000</v>
      </c>
      <c r="K936" s="41">
        <v>0</v>
      </c>
      <c r="L936" s="41">
        <v>10000000</v>
      </c>
      <c r="M936" s="41">
        <v>0</v>
      </c>
      <c r="N936" s="41">
        <v>75983333.333333045</v>
      </c>
      <c r="O936" s="41">
        <v>79166.666666666672</v>
      </c>
      <c r="P936" s="41">
        <v>75000000</v>
      </c>
      <c r="Q936" s="41">
        <v>0</v>
      </c>
      <c r="R936" s="41">
        <v>50000000</v>
      </c>
      <c r="S936" s="41">
        <v>0</v>
      </c>
      <c r="T936" s="41">
        <v>35000000</v>
      </c>
      <c r="U936" s="41">
        <v>0</v>
      </c>
      <c r="V936" s="41">
        <v>455983333.33333302</v>
      </c>
      <c r="W936" s="41">
        <v>79166.666666666672</v>
      </c>
      <c r="X936" s="38">
        <f t="shared" si="84"/>
        <v>0.91196666666666604</v>
      </c>
      <c r="Y936" s="39">
        <f t="shared" si="85"/>
        <v>1.5833333333333335E-4</v>
      </c>
      <c r="Z936" s="39">
        <f t="shared" si="89"/>
        <v>1.7364760503395279E-4</v>
      </c>
      <c r="AA936" s="41">
        <f t="shared" si="86"/>
        <v>44016666.666666985</v>
      </c>
      <c r="AB936" s="39">
        <f t="shared" si="87"/>
        <v>1.7985611510791238E-3</v>
      </c>
      <c r="AC936" s="38">
        <f t="shared" si="88"/>
        <v>0.19685900520582719</v>
      </c>
      <c r="AD936" s="3"/>
    </row>
    <row r="937" spans="1:30" x14ac:dyDescent="0.25">
      <c r="A937" s="37">
        <v>46573</v>
      </c>
      <c r="B937" s="41">
        <v>20000000</v>
      </c>
      <c r="C937" s="41">
        <v>0</v>
      </c>
      <c r="D937" s="41">
        <v>50000000</v>
      </c>
      <c r="E937" s="41">
        <v>0</v>
      </c>
      <c r="F937" s="41">
        <v>50000000</v>
      </c>
      <c r="G937" s="41">
        <v>0</v>
      </c>
      <c r="H937" s="41">
        <v>50000000</v>
      </c>
      <c r="I937" s="41">
        <v>0</v>
      </c>
      <c r="J937" s="41">
        <v>40000000</v>
      </c>
      <c r="K937" s="41">
        <v>0</v>
      </c>
      <c r="L937" s="41">
        <v>10000000</v>
      </c>
      <c r="M937" s="41">
        <v>0</v>
      </c>
      <c r="N937" s="41">
        <v>76062499.999999717</v>
      </c>
      <c r="O937" s="41">
        <v>79166.666666666672</v>
      </c>
      <c r="P937" s="41">
        <v>75000000</v>
      </c>
      <c r="Q937" s="41">
        <v>0</v>
      </c>
      <c r="R937" s="41">
        <v>50000000</v>
      </c>
      <c r="S937" s="41">
        <v>0</v>
      </c>
      <c r="T937" s="41">
        <v>35000000</v>
      </c>
      <c r="U937" s="41">
        <v>0</v>
      </c>
      <c r="V937" s="41">
        <v>456062499.9999997</v>
      </c>
      <c r="W937" s="41">
        <v>79166.666666666672</v>
      </c>
      <c r="X937" s="38">
        <f t="shared" si="84"/>
        <v>0.91212499999999941</v>
      </c>
      <c r="Y937" s="39">
        <f t="shared" si="85"/>
        <v>1.5833333333333335E-4</v>
      </c>
      <c r="Z937" s="39">
        <f t="shared" si="89"/>
        <v>1.7361745677839117E-4</v>
      </c>
      <c r="AA937" s="41">
        <f t="shared" si="86"/>
        <v>43937500.000000298</v>
      </c>
      <c r="AB937" s="39">
        <f t="shared" si="87"/>
        <v>1.8018018018017897E-3</v>
      </c>
      <c r="AC937" s="38">
        <f t="shared" si="88"/>
        <v>0.19681810726586862</v>
      </c>
      <c r="AD937" s="3"/>
    </row>
    <row r="938" spans="1:30" x14ac:dyDescent="0.25">
      <c r="A938" s="37">
        <v>46574</v>
      </c>
      <c r="B938" s="41">
        <v>20000000</v>
      </c>
      <c r="C938" s="41">
        <v>0</v>
      </c>
      <c r="D938" s="41">
        <v>50000000</v>
      </c>
      <c r="E938" s="41">
        <v>0</v>
      </c>
      <c r="F938" s="41">
        <v>50000000</v>
      </c>
      <c r="G938" s="41">
        <v>0</v>
      </c>
      <c r="H938" s="41">
        <v>50000000</v>
      </c>
      <c r="I938" s="41">
        <v>0</v>
      </c>
      <c r="J938" s="41">
        <v>40000000</v>
      </c>
      <c r="K938" s="41">
        <v>0</v>
      </c>
      <c r="L938" s="41">
        <v>10000000</v>
      </c>
      <c r="M938" s="41">
        <v>0</v>
      </c>
      <c r="N938" s="41">
        <v>76141666.666666389</v>
      </c>
      <c r="O938" s="41">
        <v>79166.666666666672</v>
      </c>
      <c r="P938" s="41">
        <v>75000000</v>
      </c>
      <c r="Q938" s="41">
        <v>0</v>
      </c>
      <c r="R938" s="41">
        <v>50000000</v>
      </c>
      <c r="S938" s="41">
        <v>0</v>
      </c>
      <c r="T938" s="41">
        <v>35000000</v>
      </c>
      <c r="U938" s="41">
        <v>0</v>
      </c>
      <c r="V938" s="41">
        <v>456141666.66666639</v>
      </c>
      <c r="W938" s="41">
        <v>79166.666666666672</v>
      </c>
      <c r="X938" s="38">
        <f t="shared" si="84"/>
        <v>0.91228333333333278</v>
      </c>
      <c r="Y938" s="39">
        <f t="shared" si="85"/>
        <v>1.5833333333333335E-4</v>
      </c>
      <c r="Z938" s="39">
        <f t="shared" si="89"/>
        <v>1.7358731898953921E-4</v>
      </c>
      <c r="AA938" s="41">
        <f t="shared" si="86"/>
        <v>43858333.333333611</v>
      </c>
      <c r="AB938" s="39">
        <f t="shared" si="87"/>
        <v>1.8050541516245373E-3</v>
      </c>
      <c r="AC938" s="38">
        <f t="shared" si="88"/>
        <v>0.19677722631567454</v>
      </c>
      <c r="AD938" s="3"/>
    </row>
    <row r="939" spans="1:30" x14ac:dyDescent="0.25">
      <c r="A939" s="37">
        <v>46575</v>
      </c>
      <c r="B939" s="41">
        <v>20000000</v>
      </c>
      <c r="C939" s="41">
        <v>0</v>
      </c>
      <c r="D939" s="41">
        <v>50000000</v>
      </c>
      <c r="E939" s="41">
        <v>0</v>
      </c>
      <c r="F939" s="41">
        <v>50000000</v>
      </c>
      <c r="G939" s="41">
        <v>0</v>
      </c>
      <c r="H939" s="41">
        <v>50000000</v>
      </c>
      <c r="I939" s="41">
        <v>0</v>
      </c>
      <c r="J939" s="41">
        <v>40000000</v>
      </c>
      <c r="K939" s="41">
        <v>0</v>
      </c>
      <c r="L939" s="41">
        <v>10000000</v>
      </c>
      <c r="M939" s="41">
        <v>0</v>
      </c>
      <c r="N939" s="41">
        <v>76220833.33333306</v>
      </c>
      <c r="O939" s="41">
        <v>79166.666666666672</v>
      </c>
      <c r="P939" s="41">
        <v>75000000</v>
      </c>
      <c r="Q939" s="41">
        <v>0</v>
      </c>
      <c r="R939" s="41">
        <v>50000000</v>
      </c>
      <c r="S939" s="41">
        <v>0</v>
      </c>
      <c r="T939" s="41">
        <v>35000000</v>
      </c>
      <c r="U939" s="41">
        <v>0</v>
      </c>
      <c r="V939" s="41">
        <v>456220833.33333308</v>
      </c>
      <c r="W939" s="41">
        <v>79166.666666666672</v>
      </c>
      <c r="X939" s="38">
        <f t="shared" si="84"/>
        <v>0.91244166666666615</v>
      </c>
      <c r="Y939" s="39">
        <f t="shared" si="85"/>
        <v>1.5833333333333335E-4</v>
      </c>
      <c r="Z939" s="39">
        <f t="shared" si="89"/>
        <v>1.7355719166194724E-4</v>
      </c>
      <c r="AA939" s="41">
        <f t="shared" si="86"/>
        <v>43779166.666666925</v>
      </c>
      <c r="AB939" s="39">
        <f t="shared" si="87"/>
        <v>1.8083182640144561E-3</v>
      </c>
      <c r="AC939" s="38">
        <f t="shared" si="88"/>
        <v>0.19673636234466038</v>
      </c>
      <c r="AD939" s="3"/>
    </row>
    <row r="940" spans="1:30" x14ac:dyDescent="0.25">
      <c r="A940" s="37">
        <v>46576</v>
      </c>
      <c r="B940" s="41">
        <v>20000000</v>
      </c>
      <c r="C940" s="41">
        <v>0</v>
      </c>
      <c r="D940" s="41">
        <v>50000000</v>
      </c>
      <c r="E940" s="41">
        <v>0</v>
      </c>
      <c r="F940" s="41">
        <v>50000000</v>
      </c>
      <c r="G940" s="41">
        <v>0</v>
      </c>
      <c r="H940" s="41">
        <v>50000000</v>
      </c>
      <c r="I940" s="41">
        <v>0</v>
      </c>
      <c r="J940" s="41">
        <v>40000000</v>
      </c>
      <c r="K940" s="41">
        <v>0</v>
      </c>
      <c r="L940" s="41">
        <v>10000000</v>
      </c>
      <c r="M940" s="41">
        <v>0</v>
      </c>
      <c r="N940" s="41">
        <v>76299999.999999732</v>
      </c>
      <c r="O940" s="41">
        <v>79166.666666666672</v>
      </c>
      <c r="P940" s="41">
        <v>75000000</v>
      </c>
      <c r="Q940" s="41">
        <v>0</v>
      </c>
      <c r="R940" s="41">
        <v>50000000</v>
      </c>
      <c r="S940" s="41">
        <v>0</v>
      </c>
      <c r="T940" s="41">
        <v>35000000</v>
      </c>
      <c r="U940" s="41">
        <v>0</v>
      </c>
      <c r="V940" s="41">
        <v>456299999.99999982</v>
      </c>
      <c r="W940" s="41">
        <v>79166.666666666672</v>
      </c>
      <c r="X940" s="38">
        <f t="shared" si="84"/>
        <v>0.91259999999999963</v>
      </c>
      <c r="Y940" s="39">
        <f t="shared" si="85"/>
        <v>1.5833333333333335E-4</v>
      </c>
      <c r="Z940" s="39">
        <f t="shared" si="89"/>
        <v>1.7352707479016935E-4</v>
      </c>
      <c r="AA940" s="41">
        <f t="shared" si="86"/>
        <v>43700000.000000179</v>
      </c>
      <c r="AB940" s="39">
        <f t="shared" si="87"/>
        <v>1.8115942028985434E-3</v>
      </c>
      <c r="AC940" s="38">
        <f t="shared" si="88"/>
        <v>0.1966955153422503</v>
      </c>
      <c r="AD940" s="3"/>
    </row>
    <row r="941" spans="1:30" x14ac:dyDescent="0.25">
      <c r="A941" s="37">
        <v>46577</v>
      </c>
      <c r="B941" s="41">
        <v>20000000</v>
      </c>
      <c r="C941" s="41">
        <v>0</v>
      </c>
      <c r="D941" s="41">
        <v>50000000</v>
      </c>
      <c r="E941" s="41">
        <v>0</v>
      </c>
      <c r="F941" s="41">
        <v>50000000</v>
      </c>
      <c r="G941" s="41">
        <v>0</v>
      </c>
      <c r="H941" s="41">
        <v>50000000</v>
      </c>
      <c r="I941" s="41">
        <v>0</v>
      </c>
      <c r="J941" s="41">
        <v>40000000</v>
      </c>
      <c r="K941" s="41">
        <v>0</v>
      </c>
      <c r="L941" s="41">
        <v>10000000</v>
      </c>
      <c r="M941" s="41">
        <v>0</v>
      </c>
      <c r="N941" s="41">
        <v>76379166.666666403</v>
      </c>
      <c r="O941" s="41">
        <v>79166.666666666672</v>
      </c>
      <c r="P941" s="41">
        <v>75000000</v>
      </c>
      <c r="Q941" s="41">
        <v>0</v>
      </c>
      <c r="R941" s="41">
        <v>50000000</v>
      </c>
      <c r="S941" s="41">
        <v>0</v>
      </c>
      <c r="T941" s="41">
        <v>35000000</v>
      </c>
      <c r="U941" s="41">
        <v>0</v>
      </c>
      <c r="V941" s="41">
        <v>456379166.66666639</v>
      </c>
      <c r="W941" s="41">
        <v>79166.666666666672</v>
      </c>
      <c r="X941" s="38">
        <f t="shared" si="84"/>
        <v>0.91275833333333278</v>
      </c>
      <c r="Y941" s="39">
        <f t="shared" si="85"/>
        <v>1.5833333333333335E-4</v>
      </c>
      <c r="Z941" s="39">
        <f t="shared" si="89"/>
        <v>1.7349696836876333E-4</v>
      </c>
      <c r="AA941" s="41">
        <f t="shared" si="86"/>
        <v>43620833.333333611</v>
      </c>
      <c r="AB941" s="39">
        <f t="shared" si="87"/>
        <v>1.814882032667865E-3</v>
      </c>
      <c r="AC941" s="38">
        <f t="shared" si="88"/>
        <v>0.19665468529787736</v>
      </c>
      <c r="AD941" s="3"/>
    </row>
    <row r="942" spans="1:30" x14ac:dyDescent="0.25">
      <c r="A942" s="37">
        <v>46578</v>
      </c>
      <c r="B942" s="41">
        <v>20000000</v>
      </c>
      <c r="C942" s="41">
        <v>0</v>
      </c>
      <c r="D942" s="41">
        <v>50000000</v>
      </c>
      <c r="E942" s="41">
        <v>0</v>
      </c>
      <c r="F942" s="41">
        <v>50000000</v>
      </c>
      <c r="G942" s="41">
        <v>0</v>
      </c>
      <c r="H942" s="41">
        <v>50000000</v>
      </c>
      <c r="I942" s="41">
        <v>0</v>
      </c>
      <c r="J942" s="41">
        <v>40000000</v>
      </c>
      <c r="K942" s="41">
        <v>0</v>
      </c>
      <c r="L942" s="41">
        <v>10000000</v>
      </c>
      <c r="M942" s="41">
        <v>0</v>
      </c>
      <c r="N942" s="41">
        <v>76458333.333333075</v>
      </c>
      <c r="O942" s="41">
        <v>79166.666666666672</v>
      </c>
      <c r="P942" s="41">
        <v>75000000</v>
      </c>
      <c r="Q942" s="41">
        <v>0</v>
      </c>
      <c r="R942" s="41">
        <v>50000000</v>
      </c>
      <c r="S942" s="41">
        <v>0</v>
      </c>
      <c r="T942" s="41">
        <v>35000000</v>
      </c>
      <c r="U942" s="41">
        <v>0</v>
      </c>
      <c r="V942" s="41">
        <v>456458333.33333308</v>
      </c>
      <c r="W942" s="41">
        <v>79166.666666666672</v>
      </c>
      <c r="X942" s="38">
        <f t="shared" si="84"/>
        <v>0.91291666666666615</v>
      </c>
      <c r="Y942" s="39">
        <f t="shared" si="85"/>
        <v>1.5833333333333335E-4</v>
      </c>
      <c r="Z942" s="39">
        <f t="shared" si="89"/>
        <v>1.7346687239229089E-4</v>
      </c>
      <c r="AA942" s="41">
        <f t="shared" si="86"/>
        <v>43541666.666666925</v>
      </c>
      <c r="AB942" s="39">
        <f t="shared" si="87"/>
        <v>1.8181818181818076E-3</v>
      </c>
      <c r="AC942" s="38">
        <f t="shared" si="88"/>
        <v>0.1966138722009832</v>
      </c>
      <c r="AD942" s="3"/>
    </row>
    <row r="943" spans="1:30" x14ac:dyDescent="0.25">
      <c r="A943" s="37">
        <v>46579</v>
      </c>
      <c r="B943" s="41">
        <v>20000000</v>
      </c>
      <c r="C943" s="41">
        <v>0</v>
      </c>
      <c r="D943" s="41">
        <v>50000000</v>
      </c>
      <c r="E943" s="41">
        <v>0</v>
      </c>
      <c r="F943" s="41">
        <v>50000000</v>
      </c>
      <c r="G943" s="41">
        <v>0</v>
      </c>
      <c r="H943" s="41">
        <v>50000000</v>
      </c>
      <c r="I943" s="41">
        <v>0</v>
      </c>
      <c r="J943" s="41">
        <v>40000000</v>
      </c>
      <c r="K943" s="41">
        <v>0</v>
      </c>
      <c r="L943" s="41">
        <v>10000000</v>
      </c>
      <c r="M943" s="41">
        <v>0</v>
      </c>
      <c r="N943" s="41">
        <v>76537499.999999747</v>
      </c>
      <c r="O943" s="41">
        <v>79166.666666666672</v>
      </c>
      <c r="P943" s="41">
        <v>75000000</v>
      </c>
      <c r="Q943" s="41">
        <v>0</v>
      </c>
      <c r="R943" s="41">
        <v>50000000</v>
      </c>
      <c r="S943" s="41">
        <v>0</v>
      </c>
      <c r="T943" s="41">
        <v>35000000</v>
      </c>
      <c r="U943" s="41">
        <v>0</v>
      </c>
      <c r="V943" s="41">
        <v>456537499.99999982</v>
      </c>
      <c r="W943" s="41">
        <v>79166.666666666672</v>
      </c>
      <c r="X943" s="38">
        <f t="shared" si="84"/>
        <v>0.91307499999999964</v>
      </c>
      <c r="Y943" s="39">
        <f t="shared" si="85"/>
        <v>1.5833333333333335E-4</v>
      </c>
      <c r="Z943" s="39">
        <f t="shared" si="89"/>
        <v>1.7343678685531732E-4</v>
      </c>
      <c r="AA943" s="41">
        <f t="shared" si="86"/>
        <v>43462500.000000179</v>
      </c>
      <c r="AB943" s="39">
        <f t="shared" si="87"/>
        <v>1.8214936247723059E-3</v>
      </c>
      <c r="AC943" s="38">
        <f t="shared" si="88"/>
        <v>0.19657307604101834</v>
      </c>
      <c r="AD943" s="3"/>
    </row>
    <row r="944" spans="1:30" x14ac:dyDescent="0.25">
      <c r="A944" s="37">
        <v>46580</v>
      </c>
      <c r="B944" s="41">
        <v>20000000</v>
      </c>
      <c r="C944" s="41">
        <v>0</v>
      </c>
      <c r="D944" s="41">
        <v>50000000</v>
      </c>
      <c r="E944" s="41">
        <v>0</v>
      </c>
      <c r="F944" s="41">
        <v>50000000</v>
      </c>
      <c r="G944" s="41">
        <v>0</v>
      </c>
      <c r="H944" s="41">
        <v>50000000</v>
      </c>
      <c r="I944" s="41">
        <v>0</v>
      </c>
      <c r="J944" s="41">
        <v>40000000</v>
      </c>
      <c r="K944" s="41">
        <v>0</v>
      </c>
      <c r="L944" s="41">
        <v>10000000</v>
      </c>
      <c r="M944" s="41">
        <v>0</v>
      </c>
      <c r="N944" s="41">
        <v>76616666.666666418</v>
      </c>
      <c r="O944" s="41">
        <v>79166.666666666672</v>
      </c>
      <c r="P944" s="41">
        <v>75000000</v>
      </c>
      <c r="Q944" s="41">
        <v>0</v>
      </c>
      <c r="R944" s="41">
        <v>50000000</v>
      </c>
      <c r="S944" s="41">
        <v>0</v>
      </c>
      <c r="T944" s="41">
        <v>35000000</v>
      </c>
      <c r="U944" s="41">
        <v>0</v>
      </c>
      <c r="V944" s="41">
        <v>456616666.66666639</v>
      </c>
      <c r="W944" s="41">
        <v>79166.666666666672</v>
      </c>
      <c r="X944" s="38">
        <f t="shared" si="84"/>
        <v>0.91323333333333279</v>
      </c>
      <c r="Y944" s="39">
        <f t="shared" si="85"/>
        <v>1.5833333333333335E-4</v>
      </c>
      <c r="Z944" s="39">
        <f t="shared" si="89"/>
        <v>1.7340671175241181E-4</v>
      </c>
      <c r="AA944" s="41">
        <f t="shared" si="86"/>
        <v>43383333.333333611</v>
      </c>
      <c r="AB944" s="39">
        <f t="shared" si="87"/>
        <v>1.8248175182481636E-3</v>
      </c>
      <c r="AC944" s="38">
        <f t="shared" si="88"/>
        <v>0.19653229680744216</v>
      </c>
      <c r="AD944" s="3"/>
    </row>
    <row r="945" spans="1:30" x14ac:dyDescent="0.25">
      <c r="A945" s="37">
        <v>46581</v>
      </c>
      <c r="B945" s="41">
        <v>20000000</v>
      </c>
      <c r="C945" s="41">
        <v>0</v>
      </c>
      <c r="D945" s="41">
        <v>50000000</v>
      </c>
      <c r="E945" s="41">
        <v>0</v>
      </c>
      <c r="F945" s="41">
        <v>50000000</v>
      </c>
      <c r="G945" s="41">
        <v>0</v>
      </c>
      <c r="H945" s="41">
        <v>50000000</v>
      </c>
      <c r="I945" s="41">
        <v>0</v>
      </c>
      <c r="J945" s="41">
        <v>40000000</v>
      </c>
      <c r="K945" s="41">
        <v>0</v>
      </c>
      <c r="L945" s="41">
        <v>10000000</v>
      </c>
      <c r="M945" s="41">
        <v>0</v>
      </c>
      <c r="N945" s="41">
        <v>76695833.33333309</v>
      </c>
      <c r="O945" s="41">
        <v>79166.666666666672</v>
      </c>
      <c r="P945" s="41">
        <v>75000000</v>
      </c>
      <c r="Q945" s="41">
        <v>0</v>
      </c>
      <c r="R945" s="41">
        <v>50000000</v>
      </c>
      <c r="S945" s="41">
        <v>0</v>
      </c>
      <c r="T945" s="41">
        <v>35000000</v>
      </c>
      <c r="U945" s="41">
        <v>0</v>
      </c>
      <c r="V945" s="41">
        <v>456695833.33333308</v>
      </c>
      <c r="W945" s="41">
        <v>79166.666666666672</v>
      </c>
      <c r="X945" s="38">
        <f t="shared" si="84"/>
        <v>0.91339166666666616</v>
      </c>
      <c r="Y945" s="39">
        <f t="shared" si="85"/>
        <v>1.5833333333333335E-4</v>
      </c>
      <c r="Z945" s="39">
        <f t="shared" si="89"/>
        <v>1.7337664707814735E-4</v>
      </c>
      <c r="AA945" s="41">
        <f t="shared" si="86"/>
        <v>43304166.666666925</v>
      </c>
      <c r="AB945" s="39">
        <f t="shared" si="87"/>
        <v>1.8281535648994407E-3</v>
      </c>
      <c r="AC945" s="38">
        <f t="shared" si="88"/>
        <v>0.19649153448972254</v>
      </c>
      <c r="AD945" s="3"/>
    </row>
    <row r="946" spans="1:30" x14ac:dyDescent="0.25">
      <c r="A946" s="37">
        <v>46582</v>
      </c>
      <c r="B946" s="41">
        <v>20000000</v>
      </c>
      <c r="C946" s="41">
        <v>0</v>
      </c>
      <c r="D946" s="41">
        <v>50000000</v>
      </c>
      <c r="E946" s="41">
        <v>0</v>
      </c>
      <c r="F946" s="41">
        <v>50000000</v>
      </c>
      <c r="G946" s="41">
        <v>0</v>
      </c>
      <c r="H946" s="41">
        <v>50000000</v>
      </c>
      <c r="I946" s="41">
        <v>0</v>
      </c>
      <c r="J946" s="41">
        <v>40000000</v>
      </c>
      <c r="K946" s="41">
        <v>0</v>
      </c>
      <c r="L946" s="41">
        <v>10000000</v>
      </c>
      <c r="M946" s="41">
        <v>0</v>
      </c>
      <c r="N946" s="41">
        <v>76774999.999999762</v>
      </c>
      <c r="O946" s="41">
        <v>79166.666666666672</v>
      </c>
      <c r="P946" s="41">
        <v>75000000</v>
      </c>
      <c r="Q946" s="41">
        <v>0</v>
      </c>
      <c r="R946" s="41">
        <v>50000000</v>
      </c>
      <c r="S946" s="41">
        <v>0</v>
      </c>
      <c r="T946" s="41">
        <v>35000000</v>
      </c>
      <c r="U946" s="41">
        <v>0</v>
      </c>
      <c r="V946" s="41">
        <v>456774999.99999982</v>
      </c>
      <c r="W946" s="41">
        <v>79166.666666666672</v>
      </c>
      <c r="X946" s="38">
        <f t="shared" si="84"/>
        <v>0.91354999999999964</v>
      </c>
      <c r="Y946" s="39">
        <f t="shared" si="85"/>
        <v>1.5833333333333335E-4</v>
      </c>
      <c r="Z946" s="39">
        <f t="shared" si="89"/>
        <v>1.7334659282710056E-4</v>
      </c>
      <c r="AA946" s="41">
        <f t="shared" si="86"/>
        <v>43225000.000000179</v>
      </c>
      <c r="AB946" s="39">
        <f t="shared" si="87"/>
        <v>1.8315018315018241E-3</v>
      </c>
      <c r="AC946" s="38">
        <f t="shared" si="88"/>
        <v>0.19645078907733621</v>
      </c>
      <c r="AD946" s="3"/>
    </row>
    <row r="947" spans="1:30" x14ac:dyDescent="0.25">
      <c r="A947" s="37">
        <v>46583</v>
      </c>
      <c r="B947" s="41">
        <v>20000000</v>
      </c>
      <c r="C947" s="41">
        <v>0</v>
      </c>
      <c r="D947" s="41">
        <v>50000000</v>
      </c>
      <c r="E947" s="41">
        <v>0</v>
      </c>
      <c r="F947" s="41">
        <v>50000000</v>
      </c>
      <c r="G947" s="41">
        <v>0</v>
      </c>
      <c r="H947" s="41">
        <v>50000000</v>
      </c>
      <c r="I947" s="41">
        <v>0</v>
      </c>
      <c r="J947" s="41">
        <v>40000000</v>
      </c>
      <c r="K947" s="41">
        <v>0</v>
      </c>
      <c r="L947" s="41">
        <v>10000000</v>
      </c>
      <c r="M947" s="41">
        <v>0</v>
      </c>
      <c r="N947" s="41">
        <v>76854166.666666433</v>
      </c>
      <c r="O947" s="41">
        <v>79166.666666666672</v>
      </c>
      <c r="P947" s="41">
        <v>75000000</v>
      </c>
      <c r="Q947" s="41">
        <v>0</v>
      </c>
      <c r="R947" s="41">
        <v>50000000</v>
      </c>
      <c r="S947" s="41">
        <v>0</v>
      </c>
      <c r="T947" s="41">
        <v>35000000</v>
      </c>
      <c r="U947" s="41">
        <v>0</v>
      </c>
      <c r="V947" s="41">
        <v>456854166.66666639</v>
      </c>
      <c r="W947" s="41">
        <v>79166.666666666672</v>
      </c>
      <c r="X947" s="38">
        <f t="shared" si="84"/>
        <v>0.91370833333333279</v>
      </c>
      <c r="Y947" s="39">
        <f t="shared" si="85"/>
        <v>1.5833333333333335E-4</v>
      </c>
      <c r="Z947" s="39">
        <f t="shared" si="89"/>
        <v>1.7331654899385189E-4</v>
      </c>
      <c r="AA947" s="41">
        <f t="shared" si="86"/>
        <v>43145833.333333611</v>
      </c>
      <c r="AB947" s="39">
        <f t="shared" si="87"/>
        <v>1.8348623853210891E-3</v>
      </c>
      <c r="AC947" s="38">
        <f t="shared" si="88"/>
        <v>0.19641006055976881</v>
      </c>
      <c r="AD947" s="3"/>
    </row>
    <row r="948" spans="1:30" x14ac:dyDescent="0.25">
      <c r="A948" s="37">
        <v>46584</v>
      </c>
      <c r="B948" s="41">
        <v>20000000</v>
      </c>
      <c r="C948" s="41">
        <v>0</v>
      </c>
      <c r="D948" s="41">
        <v>50000000</v>
      </c>
      <c r="E948" s="41">
        <v>0</v>
      </c>
      <c r="F948" s="41">
        <v>50000000</v>
      </c>
      <c r="G948" s="41">
        <v>0</v>
      </c>
      <c r="H948" s="41">
        <v>50000000</v>
      </c>
      <c r="I948" s="41">
        <v>0</v>
      </c>
      <c r="J948" s="41">
        <v>40000000</v>
      </c>
      <c r="K948" s="41">
        <v>0</v>
      </c>
      <c r="L948" s="41">
        <v>10000000</v>
      </c>
      <c r="M948" s="41">
        <v>0</v>
      </c>
      <c r="N948" s="41">
        <v>76933333.333333105</v>
      </c>
      <c r="O948" s="41">
        <v>79166.666666666672</v>
      </c>
      <c r="P948" s="41">
        <v>75000000</v>
      </c>
      <c r="Q948" s="41">
        <v>0</v>
      </c>
      <c r="R948" s="41">
        <v>50000000</v>
      </c>
      <c r="S948" s="41">
        <v>0</v>
      </c>
      <c r="T948" s="41">
        <v>35000000</v>
      </c>
      <c r="U948" s="41">
        <v>0</v>
      </c>
      <c r="V948" s="41">
        <v>456933333.33333308</v>
      </c>
      <c r="W948" s="41">
        <v>79166.666666666672</v>
      </c>
      <c r="X948" s="38">
        <f t="shared" si="84"/>
        <v>0.91386666666666616</v>
      </c>
      <c r="Y948" s="39">
        <f t="shared" si="85"/>
        <v>1.5833333333333335E-4</v>
      </c>
      <c r="Z948" s="39">
        <f t="shared" si="89"/>
        <v>1.7328651557298565E-4</v>
      </c>
      <c r="AA948" s="41">
        <f t="shared" si="86"/>
        <v>43066666.666666925</v>
      </c>
      <c r="AB948" s="39">
        <f t="shared" si="87"/>
        <v>1.8382352941176362E-3</v>
      </c>
      <c r="AC948" s="38">
        <f t="shared" si="88"/>
        <v>0.19636934892651436</v>
      </c>
      <c r="AD948" s="3"/>
    </row>
    <row r="949" spans="1:30" x14ac:dyDescent="0.25">
      <c r="A949" s="37">
        <v>46585</v>
      </c>
      <c r="B949" s="41">
        <v>20000000</v>
      </c>
      <c r="C949" s="41">
        <v>0</v>
      </c>
      <c r="D949" s="41">
        <v>50000000</v>
      </c>
      <c r="E949" s="41">
        <v>0</v>
      </c>
      <c r="F949" s="41">
        <v>50000000</v>
      </c>
      <c r="G949" s="41">
        <v>0</v>
      </c>
      <c r="H949" s="41">
        <v>50000000</v>
      </c>
      <c r="I949" s="41">
        <v>0</v>
      </c>
      <c r="J949" s="41">
        <v>40000000</v>
      </c>
      <c r="K949" s="41">
        <v>0</v>
      </c>
      <c r="L949" s="41">
        <v>10000000</v>
      </c>
      <c r="M949" s="41">
        <v>0</v>
      </c>
      <c r="N949" s="41">
        <v>77012499.999999776</v>
      </c>
      <c r="O949" s="41">
        <v>79166.666666666672</v>
      </c>
      <c r="P949" s="41">
        <v>75000000</v>
      </c>
      <c r="Q949" s="41">
        <v>0</v>
      </c>
      <c r="R949" s="41">
        <v>50000000</v>
      </c>
      <c r="S949" s="41">
        <v>0</v>
      </c>
      <c r="T949" s="41">
        <v>35000000</v>
      </c>
      <c r="U949" s="41">
        <v>0</v>
      </c>
      <c r="V949" s="41">
        <v>457012499.99999982</v>
      </c>
      <c r="W949" s="41">
        <v>79166.666666666672</v>
      </c>
      <c r="X949" s="38">
        <f t="shared" si="84"/>
        <v>0.91402499999999964</v>
      </c>
      <c r="Y949" s="39">
        <f t="shared" si="85"/>
        <v>1.5833333333333335E-4</v>
      </c>
      <c r="Z949" s="39">
        <f t="shared" si="89"/>
        <v>1.732564925590897E-4</v>
      </c>
      <c r="AA949" s="41">
        <f t="shared" si="86"/>
        <v>42987500.000000179</v>
      </c>
      <c r="AB949" s="39">
        <f t="shared" si="87"/>
        <v>1.8416206261510054E-3</v>
      </c>
      <c r="AC949" s="38">
        <f t="shared" si="88"/>
        <v>0.19632865416707579</v>
      </c>
      <c r="AD949" s="3"/>
    </row>
    <row r="950" spans="1:30" x14ac:dyDescent="0.25">
      <c r="A950" s="37">
        <v>46586</v>
      </c>
      <c r="B950" s="41">
        <v>20000000</v>
      </c>
      <c r="C950" s="41">
        <v>0</v>
      </c>
      <c r="D950" s="41">
        <v>50000000</v>
      </c>
      <c r="E950" s="41">
        <v>0</v>
      </c>
      <c r="F950" s="41">
        <v>50000000</v>
      </c>
      <c r="G950" s="41">
        <v>0</v>
      </c>
      <c r="H950" s="41">
        <v>50000000</v>
      </c>
      <c r="I950" s="41">
        <v>0</v>
      </c>
      <c r="J950" s="41">
        <v>40000000</v>
      </c>
      <c r="K950" s="41">
        <v>0</v>
      </c>
      <c r="L950" s="41">
        <v>10000000</v>
      </c>
      <c r="M950" s="41">
        <v>0</v>
      </c>
      <c r="N950" s="41">
        <v>77091666.666666448</v>
      </c>
      <c r="O950" s="41">
        <v>79166.666666666672</v>
      </c>
      <c r="P950" s="41">
        <v>75000000</v>
      </c>
      <c r="Q950" s="41">
        <v>0</v>
      </c>
      <c r="R950" s="41">
        <v>50000000</v>
      </c>
      <c r="S950" s="41">
        <v>0</v>
      </c>
      <c r="T950" s="41">
        <v>35000000</v>
      </c>
      <c r="U950" s="41">
        <v>0</v>
      </c>
      <c r="V950" s="41">
        <v>457091666.66666639</v>
      </c>
      <c r="W950" s="41">
        <v>79166.666666666672</v>
      </c>
      <c r="X950" s="38">
        <f t="shared" si="84"/>
        <v>0.91418333333333279</v>
      </c>
      <c r="Y950" s="39">
        <f t="shared" si="85"/>
        <v>1.5833333333333335E-4</v>
      </c>
      <c r="Z950" s="39">
        <f t="shared" si="89"/>
        <v>1.7322647994675572E-4</v>
      </c>
      <c r="AA950" s="41">
        <f t="shared" si="86"/>
        <v>42908333.333333611</v>
      </c>
      <c r="AB950" s="39">
        <f t="shared" si="87"/>
        <v>1.8450184501844901E-3</v>
      </c>
      <c r="AC950" s="38">
        <f t="shared" si="88"/>
        <v>0.19628797627096478</v>
      </c>
      <c r="AD950" s="3"/>
    </row>
    <row r="951" spans="1:30" x14ac:dyDescent="0.25">
      <c r="A951" s="37">
        <v>46587</v>
      </c>
      <c r="B951" s="41">
        <v>20000000</v>
      </c>
      <c r="C951" s="41">
        <v>0</v>
      </c>
      <c r="D951" s="41">
        <v>50000000</v>
      </c>
      <c r="E951" s="41">
        <v>0</v>
      </c>
      <c r="F951" s="41">
        <v>50000000</v>
      </c>
      <c r="G951" s="41">
        <v>0</v>
      </c>
      <c r="H951" s="41">
        <v>50000000</v>
      </c>
      <c r="I951" s="41">
        <v>0</v>
      </c>
      <c r="J951" s="41">
        <v>40000000</v>
      </c>
      <c r="K951" s="41">
        <v>0</v>
      </c>
      <c r="L951" s="41">
        <v>10000000</v>
      </c>
      <c r="M951" s="41">
        <v>0</v>
      </c>
      <c r="N951" s="41">
        <v>77170833.33333312</v>
      </c>
      <c r="O951" s="41">
        <v>79166.666666666672</v>
      </c>
      <c r="P951" s="41">
        <v>75000000</v>
      </c>
      <c r="Q951" s="41">
        <v>0</v>
      </c>
      <c r="R951" s="41">
        <v>50000000</v>
      </c>
      <c r="S951" s="41">
        <v>0</v>
      </c>
      <c r="T951" s="41">
        <v>35000000</v>
      </c>
      <c r="U951" s="41">
        <v>0</v>
      </c>
      <c r="V951" s="41">
        <v>457170833.33333308</v>
      </c>
      <c r="W951" s="41">
        <v>79166.666666666672</v>
      </c>
      <c r="X951" s="38">
        <f t="shared" si="84"/>
        <v>0.91434166666666616</v>
      </c>
      <c r="Y951" s="39">
        <f t="shared" si="85"/>
        <v>1.5833333333333335E-4</v>
      </c>
      <c r="Z951" s="39">
        <f t="shared" si="89"/>
        <v>1.7319647773057933E-4</v>
      </c>
      <c r="AA951" s="41">
        <f t="shared" si="86"/>
        <v>42829166.666666925</v>
      </c>
      <c r="AB951" s="39">
        <f t="shared" si="87"/>
        <v>1.8484288354898226E-3</v>
      </c>
      <c r="AC951" s="38">
        <f t="shared" si="88"/>
        <v>0.19624731522770153</v>
      </c>
      <c r="AD951" s="3"/>
    </row>
    <row r="952" spans="1:30" x14ac:dyDescent="0.25">
      <c r="A952" s="37">
        <v>46588</v>
      </c>
      <c r="B952" s="41">
        <v>20000000</v>
      </c>
      <c r="C952" s="41">
        <v>0</v>
      </c>
      <c r="D952" s="41">
        <v>50000000</v>
      </c>
      <c r="E952" s="41">
        <v>0</v>
      </c>
      <c r="F952" s="41">
        <v>50000000</v>
      </c>
      <c r="G952" s="41">
        <v>0</v>
      </c>
      <c r="H952" s="41">
        <v>50000000</v>
      </c>
      <c r="I952" s="41">
        <v>0</v>
      </c>
      <c r="J952" s="41">
        <v>40000000</v>
      </c>
      <c r="K952" s="41">
        <v>0</v>
      </c>
      <c r="L952" s="41">
        <v>10000000</v>
      </c>
      <c r="M952" s="41">
        <v>0</v>
      </c>
      <c r="N952" s="41">
        <v>77249999.999999791</v>
      </c>
      <c r="O952" s="41">
        <v>79166.666666666672</v>
      </c>
      <c r="P952" s="41">
        <v>75000000</v>
      </c>
      <c r="Q952" s="41">
        <v>0</v>
      </c>
      <c r="R952" s="41">
        <v>50000000</v>
      </c>
      <c r="S952" s="41">
        <v>0</v>
      </c>
      <c r="T952" s="41">
        <v>35000000</v>
      </c>
      <c r="U952" s="41">
        <v>0</v>
      </c>
      <c r="V952" s="41">
        <v>457249999.99999982</v>
      </c>
      <c r="W952" s="41">
        <v>79166.666666666672</v>
      </c>
      <c r="X952" s="38">
        <f t="shared" si="84"/>
        <v>0.91449999999999965</v>
      </c>
      <c r="Y952" s="39">
        <f t="shared" si="85"/>
        <v>1.5833333333333335E-4</v>
      </c>
      <c r="Z952" s="39">
        <f t="shared" si="89"/>
        <v>1.7316648590515955E-4</v>
      </c>
      <c r="AA952" s="41">
        <f t="shared" si="86"/>
        <v>42750000.000000179</v>
      </c>
      <c r="AB952" s="39">
        <f t="shared" si="87"/>
        <v>1.8518518518518441E-3</v>
      </c>
      <c r="AC952" s="38">
        <f t="shared" si="88"/>
        <v>0.19620667102681499</v>
      </c>
      <c r="AD952" s="3"/>
    </row>
    <row r="953" spans="1:30" x14ac:dyDescent="0.25">
      <c r="A953" s="37">
        <v>46589</v>
      </c>
      <c r="B953" s="41">
        <v>20000000</v>
      </c>
      <c r="C953" s="41">
        <v>0</v>
      </c>
      <c r="D953" s="41">
        <v>50000000</v>
      </c>
      <c r="E953" s="41">
        <v>0</v>
      </c>
      <c r="F953" s="41">
        <v>50000000</v>
      </c>
      <c r="G953" s="41">
        <v>0</v>
      </c>
      <c r="H953" s="41">
        <v>50000000</v>
      </c>
      <c r="I953" s="41">
        <v>0</v>
      </c>
      <c r="J953" s="41">
        <v>40000000</v>
      </c>
      <c r="K953" s="41">
        <v>0</v>
      </c>
      <c r="L953" s="41">
        <v>10000000</v>
      </c>
      <c r="M953" s="41">
        <v>0</v>
      </c>
      <c r="N953" s="41">
        <v>77329166.666666463</v>
      </c>
      <c r="O953" s="41">
        <v>79166.666666666672</v>
      </c>
      <c r="P953" s="41">
        <v>75000000</v>
      </c>
      <c r="Q953" s="41">
        <v>0</v>
      </c>
      <c r="R953" s="41">
        <v>50000000</v>
      </c>
      <c r="S953" s="41">
        <v>0</v>
      </c>
      <c r="T953" s="41">
        <v>35000000</v>
      </c>
      <c r="U953" s="41">
        <v>0</v>
      </c>
      <c r="V953" s="41">
        <v>457329166.66666639</v>
      </c>
      <c r="W953" s="41">
        <v>79166.666666666672</v>
      </c>
      <c r="X953" s="38">
        <f t="shared" si="84"/>
        <v>0.9146583333333328</v>
      </c>
      <c r="Y953" s="39">
        <f t="shared" si="85"/>
        <v>1.5833333333333335E-4</v>
      </c>
      <c r="Z953" s="39">
        <f t="shared" si="89"/>
        <v>1.7313650446509942E-4</v>
      </c>
      <c r="AA953" s="41">
        <f t="shared" si="86"/>
        <v>42670833.333333611</v>
      </c>
      <c r="AB953" s="39">
        <f t="shared" si="87"/>
        <v>1.855287569573272E-3</v>
      </c>
      <c r="AC953" s="38">
        <f t="shared" si="88"/>
        <v>0.19616604365784296</v>
      </c>
      <c r="AD953" s="3"/>
    </row>
    <row r="954" spans="1:30" x14ac:dyDescent="0.25">
      <c r="A954" s="37">
        <v>46590</v>
      </c>
      <c r="B954" s="41">
        <v>20000000</v>
      </c>
      <c r="C954" s="41">
        <v>0</v>
      </c>
      <c r="D954" s="41">
        <v>50000000</v>
      </c>
      <c r="E954" s="41">
        <v>0</v>
      </c>
      <c r="F954" s="41">
        <v>50000000</v>
      </c>
      <c r="G954" s="41">
        <v>0</v>
      </c>
      <c r="H954" s="41">
        <v>50000000</v>
      </c>
      <c r="I954" s="41">
        <v>0</v>
      </c>
      <c r="J954" s="41">
        <v>40000000</v>
      </c>
      <c r="K954" s="41">
        <v>0</v>
      </c>
      <c r="L954" s="41">
        <v>10000000</v>
      </c>
      <c r="M954" s="41">
        <v>0</v>
      </c>
      <c r="N954" s="41">
        <v>77408333.333333135</v>
      </c>
      <c r="O954" s="41">
        <v>79166.666666666672</v>
      </c>
      <c r="P954" s="41">
        <v>75000000</v>
      </c>
      <c r="Q954" s="41">
        <v>0</v>
      </c>
      <c r="R954" s="41">
        <v>50000000</v>
      </c>
      <c r="S954" s="41">
        <v>0</v>
      </c>
      <c r="T954" s="41">
        <v>35000000</v>
      </c>
      <c r="U954" s="41">
        <v>0</v>
      </c>
      <c r="V954" s="41">
        <v>457408333.33333308</v>
      </c>
      <c r="W954" s="41">
        <v>79166.666666666672</v>
      </c>
      <c r="X954" s="38">
        <f t="shared" si="84"/>
        <v>0.91481666666666617</v>
      </c>
      <c r="Y954" s="39">
        <f t="shared" si="85"/>
        <v>1.5833333333333335E-4</v>
      </c>
      <c r="Z954" s="39">
        <f t="shared" si="89"/>
        <v>1.7310653340500562E-4</v>
      </c>
      <c r="AA954" s="41">
        <f t="shared" si="86"/>
        <v>42591666.666666925</v>
      </c>
      <c r="AB954" s="39">
        <f t="shared" si="87"/>
        <v>1.8587360594795428E-3</v>
      </c>
      <c r="AC954" s="38">
        <f t="shared" si="88"/>
        <v>0.19612543311033159</v>
      </c>
      <c r="AD954" s="3"/>
    </row>
    <row r="955" spans="1:30" x14ac:dyDescent="0.25">
      <c r="A955" s="37">
        <v>46591</v>
      </c>
      <c r="B955" s="41">
        <v>20000000</v>
      </c>
      <c r="C955" s="41">
        <v>0</v>
      </c>
      <c r="D955" s="41">
        <v>50000000</v>
      </c>
      <c r="E955" s="41">
        <v>0</v>
      </c>
      <c r="F955" s="41">
        <v>50000000</v>
      </c>
      <c r="G955" s="41">
        <v>0</v>
      </c>
      <c r="H955" s="41">
        <v>50000000</v>
      </c>
      <c r="I955" s="41">
        <v>0</v>
      </c>
      <c r="J955" s="41">
        <v>40000000</v>
      </c>
      <c r="K955" s="41">
        <v>0</v>
      </c>
      <c r="L955" s="41">
        <v>10000000</v>
      </c>
      <c r="M955" s="41">
        <v>0</v>
      </c>
      <c r="N955" s="41">
        <v>77487499.999999806</v>
      </c>
      <c r="O955" s="41">
        <v>79166.666666666672</v>
      </c>
      <c r="P955" s="41">
        <v>75000000</v>
      </c>
      <c r="Q955" s="41">
        <v>0</v>
      </c>
      <c r="R955" s="41">
        <v>50000000</v>
      </c>
      <c r="S955" s="41">
        <v>0</v>
      </c>
      <c r="T955" s="41">
        <v>35000000</v>
      </c>
      <c r="U955" s="41">
        <v>0</v>
      </c>
      <c r="V955" s="41">
        <v>457487499.99999982</v>
      </c>
      <c r="W955" s="41">
        <v>79166.666666666672</v>
      </c>
      <c r="X955" s="38">
        <f t="shared" si="84"/>
        <v>0.91497499999999965</v>
      </c>
      <c r="Y955" s="39">
        <f t="shared" si="85"/>
        <v>1.5833333333333335E-4</v>
      </c>
      <c r="Z955" s="39">
        <f t="shared" si="89"/>
        <v>1.7307657271948854E-4</v>
      </c>
      <c r="AA955" s="41">
        <f t="shared" si="86"/>
        <v>42512500.000000179</v>
      </c>
      <c r="AB955" s="39">
        <f t="shared" si="87"/>
        <v>1.8621973929236421E-3</v>
      </c>
      <c r="AC955" s="38">
        <f t="shared" si="88"/>
        <v>0.19608483937383583</v>
      </c>
      <c r="AD955" s="3"/>
    </row>
    <row r="956" spans="1:30" x14ac:dyDescent="0.25">
      <c r="A956" s="37">
        <v>46592</v>
      </c>
      <c r="B956" s="41">
        <v>20000000</v>
      </c>
      <c r="C956" s="41">
        <v>0</v>
      </c>
      <c r="D956" s="41">
        <v>50000000</v>
      </c>
      <c r="E956" s="41">
        <v>0</v>
      </c>
      <c r="F956" s="41">
        <v>50000000</v>
      </c>
      <c r="G956" s="41">
        <v>0</v>
      </c>
      <c r="H956" s="41">
        <v>50000000</v>
      </c>
      <c r="I956" s="41">
        <v>0</v>
      </c>
      <c r="J956" s="41">
        <v>40000000</v>
      </c>
      <c r="K956" s="41">
        <v>0</v>
      </c>
      <c r="L956" s="41">
        <v>10000000</v>
      </c>
      <c r="M956" s="41">
        <v>0</v>
      </c>
      <c r="N956" s="41">
        <v>77566666.666666478</v>
      </c>
      <c r="O956" s="41">
        <v>79166.666666666672</v>
      </c>
      <c r="P956" s="41">
        <v>75000000</v>
      </c>
      <c r="Q956" s="41">
        <v>0</v>
      </c>
      <c r="R956" s="41">
        <v>50000000</v>
      </c>
      <c r="S956" s="41">
        <v>0</v>
      </c>
      <c r="T956" s="41">
        <v>35000000</v>
      </c>
      <c r="U956" s="41">
        <v>0</v>
      </c>
      <c r="V956" s="41">
        <v>457566666.66666651</v>
      </c>
      <c r="W956" s="41">
        <v>79166.666666666672</v>
      </c>
      <c r="X956" s="38">
        <f t="shared" si="84"/>
        <v>0.91513333333333302</v>
      </c>
      <c r="Y956" s="39">
        <f t="shared" si="85"/>
        <v>1.5833333333333335E-4</v>
      </c>
      <c r="Z956" s="39">
        <f t="shared" si="89"/>
        <v>1.7304662240316229E-4</v>
      </c>
      <c r="AA956" s="41">
        <f t="shared" si="86"/>
        <v>42433333.333333492</v>
      </c>
      <c r="AB956" s="39">
        <f t="shared" si="87"/>
        <v>1.8656716417910378E-3</v>
      </c>
      <c r="AC956" s="38">
        <f t="shared" si="88"/>
        <v>0.19604426243791939</v>
      </c>
      <c r="AD956" s="3"/>
    </row>
    <row r="957" spans="1:30" x14ac:dyDescent="0.25">
      <c r="A957" s="37">
        <v>46593</v>
      </c>
      <c r="B957" s="41">
        <v>20000000</v>
      </c>
      <c r="C957" s="41">
        <v>0</v>
      </c>
      <c r="D957" s="41">
        <v>50000000</v>
      </c>
      <c r="E957" s="41">
        <v>0</v>
      </c>
      <c r="F957" s="41">
        <v>50000000</v>
      </c>
      <c r="G957" s="41">
        <v>0</v>
      </c>
      <c r="H957" s="41">
        <v>50000000</v>
      </c>
      <c r="I957" s="41">
        <v>0</v>
      </c>
      <c r="J957" s="41">
        <v>40000000</v>
      </c>
      <c r="K957" s="41">
        <v>0</v>
      </c>
      <c r="L957" s="41">
        <v>10000000</v>
      </c>
      <c r="M957" s="41">
        <v>0</v>
      </c>
      <c r="N957" s="41">
        <v>77645833.33333315</v>
      </c>
      <c r="O957" s="41">
        <v>79166.666666666672</v>
      </c>
      <c r="P957" s="41">
        <v>75000000</v>
      </c>
      <c r="Q957" s="41">
        <v>0</v>
      </c>
      <c r="R957" s="41">
        <v>50000000</v>
      </c>
      <c r="S957" s="41">
        <v>0</v>
      </c>
      <c r="T957" s="41">
        <v>35000000</v>
      </c>
      <c r="U957" s="41">
        <v>0</v>
      </c>
      <c r="V957" s="41">
        <v>457645833.33333308</v>
      </c>
      <c r="W957" s="41">
        <v>79166.666666666672</v>
      </c>
      <c r="X957" s="38">
        <f t="shared" si="84"/>
        <v>0.91529166666666617</v>
      </c>
      <c r="Y957" s="39">
        <f t="shared" si="85"/>
        <v>1.5833333333333335E-4</v>
      </c>
      <c r="Z957" s="39">
        <f t="shared" si="89"/>
        <v>1.7301668245064478E-4</v>
      </c>
      <c r="AA957" s="41">
        <f t="shared" si="86"/>
        <v>42354166.666666925</v>
      </c>
      <c r="AB957" s="39">
        <f t="shared" si="87"/>
        <v>1.8691588785046617E-3</v>
      </c>
      <c r="AC957" s="38">
        <f t="shared" si="88"/>
        <v>0.19600370229215455</v>
      </c>
      <c r="AD957" s="3"/>
    </row>
    <row r="958" spans="1:30" x14ac:dyDescent="0.25">
      <c r="A958" s="37">
        <v>46594</v>
      </c>
      <c r="B958" s="41">
        <v>20000000</v>
      </c>
      <c r="C958" s="41">
        <v>0</v>
      </c>
      <c r="D958" s="41">
        <v>50000000</v>
      </c>
      <c r="E958" s="41">
        <v>0</v>
      </c>
      <c r="F958" s="41">
        <v>50000000</v>
      </c>
      <c r="G958" s="41">
        <v>0</v>
      </c>
      <c r="H958" s="41">
        <v>50000000</v>
      </c>
      <c r="I958" s="41">
        <v>0</v>
      </c>
      <c r="J958" s="41">
        <v>40000000</v>
      </c>
      <c r="K958" s="41">
        <v>0</v>
      </c>
      <c r="L958" s="41">
        <v>10000000</v>
      </c>
      <c r="M958" s="41">
        <v>0</v>
      </c>
      <c r="N958" s="41">
        <v>77724999.999999821</v>
      </c>
      <c r="O958" s="41">
        <v>79166.666666666672</v>
      </c>
      <c r="P958" s="41">
        <v>75000000</v>
      </c>
      <c r="Q958" s="41">
        <v>0</v>
      </c>
      <c r="R958" s="41">
        <v>50000000</v>
      </c>
      <c r="S958" s="41">
        <v>0</v>
      </c>
      <c r="T958" s="41">
        <v>35000000</v>
      </c>
      <c r="U958" s="41">
        <v>0</v>
      </c>
      <c r="V958" s="41">
        <v>457724999.99999982</v>
      </c>
      <c r="W958" s="41">
        <v>79166.666666666672</v>
      </c>
      <c r="X958" s="38">
        <f t="shared" si="84"/>
        <v>0.91544999999999965</v>
      </c>
      <c r="Y958" s="39">
        <f t="shared" si="85"/>
        <v>1.5833333333333335E-4</v>
      </c>
      <c r="Z958" s="39">
        <f t="shared" si="89"/>
        <v>1.7298675285655767E-4</v>
      </c>
      <c r="AA958" s="41">
        <f t="shared" si="86"/>
        <v>42275000.000000179</v>
      </c>
      <c r="AB958" s="39">
        <f t="shared" si="87"/>
        <v>1.8726591760299548E-3</v>
      </c>
      <c r="AC958" s="38">
        <f t="shared" si="88"/>
        <v>0.19596315892612198</v>
      </c>
      <c r="AD958" s="3"/>
    </row>
    <row r="959" spans="1:30" x14ac:dyDescent="0.25">
      <c r="A959" s="37">
        <v>46595</v>
      </c>
      <c r="B959" s="41">
        <v>20000000</v>
      </c>
      <c r="C959" s="41">
        <v>0</v>
      </c>
      <c r="D959" s="41">
        <v>50000000</v>
      </c>
      <c r="E959" s="41">
        <v>0</v>
      </c>
      <c r="F959" s="41">
        <v>50000000</v>
      </c>
      <c r="G959" s="41">
        <v>0</v>
      </c>
      <c r="H959" s="41">
        <v>50000000</v>
      </c>
      <c r="I959" s="41">
        <v>0</v>
      </c>
      <c r="J959" s="41">
        <v>40000000</v>
      </c>
      <c r="K959" s="41">
        <v>0</v>
      </c>
      <c r="L959" s="41">
        <v>10000000</v>
      </c>
      <c r="M959" s="41">
        <v>0</v>
      </c>
      <c r="N959" s="41">
        <v>77804166.666666493</v>
      </c>
      <c r="O959" s="41">
        <v>79166.666666666672</v>
      </c>
      <c r="P959" s="41">
        <v>75000000</v>
      </c>
      <c r="Q959" s="41">
        <v>0</v>
      </c>
      <c r="R959" s="41">
        <v>50000000</v>
      </c>
      <c r="S959" s="41">
        <v>0</v>
      </c>
      <c r="T959" s="41">
        <v>35000000</v>
      </c>
      <c r="U959" s="41">
        <v>0</v>
      </c>
      <c r="V959" s="41">
        <v>457804166.66666651</v>
      </c>
      <c r="W959" s="41">
        <v>79166.666666666672</v>
      </c>
      <c r="X959" s="38">
        <f t="shared" si="84"/>
        <v>0.91560833333333302</v>
      </c>
      <c r="Y959" s="39">
        <f t="shared" si="85"/>
        <v>1.5833333333333335E-4</v>
      </c>
      <c r="Z959" s="39">
        <f t="shared" si="89"/>
        <v>1.7295683361552615E-4</v>
      </c>
      <c r="AA959" s="41">
        <f t="shared" si="86"/>
        <v>42195833.333333492</v>
      </c>
      <c r="AB959" s="39">
        <f t="shared" si="87"/>
        <v>1.876172607879918E-3</v>
      </c>
      <c r="AC959" s="38">
        <f t="shared" si="88"/>
        <v>0.19592263232941134</v>
      </c>
      <c r="AD959" s="3"/>
    </row>
    <row r="960" spans="1:30" x14ac:dyDescent="0.25">
      <c r="A960" s="37">
        <v>46596</v>
      </c>
      <c r="B960" s="41">
        <v>20000000</v>
      </c>
      <c r="C960" s="41">
        <v>0</v>
      </c>
      <c r="D960" s="41">
        <v>50000000</v>
      </c>
      <c r="E960" s="41">
        <v>0</v>
      </c>
      <c r="F960" s="41">
        <v>50000000</v>
      </c>
      <c r="G960" s="41">
        <v>0</v>
      </c>
      <c r="H960" s="41">
        <v>50000000</v>
      </c>
      <c r="I960" s="41">
        <v>0</v>
      </c>
      <c r="J960" s="41">
        <v>40000000</v>
      </c>
      <c r="K960" s="41">
        <v>0</v>
      </c>
      <c r="L960" s="41">
        <v>10000000</v>
      </c>
      <c r="M960" s="41">
        <v>0</v>
      </c>
      <c r="N960" s="41">
        <v>77883333.333333164</v>
      </c>
      <c r="O960" s="41">
        <v>79166.666666666672</v>
      </c>
      <c r="P960" s="41">
        <v>75000000</v>
      </c>
      <c r="Q960" s="41">
        <v>0</v>
      </c>
      <c r="R960" s="41">
        <v>50000000</v>
      </c>
      <c r="S960" s="41">
        <v>0</v>
      </c>
      <c r="T960" s="41">
        <v>35000000</v>
      </c>
      <c r="U960" s="41">
        <v>0</v>
      </c>
      <c r="V960" s="41">
        <v>457883333.33333308</v>
      </c>
      <c r="W960" s="41">
        <v>79166.666666666672</v>
      </c>
      <c r="X960" s="38">
        <f t="shared" si="84"/>
        <v>0.91576666666666617</v>
      </c>
      <c r="Y960" s="39">
        <f t="shared" si="85"/>
        <v>1.5833333333333335E-4</v>
      </c>
      <c r="Z960" s="39">
        <f t="shared" si="89"/>
        <v>1.7292692472217931E-4</v>
      </c>
      <c r="AA960" s="41">
        <f t="shared" si="86"/>
        <v>42116666.666666925</v>
      </c>
      <c r="AB960" s="39">
        <f t="shared" si="87"/>
        <v>1.8796992481202894E-3</v>
      </c>
      <c r="AC960" s="38">
        <f t="shared" si="88"/>
        <v>0.19588212249162074</v>
      </c>
      <c r="AD960" s="3"/>
    </row>
    <row r="961" spans="1:30" x14ac:dyDescent="0.25">
      <c r="A961" s="37">
        <v>46597</v>
      </c>
      <c r="B961" s="41">
        <v>20000000</v>
      </c>
      <c r="C961" s="41">
        <v>0</v>
      </c>
      <c r="D961" s="41">
        <v>50000000</v>
      </c>
      <c r="E961" s="41">
        <v>0</v>
      </c>
      <c r="F961" s="41">
        <v>50000000</v>
      </c>
      <c r="G961" s="41">
        <v>0</v>
      </c>
      <c r="H961" s="41">
        <v>50000000</v>
      </c>
      <c r="I961" s="41">
        <v>0</v>
      </c>
      <c r="J961" s="41">
        <v>40000000</v>
      </c>
      <c r="K961" s="41">
        <v>0</v>
      </c>
      <c r="L961" s="41">
        <v>10000000</v>
      </c>
      <c r="M961" s="41">
        <v>0</v>
      </c>
      <c r="N961" s="41">
        <v>77962499.999999836</v>
      </c>
      <c r="O961" s="41">
        <v>79166.666666666672</v>
      </c>
      <c r="P961" s="41">
        <v>75000000</v>
      </c>
      <c r="Q961" s="41">
        <v>0</v>
      </c>
      <c r="R961" s="41">
        <v>50000000</v>
      </c>
      <c r="S961" s="41">
        <v>0</v>
      </c>
      <c r="T961" s="41">
        <v>35000000</v>
      </c>
      <c r="U961" s="41">
        <v>0</v>
      </c>
      <c r="V961" s="41">
        <v>457962499.99999982</v>
      </c>
      <c r="W961" s="41">
        <v>79166.666666666672</v>
      </c>
      <c r="X961" s="38">
        <f t="shared" si="84"/>
        <v>0.91592499999999966</v>
      </c>
      <c r="Y961" s="39">
        <f t="shared" si="85"/>
        <v>1.5833333333333335E-4</v>
      </c>
      <c r="Z961" s="39">
        <f t="shared" si="89"/>
        <v>1.7289702617114997E-4</v>
      </c>
      <c r="AA961" s="41">
        <f t="shared" si="86"/>
        <v>42037500.000000179</v>
      </c>
      <c r="AB961" s="39">
        <f t="shared" si="87"/>
        <v>1.8832391713747567E-3</v>
      </c>
      <c r="AC961" s="38">
        <f t="shared" si="88"/>
        <v>0.19584162940235672</v>
      </c>
      <c r="AD961" s="3"/>
    </row>
    <row r="962" spans="1:30" x14ac:dyDescent="0.25">
      <c r="A962" s="37">
        <v>46598</v>
      </c>
      <c r="B962" s="41">
        <v>20000000</v>
      </c>
      <c r="C962" s="41">
        <v>0</v>
      </c>
      <c r="D962" s="41">
        <v>50000000</v>
      </c>
      <c r="E962" s="41">
        <v>0</v>
      </c>
      <c r="F962" s="41">
        <v>50000000</v>
      </c>
      <c r="G962" s="41">
        <v>0</v>
      </c>
      <c r="H962" s="41">
        <v>50000000</v>
      </c>
      <c r="I962" s="41">
        <v>0</v>
      </c>
      <c r="J962" s="41">
        <v>40000000</v>
      </c>
      <c r="K962" s="41">
        <v>0</v>
      </c>
      <c r="L962" s="41">
        <v>10000000</v>
      </c>
      <c r="M962" s="41">
        <v>0</v>
      </c>
      <c r="N962" s="41">
        <v>78041666.666666508</v>
      </c>
      <c r="O962" s="41">
        <v>79166.666666666672</v>
      </c>
      <c r="P962" s="41">
        <v>75000000</v>
      </c>
      <c r="Q962" s="41">
        <v>0</v>
      </c>
      <c r="R962" s="41">
        <v>50000000</v>
      </c>
      <c r="S962" s="41">
        <v>0</v>
      </c>
      <c r="T962" s="41">
        <v>35000000</v>
      </c>
      <c r="U962" s="41">
        <v>0</v>
      </c>
      <c r="V962" s="41">
        <v>458041666.66666651</v>
      </c>
      <c r="W962" s="41">
        <v>79166.666666666672</v>
      </c>
      <c r="X962" s="38">
        <f t="shared" si="84"/>
        <v>0.91608333333333303</v>
      </c>
      <c r="Y962" s="39">
        <f t="shared" si="85"/>
        <v>1.5833333333333335E-4</v>
      </c>
      <c r="Z962" s="39">
        <f t="shared" si="89"/>
        <v>1.7286713795707444E-4</v>
      </c>
      <c r="AA962" s="41">
        <f t="shared" si="86"/>
        <v>41958333.333333492</v>
      </c>
      <c r="AB962" s="39">
        <f t="shared" si="87"/>
        <v>1.8867924528301818E-3</v>
      </c>
      <c r="AC962" s="38">
        <f t="shared" si="88"/>
        <v>0.19580115305123472</v>
      </c>
      <c r="AD962" s="3"/>
    </row>
    <row r="963" spans="1:30" x14ac:dyDescent="0.25">
      <c r="A963" s="37">
        <v>46599</v>
      </c>
      <c r="B963" s="41">
        <v>20000000</v>
      </c>
      <c r="C963" s="41">
        <v>0</v>
      </c>
      <c r="D963" s="41">
        <v>50000000</v>
      </c>
      <c r="E963" s="41">
        <v>0</v>
      </c>
      <c r="F963" s="41">
        <v>50000000</v>
      </c>
      <c r="G963" s="41">
        <v>0</v>
      </c>
      <c r="H963" s="41">
        <v>50000000</v>
      </c>
      <c r="I963" s="41">
        <v>0</v>
      </c>
      <c r="J963" s="41">
        <v>40000000</v>
      </c>
      <c r="K963" s="41">
        <v>0</v>
      </c>
      <c r="L963" s="41">
        <v>10000000</v>
      </c>
      <c r="M963" s="41">
        <v>0</v>
      </c>
      <c r="N963" s="41">
        <v>78120833.333333179</v>
      </c>
      <c r="O963" s="41">
        <v>79166.666666666672</v>
      </c>
      <c r="P963" s="41">
        <v>75000000</v>
      </c>
      <c r="Q963" s="41">
        <v>0</v>
      </c>
      <c r="R963" s="41">
        <v>50000000</v>
      </c>
      <c r="S963" s="41">
        <v>0</v>
      </c>
      <c r="T963" s="41">
        <v>35000000</v>
      </c>
      <c r="U963" s="41">
        <v>0</v>
      </c>
      <c r="V963" s="41">
        <v>458120833.33333319</v>
      </c>
      <c r="W963" s="41">
        <v>79166.666666666672</v>
      </c>
      <c r="X963" s="38">
        <f t="shared" si="84"/>
        <v>0.9162416666666664</v>
      </c>
      <c r="Y963" s="39">
        <f t="shared" si="85"/>
        <v>1.5833333333333335E-4</v>
      </c>
      <c r="Z963" s="39">
        <f t="shared" si="89"/>
        <v>1.72837260074593E-4</v>
      </c>
      <c r="AA963" s="41">
        <f t="shared" si="86"/>
        <v>41879166.666666806</v>
      </c>
      <c r="AB963" s="39">
        <f t="shared" si="87"/>
        <v>1.8903591682419597E-3</v>
      </c>
      <c r="AC963" s="38">
        <f t="shared" si="88"/>
        <v>0.19576069342787858</v>
      </c>
      <c r="AD963" s="3"/>
    </row>
    <row r="964" spans="1:30" x14ac:dyDescent="0.25">
      <c r="A964" s="37">
        <v>46600</v>
      </c>
      <c r="B964" s="41">
        <v>20000000</v>
      </c>
      <c r="C964" s="41">
        <v>0</v>
      </c>
      <c r="D964" s="41">
        <v>50000000</v>
      </c>
      <c r="E964" s="41">
        <v>0</v>
      </c>
      <c r="F964" s="41">
        <v>50000000</v>
      </c>
      <c r="G964" s="41">
        <v>0</v>
      </c>
      <c r="H964" s="41">
        <v>50000000</v>
      </c>
      <c r="I964" s="41">
        <v>0</v>
      </c>
      <c r="J964" s="41">
        <v>40000000</v>
      </c>
      <c r="K964" s="41">
        <v>0</v>
      </c>
      <c r="L964" s="41">
        <v>10000000</v>
      </c>
      <c r="M964" s="41">
        <v>0</v>
      </c>
      <c r="N964" s="41">
        <v>78199999.999999851</v>
      </c>
      <c r="O964" s="41">
        <v>79166.666666666672</v>
      </c>
      <c r="P964" s="41">
        <v>75000000</v>
      </c>
      <c r="Q964" s="41">
        <v>0</v>
      </c>
      <c r="R964" s="41">
        <v>50000000</v>
      </c>
      <c r="S964" s="41">
        <v>0</v>
      </c>
      <c r="T964" s="41">
        <v>35000000</v>
      </c>
      <c r="U964" s="41">
        <v>0</v>
      </c>
      <c r="V964" s="41">
        <v>458199999.99999988</v>
      </c>
      <c r="W964" s="41">
        <v>79166.666666666672</v>
      </c>
      <c r="X964" s="38">
        <f t="shared" si="84"/>
        <v>0.91639999999999977</v>
      </c>
      <c r="Y964" s="39">
        <f t="shared" si="85"/>
        <v>1.5833333333333335E-4</v>
      </c>
      <c r="Z964" s="39">
        <f t="shared" si="89"/>
        <v>1.7280739251834948E-4</v>
      </c>
      <c r="AA964" s="41">
        <f t="shared" si="86"/>
        <v>41800000.000000119</v>
      </c>
      <c r="AB964" s="39">
        <f t="shared" si="87"/>
        <v>1.8939393939393886E-3</v>
      </c>
      <c r="AC964" s="38">
        <f t="shared" si="88"/>
        <v>0.19572025052192074</v>
      </c>
      <c r="AD964" s="3"/>
    </row>
    <row r="965" spans="1:30" x14ac:dyDescent="0.25">
      <c r="A965" s="37">
        <v>46601</v>
      </c>
      <c r="B965" s="41">
        <v>20000000</v>
      </c>
      <c r="C965" s="41">
        <v>0</v>
      </c>
      <c r="D965" s="41">
        <v>50000000</v>
      </c>
      <c r="E965" s="41">
        <v>0</v>
      </c>
      <c r="F965" s="41">
        <v>50000000</v>
      </c>
      <c r="G965" s="41">
        <v>0</v>
      </c>
      <c r="H965" s="41">
        <v>50000000</v>
      </c>
      <c r="I965" s="41">
        <v>0</v>
      </c>
      <c r="J965" s="41">
        <v>40000000</v>
      </c>
      <c r="K965" s="41">
        <v>0</v>
      </c>
      <c r="L965" s="41">
        <v>10000000</v>
      </c>
      <c r="M965" s="41">
        <v>0</v>
      </c>
      <c r="N965" s="41">
        <v>78279166.666666523</v>
      </c>
      <c r="O965" s="41">
        <v>79166.666666666672</v>
      </c>
      <c r="P965" s="41">
        <v>75000000</v>
      </c>
      <c r="Q965" s="41">
        <v>0</v>
      </c>
      <c r="R965" s="41">
        <v>50000000</v>
      </c>
      <c r="S965" s="41">
        <v>0</v>
      </c>
      <c r="T965" s="41">
        <v>35000000</v>
      </c>
      <c r="U965" s="41">
        <v>0</v>
      </c>
      <c r="V965" s="41">
        <v>458279166.66666651</v>
      </c>
      <c r="W965" s="41">
        <v>79166.666666666672</v>
      </c>
      <c r="X965" s="38">
        <f t="shared" si="84"/>
        <v>0.91655833333333303</v>
      </c>
      <c r="Y965" s="39">
        <f t="shared" si="85"/>
        <v>1.5833333333333335E-4</v>
      </c>
      <c r="Z965" s="39">
        <f t="shared" si="89"/>
        <v>1.7277753528299148E-4</v>
      </c>
      <c r="AA965" s="41">
        <f t="shared" si="86"/>
        <v>41720833.333333492</v>
      </c>
      <c r="AB965" s="39">
        <f t="shared" si="87"/>
        <v>1.8975332068311124E-3</v>
      </c>
      <c r="AC965" s="38">
        <f t="shared" si="88"/>
        <v>0.19567982432300224</v>
      </c>
      <c r="AD965" s="3"/>
    </row>
    <row r="966" spans="1:30" x14ac:dyDescent="0.25">
      <c r="A966" s="37">
        <v>46602</v>
      </c>
      <c r="B966" s="41">
        <v>20000000</v>
      </c>
      <c r="C966" s="41">
        <v>0</v>
      </c>
      <c r="D966" s="41">
        <v>50000000</v>
      </c>
      <c r="E966" s="41">
        <v>0</v>
      </c>
      <c r="F966" s="41">
        <v>50000000</v>
      </c>
      <c r="G966" s="41">
        <v>0</v>
      </c>
      <c r="H966" s="41">
        <v>50000000</v>
      </c>
      <c r="I966" s="41">
        <v>0</v>
      </c>
      <c r="J966" s="41">
        <v>40000000</v>
      </c>
      <c r="K966" s="41">
        <v>0</v>
      </c>
      <c r="L966" s="41">
        <v>10000000</v>
      </c>
      <c r="M966" s="41">
        <v>0</v>
      </c>
      <c r="N966" s="41">
        <v>78358333.333333194</v>
      </c>
      <c r="O966" s="41">
        <v>79166.666666666672</v>
      </c>
      <c r="P966" s="41">
        <v>75000000</v>
      </c>
      <c r="Q966" s="41">
        <v>0</v>
      </c>
      <c r="R966" s="41">
        <v>50000000</v>
      </c>
      <c r="S966" s="41">
        <v>0</v>
      </c>
      <c r="T966" s="41">
        <v>35000000</v>
      </c>
      <c r="U966" s="41">
        <v>0</v>
      </c>
      <c r="V966" s="41">
        <v>458358333.33333319</v>
      </c>
      <c r="W966" s="41">
        <v>79166.666666666672</v>
      </c>
      <c r="X966" s="38">
        <f t="shared" si="84"/>
        <v>0.9167166666666664</v>
      </c>
      <c r="Y966" s="39">
        <f t="shared" si="85"/>
        <v>1.5833333333333335E-4</v>
      </c>
      <c r="Z966" s="39">
        <f t="shared" si="89"/>
        <v>1.7274768836317026E-4</v>
      </c>
      <c r="AA966" s="41">
        <f t="shared" si="86"/>
        <v>41641666.666666806</v>
      </c>
      <c r="AB966" s="39">
        <f t="shared" si="87"/>
        <v>1.9011406844106401E-3</v>
      </c>
      <c r="AC966" s="38">
        <f t="shared" si="88"/>
        <v>0.19563941482077263</v>
      </c>
      <c r="AD966" s="3"/>
    </row>
    <row r="967" spans="1:30" x14ac:dyDescent="0.25">
      <c r="A967" s="37">
        <v>46603</v>
      </c>
      <c r="B967" s="41">
        <v>20000000</v>
      </c>
      <c r="C967" s="41">
        <v>0</v>
      </c>
      <c r="D967" s="41">
        <v>50000000</v>
      </c>
      <c r="E967" s="41">
        <v>0</v>
      </c>
      <c r="F967" s="41">
        <v>50000000</v>
      </c>
      <c r="G967" s="41">
        <v>0</v>
      </c>
      <c r="H967" s="41">
        <v>50000000</v>
      </c>
      <c r="I967" s="41">
        <v>0</v>
      </c>
      <c r="J967" s="41">
        <v>40000000</v>
      </c>
      <c r="K967" s="41">
        <v>0</v>
      </c>
      <c r="L967" s="41">
        <v>10000000</v>
      </c>
      <c r="M967" s="41">
        <v>0</v>
      </c>
      <c r="N967" s="41">
        <v>78437499.999999866</v>
      </c>
      <c r="O967" s="41">
        <v>79166.666666666672</v>
      </c>
      <c r="P967" s="41">
        <v>75000000</v>
      </c>
      <c r="Q967" s="41">
        <v>0</v>
      </c>
      <c r="R967" s="41">
        <v>50000000</v>
      </c>
      <c r="S967" s="41">
        <v>0</v>
      </c>
      <c r="T967" s="41">
        <v>35000000</v>
      </c>
      <c r="U967" s="41">
        <v>0</v>
      </c>
      <c r="V967" s="41">
        <v>458437499.99999988</v>
      </c>
      <c r="W967" s="41">
        <v>79166.666666666672</v>
      </c>
      <c r="X967" s="38">
        <f t="shared" si="84"/>
        <v>0.91687499999999977</v>
      </c>
      <c r="Y967" s="39">
        <f t="shared" si="85"/>
        <v>1.5833333333333335E-4</v>
      </c>
      <c r="Z967" s="39">
        <f t="shared" si="89"/>
        <v>1.7271785175354079E-4</v>
      </c>
      <c r="AA967" s="41">
        <f t="shared" si="86"/>
        <v>41562500.000000119</v>
      </c>
      <c r="AB967" s="39">
        <f t="shared" si="87"/>
        <v>1.9047619047618993E-3</v>
      </c>
      <c r="AC967" s="38">
        <f t="shared" si="88"/>
        <v>0.19559902200489004</v>
      </c>
      <c r="AD967" s="3"/>
    </row>
    <row r="968" spans="1:30" x14ac:dyDescent="0.25">
      <c r="A968" s="37">
        <v>46604</v>
      </c>
      <c r="B968" s="41">
        <v>20000000</v>
      </c>
      <c r="C968" s="41">
        <v>0</v>
      </c>
      <c r="D968" s="41">
        <v>50000000</v>
      </c>
      <c r="E968" s="41">
        <v>0</v>
      </c>
      <c r="F968" s="41">
        <v>50000000</v>
      </c>
      <c r="G968" s="41">
        <v>0</v>
      </c>
      <c r="H968" s="41">
        <v>50000000</v>
      </c>
      <c r="I968" s="41">
        <v>0</v>
      </c>
      <c r="J968" s="41">
        <v>40000000</v>
      </c>
      <c r="K968" s="41">
        <v>0</v>
      </c>
      <c r="L968" s="41">
        <v>10000000</v>
      </c>
      <c r="M968" s="41">
        <v>0</v>
      </c>
      <c r="N968" s="41">
        <v>78516666.666666538</v>
      </c>
      <c r="O968" s="41">
        <v>79166.666666666672</v>
      </c>
      <c r="P968" s="41">
        <v>75000000</v>
      </c>
      <c r="Q968" s="41">
        <v>0</v>
      </c>
      <c r="R968" s="41">
        <v>50000000</v>
      </c>
      <c r="S968" s="41">
        <v>0</v>
      </c>
      <c r="T968" s="41">
        <v>35000000</v>
      </c>
      <c r="U968" s="41">
        <v>0</v>
      </c>
      <c r="V968" s="41">
        <v>458516666.66666651</v>
      </c>
      <c r="W968" s="41">
        <v>79166.666666666672</v>
      </c>
      <c r="X968" s="38">
        <f t="shared" si="84"/>
        <v>0.91703333333333303</v>
      </c>
      <c r="Y968" s="39">
        <f t="shared" si="85"/>
        <v>1.5833333333333335E-4</v>
      </c>
      <c r="Z968" s="39">
        <f t="shared" si="89"/>
        <v>1.7268802544876169E-4</v>
      </c>
      <c r="AA968" s="41">
        <f t="shared" si="86"/>
        <v>41483333.333333492</v>
      </c>
      <c r="AB968" s="39">
        <f t="shared" si="87"/>
        <v>1.9083969465648783E-3</v>
      </c>
      <c r="AC968" s="38">
        <f t="shared" si="88"/>
        <v>0.19555864586502117</v>
      </c>
      <c r="AD968" s="3"/>
    </row>
    <row r="969" spans="1:30" x14ac:dyDescent="0.25">
      <c r="A969" s="37">
        <v>46605</v>
      </c>
      <c r="B969" s="41">
        <v>20000000</v>
      </c>
      <c r="C969" s="41">
        <v>0</v>
      </c>
      <c r="D969" s="41">
        <v>50000000</v>
      </c>
      <c r="E969" s="41">
        <v>0</v>
      </c>
      <c r="F969" s="41">
        <v>50000000</v>
      </c>
      <c r="G969" s="41">
        <v>0</v>
      </c>
      <c r="H969" s="41">
        <v>50000000</v>
      </c>
      <c r="I969" s="41">
        <v>0</v>
      </c>
      <c r="J969" s="41">
        <v>40000000</v>
      </c>
      <c r="K969" s="41">
        <v>0</v>
      </c>
      <c r="L969" s="41">
        <v>10000000</v>
      </c>
      <c r="M969" s="41">
        <v>0</v>
      </c>
      <c r="N969" s="41">
        <v>78595833.333333209</v>
      </c>
      <c r="O969" s="41">
        <v>79166.666666666672</v>
      </c>
      <c r="P969" s="41">
        <v>75000000</v>
      </c>
      <c r="Q969" s="41">
        <v>0</v>
      </c>
      <c r="R969" s="41">
        <v>50000000</v>
      </c>
      <c r="S969" s="41">
        <v>0</v>
      </c>
      <c r="T969" s="41">
        <v>35000000</v>
      </c>
      <c r="U969" s="41">
        <v>0</v>
      </c>
      <c r="V969" s="41">
        <v>458595833.33333319</v>
      </c>
      <c r="W969" s="41">
        <v>79166.666666666672</v>
      </c>
      <c r="X969" s="38">
        <f t="shared" si="84"/>
        <v>0.91719166666666641</v>
      </c>
      <c r="Y969" s="39">
        <f t="shared" si="85"/>
        <v>1.5833333333333335E-4</v>
      </c>
      <c r="Z969" s="39">
        <f t="shared" si="89"/>
        <v>1.7265820944349541E-4</v>
      </c>
      <c r="AA969" s="41">
        <f t="shared" si="86"/>
        <v>41404166.666666806</v>
      </c>
      <c r="AB969" s="39">
        <f t="shared" si="87"/>
        <v>1.9120458891013321E-3</v>
      </c>
      <c r="AC969" s="38">
        <f t="shared" si="88"/>
        <v>0.19551828639084112</v>
      </c>
      <c r="AD969" s="3"/>
    </row>
    <row r="970" spans="1:30" x14ac:dyDescent="0.25">
      <c r="A970" s="37">
        <v>46606</v>
      </c>
      <c r="B970" s="41">
        <v>20000000</v>
      </c>
      <c r="C970" s="41">
        <v>0</v>
      </c>
      <c r="D970" s="41">
        <v>50000000</v>
      </c>
      <c r="E970" s="41">
        <v>0</v>
      </c>
      <c r="F970" s="41">
        <v>50000000</v>
      </c>
      <c r="G970" s="41">
        <v>0</v>
      </c>
      <c r="H970" s="41">
        <v>50000000</v>
      </c>
      <c r="I970" s="41">
        <v>0</v>
      </c>
      <c r="J970" s="41">
        <v>40000000</v>
      </c>
      <c r="K970" s="41">
        <v>0</v>
      </c>
      <c r="L970" s="41">
        <v>10000000</v>
      </c>
      <c r="M970" s="41">
        <v>0</v>
      </c>
      <c r="N970" s="41">
        <v>78674999.999999881</v>
      </c>
      <c r="O970" s="41">
        <v>79166.666666666672</v>
      </c>
      <c r="P970" s="41">
        <v>75000000</v>
      </c>
      <c r="Q970" s="41">
        <v>0</v>
      </c>
      <c r="R970" s="41">
        <v>50000000</v>
      </c>
      <c r="S970" s="41">
        <v>0</v>
      </c>
      <c r="T970" s="41">
        <v>35000000</v>
      </c>
      <c r="U970" s="41">
        <v>0</v>
      </c>
      <c r="V970" s="41">
        <v>458674999.99999988</v>
      </c>
      <c r="W970" s="41">
        <v>79166.666666666672</v>
      </c>
      <c r="X970" s="38">
        <f t="shared" si="84"/>
        <v>0.91734999999999978</v>
      </c>
      <c r="Y970" s="39">
        <f t="shared" si="85"/>
        <v>1.5833333333333335E-4</v>
      </c>
      <c r="Z970" s="39">
        <f t="shared" si="89"/>
        <v>1.7262840373240786E-4</v>
      </c>
      <c r="AA970" s="41">
        <f t="shared" si="86"/>
        <v>41325000.000000119</v>
      </c>
      <c r="AB970" s="39">
        <f t="shared" si="87"/>
        <v>1.9157088122605311E-3</v>
      </c>
      <c r="AC970" s="38">
        <f t="shared" si="88"/>
        <v>0.19547794357203369</v>
      </c>
      <c r="AD970" s="3"/>
    </row>
    <row r="971" spans="1:30" x14ac:dyDescent="0.25">
      <c r="A971" s="37">
        <v>46607</v>
      </c>
      <c r="B971" s="41">
        <v>20000000</v>
      </c>
      <c r="C971" s="41">
        <v>0</v>
      </c>
      <c r="D971" s="41">
        <v>50000000</v>
      </c>
      <c r="E971" s="41">
        <v>0</v>
      </c>
      <c r="F971" s="41">
        <v>50000000</v>
      </c>
      <c r="G971" s="41">
        <v>0</v>
      </c>
      <c r="H971" s="41">
        <v>50000000</v>
      </c>
      <c r="I971" s="41">
        <v>0</v>
      </c>
      <c r="J971" s="41">
        <v>40000000</v>
      </c>
      <c r="K971" s="41">
        <v>0</v>
      </c>
      <c r="L971" s="41">
        <v>10000000</v>
      </c>
      <c r="M971" s="41">
        <v>0</v>
      </c>
      <c r="N971" s="41">
        <v>78754166.666666552</v>
      </c>
      <c r="O971" s="41">
        <v>79166.666666666672</v>
      </c>
      <c r="P971" s="41">
        <v>75000000</v>
      </c>
      <c r="Q971" s="41">
        <v>0</v>
      </c>
      <c r="R971" s="41">
        <v>50000000</v>
      </c>
      <c r="S971" s="41">
        <v>0</v>
      </c>
      <c r="T971" s="41">
        <v>35000000</v>
      </c>
      <c r="U971" s="41">
        <v>0</v>
      </c>
      <c r="V971" s="41">
        <v>458754166.66666663</v>
      </c>
      <c r="W971" s="41">
        <v>79166.666666666672</v>
      </c>
      <c r="X971" s="38">
        <f t="shared" si="84"/>
        <v>0.91750833333333326</v>
      </c>
      <c r="Y971" s="39">
        <f t="shared" si="85"/>
        <v>1.5833333333333335E-4</v>
      </c>
      <c r="Z971" s="39">
        <f t="shared" si="89"/>
        <v>1.7259860831016883E-4</v>
      </c>
      <c r="AA971" s="41">
        <f t="shared" si="86"/>
        <v>41245833.333333373</v>
      </c>
      <c r="AB971" s="39">
        <f t="shared" si="87"/>
        <v>1.9193857965451038E-3</v>
      </c>
      <c r="AC971" s="38">
        <f t="shared" si="88"/>
        <v>0.19543761739829102</v>
      </c>
      <c r="AD971" s="3"/>
    </row>
    <row r="972" spans="1:30" x14ac:dyDescent="0.25">
      <c r="A972" s="37">
        <v>46608</v>
      </c>
      <c r="B972" s="41">
        <v>20000000</v>
      </c>
      <c r="C972" s="41">
        <v>0</v>
      </c>
      <c r="D972" s="41">
        <v>50000000</v>
      </c>
      <c r="E972" s="41">
        <v>0</v>
      </c>
      <c r="F972" s="41">
        <v>50000000</v>
      </c>
      <c r="G972" s="41">
        <v>0</v>
      </c>
      <c r="H972" s="41">
        <v>50000000</v>
      </c>
      <c r="I972" s="41">
        <v>0</v>
      </c>
      <c r="J972" s="41">
        <v>40000000</v>
      </c>
      <c r="K972" s="41">
        <v>0</v>
      </c>
      <c r="L972" s="41">
        <v>10000000</v>
      </c>
      <c r="M972" s="41">
        <v>0</v>
      </c>
      <c r="N972" s="41">
        <v>78833333.333333224</v>
      </c>
      <c r="O972" s="41">
        <v>79166.666666666672</v>
      </c>
      <c r="P972" s="41">
        <v>75000000</v>
      </c>
      <c r="Q972" s="41">
        <v>0</v>
      </c>
      <c r="R972" s="41">
        <v>50000000</v>
      </c>
      <c r="S972" s="41">
        <v>0</v>
      </c>
      <c r="T972" s="41">
        <v>35000000</v>
      </c>
      <c r="U972" s="41">
        <v>0</v>
      </c>
      <c r="V972" s="41">
        <v>458833333.33333331</v>
      </c>
      <c r="W972" s="41">
        <v>79166.666666666672</v>
      </c>
      <c r="X972" s="38">
        <f t="shared" si="84"/>
        <v>0.91766666666666663</v>
      </c>
      <c r="Y972" s="39">
        <f t="shared" si="85"/>
        <v>1.5833333333333335E-4</v>
      </c>
      <c r="Z972" s="39">
        <f t="shared" si="89"/>
        <v>1.7256882317145169E-4</v>
      </c>
      <c r="AA972" s="41">
        <f t="shared" si="86"/>
        <v>41166666.666666687</v>
      </c>
      <c r="AB972" s="39">
        <f t="shared" si="87"/>
        <v>1.9230769230769223E-3</v>
      </c>
      <c r="AC972" s="38">
        <f t="shared" si="88"/>
        <v>0.19539730785931395</v>
      </c>
      <c r="AD972" s="3"/>
    </row>
    <row r="973" spans="1:30" x14ac:dyDescent="0.25">
      <c r="A973" s="37">
        <v>46609</v>
      </c>
      <c r="B973" s="41">
        <v>20000000</v>
      </c>
      <c r="C973" s="41">
        <v>0</v>
      </c>
      <c r="D973" s="41">
        <v>50000000</v>
      </c>
      <c r="E973" s="41">
        <v>0</v>
      </c>
      <c r="F973" s="41">
        <v>50000000</v>
      </c>
      <c r="G973" s="41">
        <v>0</v>
      </c>
      <c r="H973" s="41">
        <v>50000000</v>
      </c>
      <c r="I973" s="41">
        <v>0</v>
      </c>
      <c r="J973" s="41">
        <v>40000000</v>
      </c>
      <c r="K973" s="41">
        <v>0</v>
      </c>
      <c r="L973" s="41">
        <v>10000000</v>
      </c>
      <c r="M973" s="41">
        <v>0</v>
      </c>
      <c r="N973" s="41">
        <v>78912499.999999896</v>
      </c>
      <c r="O973" s="41">
        <v>79166.666666666672</v>
      </c>
      <c r="P973" s="41">
        <v>75000000</v>
      </c>
      <c r="Q973" s="41">
        <v>0</v>
      </c>
      <c r="R973" s="41">
        <v>50000000</v>
      </c>
      <c r="S973" s="41">
        <v>0</v>
      </c>
      <c r="T973" s="41">
        <v>35000000</v>
      </c>
      <c r="U973" s="41">
        <v>0</v>
      </c>
      <c r="V973" s="41">
        <v>458912499.99999988</v>
      </c>
      <c r="W973" s="41">
        <v>79166.666666666672</v>
      </c>
      <c r="X973" s="38">
        <f t="shared" si="84"/>
        <v>0.91782499999999978</v>
      </c>
      <c r="Y973" s="39">
        <f t="shared" si="85"/>
        <v>1.5833333333333335E-4</v>
      </c>
      <c r="Z973" s="39">
        <f t="shared" si="89"/>
        <v>1.7253904831093355E-4</v>
      </c>
      <c r="AA973" s="41">
        <f t="shared" si="86"/>
        <v>41087500.000000119</v>
      </c>
      <c r="AB973" s="39">
        <f t="shared" si="87"/>
        <v>1.9267822736030774E-3</v>
      </c>
      <c r="AC973" s="38">
        <f t="shared" si="88"/>
        <v>0.1953570149448117</v>
      </c>
      <c r="AD973" s="3"/>
    </row>
    <row r="974" spans="1:30" x14ac:dyDescent="0.25">
      <c r="A974" s="37">
        <v>46610</v>
      </c>
      <c r="B974" s="41">
        <v>20000000</v>
      </c>
      <c r="C974" s="41">
        <v>0</v>
      </c>
      <c r="D974" s="41">
        <v>50000000</v>
      </c>
      <c r="E974" s="41">
        <v>0</v>
      </c>
      <c r="F974" s="41">
        <v>50000000</v>
      </c>
      <c r="G974" s="41">
        <v>0</v>
      </c>
      <c r="H974" s="41">
        <v>50000000</v>
      </c>
      <c r="I974" s="41">
        <v>0</v>
      </c>
      <c r="J974" s="41">
        <v>40000000</v>
      </c>
      <c r="K974" s="41">
        <v>0</v>
      </c>
      <c r="L974" s="41">
        <v>10000000</v>
      </c>
      <c r="M974" s="41">
        <v>0</v>
      </c>
      <c r="N974" s="41">
        <v>78991666.666666567</v>
      </c>
      <c r="O974" s="41">
        <v>79166.666666666672</v>
      </c>
      <c r="P974" s="41">
        <v>75000000</v>
      </c>
      <c r="Q974" s="41">
        <v>0</v>
      </c>
      <c r="R974" s="41">
        <v>50000000</v>
      </c>
      <c r="S974" s="41">
        <v>0</v>
      </c>
      <c r="T974" s="41">
        <v>35000000</v>
      </c>
      <c r="U974" s="41">
        <v>0</v>
      </c>
      <c r="V974" s="41">
        <v>458991666.66666663</v>
      </c>
      <c r="W974" s="41">
        <v>79166.666666666672</v>
      </c>
      <c r="X974" s="38">
        <f t="shared" si="84"/>
        <v>0.91798333333333326</v>
      </c>
      <c r="Y974" s="39">
        <f t="shared" si="85"/>
        <v>1.5833333333333335E-4</v>
      </c>
      <c r="Z974" s="39">
        <f t="shared" si="89"/>
        <v>1.7250928372329515E-4</v>
      </c>
      <c r="AA974" s="41">
        <f t="shared" si="86"/>
        <v>41008333.333333373</v>
      </c>
      <c r="AB974" s="39">
        <f t="shared" si="87"/>
        <v>1.9305019305019288E-3</v>
      </c>
      <c r="AC974" s="38">
        <f t="shared" si="88"/>
        <v>0.19531673864450186</v>
      </c>
      <c r="AD974" s="3"/>
    </row>
    <row r="975" spans="1:30" x14ac:dyDescent="0.25">
      <c r="A975" s="37">
        <v>46611</v>
      </c>
      <c r="B975" s="41">
        <v>20000000</v>
      </c>
      <c r="C975" s="41">
        <v>0</v>
      </c>
      <c r="D975" s="41">
        <v>50000000</v>
      </c>
      <c r="E975" s="41">
        <v>0</v>
      </c>
      <c r="F975" s="41">
        <v>50000000</v>
      </c>
      <c r="G975" s="41">
        <v>0</v>
      </c>
      <c r="H975" s="41">
        <v>50000000</v>
      </c>
      <c r="I975" s="41">
        <v>0</v>
      </c>
      <c r="J975" s="41">
        <v>40000000</v>
      </c>
      <c r="K975" s="41">
        <v>0</v>
      </c>
      <c r="L975" s="41">
        <v>10000000</v>
      </c>
      <c r="M975" s="41">
        <v>0</v>
      </c>
      <c r="N975" s="41">
        <v>79070833.333333239</v>
      </c>
      <c r="O975" s="41">
        <v>79166.666666666672</v>
      </c>
      <c r="P975" s="41">
        <v>75000000</v>
      </c>
      <c r="Q975" s="41">
        <v>0</v>
      </c>
      <c r="R975" s="41">
        <v>50000000</v>
      </c>
      <c r="S975" s="41">
        <v>0</v>
      </c>
      <c r="T975" s="41">
        <v>35000000</v>
      </c>
      <c r="U975" s="41">
        <v>0</v>
      </c>
      <c r="V975" s="41">
        <v>459070833.33333331</v>
      </c>
      <c r="W975" s="41">
        <v>79166.666666666672</v>
      </c>
      <c r="X975" s="38">
        <f t="shared" si="84"/>
        <v>0.91814166666666663</v>
      </c>
      <c r="Y975" s="39">
        <f t="shared" si="85"/>
        <v>1.5833333333333335E-4</v>
      </c>
      <c r="Z975" s="39">
        <f t="shared" si="89"/>
        <v>1.7247952940322085E-4</v>
      </c>
      <c r="AA975" s="41">
        <f t="shared" si="86"/>
        <v>40929166.666666687</v>
      </c>
      <c r="AB975" s="39">
        <f t="shared" si="87"/>
        <v>1.9342359767891674E-3</v>
      </c>
      <c r="AC975" s="38">
        <f t="shared" si="88"/>
        <v>0.1952764789481107</v>
      </c>
      <c r="AD975" s="3"/>
    </row>
    <row r="976" spans="1:30" x14ac:dyDescent="0.25">
      <c r="A976" s="37">
        <v>46612</v>
      </c>
      <c r="B976" s="41">
        <v>20000000</v>
      </c>
      <c r="C976" s="41">
        <v>0</v>
      </c>
      <c r="D976" s="41">
        <v>50000000</v>
      </c>
      <c r="E976" s="41">
        <v>0</v>
      </c>
      <c r="F976" s="41">
        <v>50000000</v>
      </c>
      <c r="G976" s="41">
        <v>0</v>
      </c>
      <c r="H976" s="41">
        <v>50000000</v>
      </c>
      <c r="I976" s="41">
        <v>0</v>
      </c>
      <c r="J976" s="41">
        <v>40000000</v>
      </c>
      <c r="K976" s="41">
        <v>0</v>
      </c>
      <c r="L976" s="41">
        <v>10000000</v>
      </c>
      <c r="M976" s="41">
        <v>0</v>
      </c>
      <c r="N976" s="41">
        <v>79149999.999999911</v>
      </c>
      <c r="O976" s="41">
        <v>79166.666666666672</v>
      </c>
      <c r="P976" s="41">
        <v>75000000</v>
      </c>
      <c r="Q976" s="41">
        <v>0</v>
      </c>
      <c r="R976" s="41">
        <v>50000000</v>
      </c>
      <c r="S976" s="41">
        <v>0</v>
      </c>
      <c r="T976" s="41">
        <v>35000000</v>
      </c>
      <c r="U976" s="41">
        <v>0</v>
      </c>
      <c r="V976" s="41">
        <v>459149999.99999988</v>
      </c>
      <c r="W976" s="41">
        <v>79166.666666666672</v>
      </c>
      <c r="X976" s="38">
        <f t="shared" si="84"/>
        <v>0.91829999999999978</v>
      </c>
      <c r="Y976" s="39">
        <f t="shared" si="85"/>
        <v>1.5833333333333335E-4</v>
      </c>
      <c r="Z976" s="39">
        <f t="shared" si="89"/>
        <v>1.7244978534539879E-4</v>
      </c>
      <c r="AA976" s="41">
        <f t="shared" si="86"/>
        <v>40850000.000000119</v>
      </c>
      <c r="AB976" s="39">
        <f t="shared" si="87"/>
        <v>1.9379844961240256E-3</v>
      </c>
      <c r="AC976" s="38">
        <f t="shared" si="88"/>
        <v>0.19523623584537297</v>
      </c>
      <c r="AD976" s="3"/>
    </row>
    <row r="977" spans="1:30" x14ac:dyDescent="0.25">
      <c r="A977" s="37">
        <v>46613</v>
      </c>
      <c r="B977" s="41">
        <v>20000000</v>
      </c>
      <c r="C977" s="41">
        <v>0</v>
      </c>
      <c r="D977" s="41">
        <v>50000000</v>
      </c>
      <c r="E977" s="41">
        <v>0</v>
      </c>
      <c r="F977" s="41">
        <v>50000000</v>
      </c>
      <c r="G977" s="41">
        <v>0</v>
      </c>
      <c r="H977" s="41">
        <v>50000000</v>
      </c>
      <c r="I977" s="41">
        <v>0</v>
      </c>
      <c r="J977" s="41">
        <v>40000000</v>
      </c>
      <c r="K977" s="41">
        <v>0</v>
      </c>
      <c r="L977" s="41">
        <v>10000000</v>
      </c>
      <c r="M977" s="41">
        <v>0</v>
      </c>
      <c r="N977" s="41">
        <v>79229166.666666582</v>
      </c>
      <c r="O977" s="41">
        <v>79166.666666666672</v>
      </c>
      <c r="P977" s="41">
        <v>75000000</v>
      </c>
      <c r="Q977" s="41">
        <v>0</v>
      </c>
      <c r="R977" s="41">
        <v>50000000</v>
      </c>
      <c r="S977" s="41">
        <v>0</v>
      </c>
      <c r="T977" s="41">
        <v>35000000</v>
      </c>
      <c r="U977" s="41">
        <v>0</v>
      </c>
      <c r="V977" s="41">
        <v>459229166.66666663</v>
      </c>
      <c r="W977" s="41">
        <v>79166.666666666672</v>
      </c>
      <c r="X977" s="38">
        <f t="shared" si="84"/>
        <v>0.91845833333333327</v>
      </c>
      <c r="Y977" s="39">
        <f t="shared" si="85"/>
        <v>1.5833333333333335E-4</v>
      </c>
      <c r="Z977" s="39">
        <f t="shared" si="89"/>
        <v>1.7242005154452072E-4</v>
      </c>
      <c r="AA977" s="41">
        <f t="shared" si="86"/>
        <v>40770833.333333373</v>
      </c>
      <c r="AB977" s="39">
        <f t="shared" si="87"/>
        <v>1.9417475728155322E-3</v>
      </c>
      <c r="AC977" s="38">
        <f t="shared" si="88"/>
        <v>0.19519600932603157</v>
      </c>
      <c r="AD977" s="3"/>
    </row>
    <row r="978" spans="1:30" x14ac:dyDescent="0.25">
      <c r="A978" s="37">
        <v>46614</v>
      </c>
      <c r="B978" s="41">
        <v>20000000</v>
      </c>
      <c r="C978" s="41">
        <v>0</v>
      </c>
      <c r="D978" s="41">
        <v>50000000</v>
      </c>
      <c r="E978" s="41">
        <v>0</v>
      </c>
      <c r="F978" s="41">
        <v>50000000</v>
      </c>
      <c r="G978" s="41">
        <v>0</v>
      </c>
      <c r="H978" s="41">
        <v>50000000</v>
      </c>
      <c r="I978" s="41">
        <v>0</v>
      </c>
      <c r="J978" s="41">
        <v>40000000</v>
      </c>
      <c r="K978" s="41">
        <v>0</v>
      </c>
      <c r="L978" s="41">
        <v>10000000</v>
      </c>
      <c r="M978" s="41">
        <v>0</v>
      </c>
      <c r="N978" s="41">
        <v>79308333.333333254</v>
      </c>
      <c r="O978" s="41">
        <v>79166.666666666672</v>
      </c>
      <c r="P978" s="41">
        <v>75000000</v>
      </c>
      <c r="Q978" s="41">
        <v>0</v>
      </c>
      <c r="R978" s="41">
        <v>50000000</v>
      </c>
      <c r="S978" s="41">
        <v>0</v>
      </c>
      <c r="T978" s="41">
        <v>35000000</v>
      </c>
      <c r="U978" s="41">
        <v>0</v>
      </c>
      <c r="V978" s="41">
        <v>459308333.33333331</v>
      </c>
      <c r="W978" s="41">
        <v>79166.666666666672</v>
      </c>
      <c r="X978" s="38">
        <f t="shared" si="84"/>
        <v>0.91861666666666664</v>
      </c>
      <c r="Y978" s="39">
        <f t="shared" si="85"/>
        <v>1.5833333333333335E-4</v>
      </c>
      <c r="Z978" s="39">
        <f t="shared" si="89"/>
        <v>1.7239032799528197E-4</v>
      </c>
      <c r="AA978" s="41">
        <f t="shared" si="86"/>
        <v>40691666.666666687</v>
      </c>
      <c r="AB978" s="39">
        <f t="shared" si="87"/>
        <v>1.9455252918287929E-3</v>
      </c>
      <c r="AC978" s="38">
        <f t="shared" si="88"/>
        <v>0.19515579937983824</v>
      </c>
      <c r="AD978" s="3"/>
    </row>
    <row r="979" spans="1:30" x14ac:dyDescent="0.25">
      <c r="A979" s="37">
        <v>46615</v>
      </c>
      <c r="B979" s="41">
        <v>20000000</v>
      </c>
      <c r="C979" s="41">
        <v>0</v>
      </c>
      <c r="D979" s="41">
        <v>50000000</v>
      </c>
      <c r="E979" s="41">
        <v>0</v>
      </c>
      <c r="F979" s="41">
        <v>50000000</v>
      </c>
      <c r="G979" s="41">
        <v>0</v>
      </c>
      <c r="H979" s="41">
        <v>50000000</v>
      </c>
      <c r="I979" s="41">
        <v>0</v>
      </c>
      <c r="J979" s="41">
        <v>40000000</v>
      </c>
      <c r="K979" s="41">
        <v>0</v>
      </c>
      <c r="L979" s="41">
        <v>10000000</v>
      </c>
      <c r="M979" s="41">
        <v>0</v>
      </c>
      <c r="N979" s="41">
        <v>79387499.999999925</v>
      </c>
      <c r="O979" s="41">
        <v>79166.666666666672</v>
      </c>
      <c r="P979" s="41">
        <v>75000000</v>
      </c>
      <c r="Q979" s="41">
        <v>0</v>
      </c>
      <c r="R979" s="41">
        <v>50000000</v>
      </c>
      <c r="S979" s="41">
        <v>0</v>
      </c>
      <c r="T979" s="41">
        <v>35000000</v>
      </c>
      <c r="U979" s="41">
        <v>0</v>
      </c>
      <c r="V979" s="41">
        <v>459387499.99999988</v>
      </c>
      <c r="W979" s="41">
        <v>79166.666666666672</v>
      </c>
      <c r="X979" s="38">
        <f t="shared" si="84"/>
        <v>0.91877499999999979</v>
      </c>
      <c r="Y979" s="39">
        <f t="shared" si="85"/>
        <v>1.5833333333333335E-4</v>
      </c>
      <c r="Z979" s="39">
        <f t="shared" si="89"/>
        <v>1.7236061469238167E-4</v>
      </c>
      <c r="AA979" s="41">
        <f t="shared" si="86"/>
        <v>40612500.000000119</v>
      </c>
      <c r="AB979" s="39">
        <f t="shared" si="87"/>
        <v>1.9493177387914175E-3</v>
      </c>
      <c r="AC979" s="38">
        <f t="shared" si="88"/>
        <v>0.195115605996553</v>
      </c>
      <c r="AD979" s="3"/>
    </row>
    <row r="980" spans="1:30" x14ac:dyDescent="0.25">
      <c r="A980" s="37">
        <v>46616</v>
      </c>
      <c r="B980" s="41">
        <v>20000000</v>
      </c>
      <c r="C980" s="41">
        <v>0</v>
      </c>
      <c r="D980" s="41">
        <v>50000000</v>
      </c>
      <c r="E980" s="41">
        <v>0</v>
      </c>
      <c r="F980" s="41">
        <v>50000000</v>
      </c>
      <c r="G980" s="41">
        <v>0</v>
      </c>
      <c r="H980" s="41">
        <v>50000000</v>
      </c>
      <c r="I980" s="41">
        <v>0</v>
      </c>
      <c r="J980" s="41">
        <v>40000000</v>
      </c>
      <c r="K980" s="41">
        <v>0</v>
      </c>
      <c r="L980" s="41">
        <v>10000000</v>
      </c>
      <c r="M980" s="41">
        <v>0</v>
      </c>
      <c r="N980" s="41">
        <v>79466666.666666597</v>
      </c>
      <c r="O980" s="41">
        <v>79166.666666666672</v>
      </c>
      <c r="P980" s="41">
        <v>75000000</v>
      </c>
      <c r="Q980" s="41">
        <v>0</v>
      </c>
      <c r="R980" s="41">
        <v>50000000</v>
      </c>
      <c r="S980" s="41">
        <v>0</v>
      </c>
      <c r="T980" s="41">
        <v>35000000</v>
      </c>
      <c r="U980" s="41">
        <v>0</v>
      </c>
      <c r="V980" s="41">
        <v>459466666.66666663</v>
      </c>
      <c r="W980" s="41">
        <v>79166.666666666672</v>
      </c>
      <c r="X980" s="38">
        <f t="shared" si="84"/>
        <v>0.91893333333333327</v>
      </c>
      <c r="Y980" s="39">
        <f t="shared" si="85"/>
        <v>1.5833333333333335E-4</v>
      </c>
      <c r="Z980" s="39">
        <f t="shared" si="89"/>
        <v>1.7233091163052259E-4</v>
      </c>
      <c r="AA980" s="41">
        <f t="shared" si="86"/>
        <v>40533333.333333373</v>
      </c>
      <c r="AB980" s="39">
        <f t="shared" si="87"/>
        <v>1.9531249999999983E-3</v>
      </c>
      <c r="AC980" s="38">
        <f t="shared" si="88"/>
        <v>0.1950754291659442</v>
      </c>
      <c r="AD980" s="3"/>
    </row>
    <row r="981" spans="1:30" x14ac:dyDescent="0.25">
      <c r="A981" s="37">
        <v>46617</v>
      </c>
      <c r="B981" s="41">
        <v>20000000</v>
      </c>
      <c r="C981" s="41">
        <v>0</v>
      </c>
      <c r="D981" s="41">
        <v>50000000</v>
      </c>
      <c r="E981" s="41">
        <v>0</v>
      </c>
      <c r="F981" s="41">
        <v>50000000</v>
      </c>
      <c r="G981" s="41">
        <v>0</v>
      </c>
      <c r="H981" s="41">
        <v>50000000</v>
      </c>
      <c r="I981" s="41">
        <v>0</v>
      </c>
      <c r="J981" s="41">
        <v>40000000</v>
      </c>
      <c r="K981" s="41">
        <v>0</v>
      </c>
      <c r="L981" s="41">
        <v>10000000</v>
      </c>
      <c r="M981" s="41">
        <v>0</v>
      </c>
      <c r="N981" s="41">
        <v>79545833.333333269</v>
      </c>
      <c r="O981" s="41">
        <v>79166.666666666672</v>
      </c>
      <c r="P981" s="41">
        <v>75000000</v>
      </c>
      <c r="Q981" s="41">
        <v>0</v>
      </c>
      <c r="R981" s="41">
        <v>50000000</v>
      </c>
      <c r="S981" s="41">
        <v>0</v>
      </c>
      <c r="T981" s="41">
        <v>35000000</v>
      </c>
      <c r="U981" s="41">
        <v>0</v>
      </c>
      <c r="V981" s="41">
        <v>459545833.33333331</v>
      </c>
      <c r="W981" s="41">
        <v>79166.666666666672</v>
      </c>
      <c r="X981" s="38">
        <f t="shared" si="84"/>
        <v>0.91909166666666664</v>
      </c>
      <c r="Y981" s="39">
        <f t="shared" si="85"/>
        <v>1.5833333333333335E-4</v>
      </c>
      <c r="Z981" s="39">
        <f t="shared" si="89"/>
        <v>1.7230121880441093E-4</v>
      </c>
      <c r="AA981" s="41">
        <f t="shared" si="86"/>
        <v>40454166.666666687</v>
      </c>
      <c r="AB981" s="39">
        <f t="shared" si="87"/>
        <v>1.9569471624266135E-3</v>
      </c>
      <c r="AC981" s="38">
        <f t="shared" si="88"/>
        <v>0.19503526887778874</v>
      </c>
      <c r="AD981" s="3"/>
    </row>
    <row r="982" spans="1:30" x14ac:dyDescent="0.25">
      <c r="A982" s="37">
        <v>46618</v>
      </c>
      <c r="B982" s="41">
        <v>20000000</v>
      </c>
      <c r="C982" s="41">
        <v>0</v>
      </c>
      <c r="D982" s="41">
        <v>50000000</v>
      </c>
      <c r="E982" s="41">
        <v>0</v>
      </c>
      <c r="F982" s="41">
        <v>50000000</v>
      </c>
      <c r="G982" s="41">
        <v>0</v>
      </c>
      <c r="H982" s="41">
        <v>50000000</v>
      </c>
      <c r="I982" s="41">
        <v>0</v>
      </c>
      <c r="J982" s="41">
        <v>40000000</v>
      </c>
      <c r="K982" s="41">
        <v>0</v>
      </c>
      <c r="L982" s="41">
        <v>10000000</v>
      </c>
      <c r="M982" s="41">
        <v>0</v>
      </c>
      <c r="N982" s="41">
        <v>79624999.99999994</v>
      </c>
      <c r="O982" s="41">
        <v>79166.666666666672</v>
      </c>
      <c r="P982" s="41">
        <v>75000000</v>
      </c>
      <c r="Q982" s="41">
        <v>0</v>
      </c>
      <c r="R982" s="41">
        <v>50000000</v>
      </c>
      <c r="S982" s="41">
        <v>0</v>
      </c>
      <c r="T982" s="41">
        <v>35000000</v>
      </c>
      <c r="U982" s="41">
        <v>0</v>
      </c>
      <c r="V982" s="41">
        <v>459624999.99999988</v>
      </c>
      <c r="W982" s="41">
        <v>79166.666666666672</v>
      </c>
      <c r="X982" s="38">
        <f t="shared" si="84"/>
        <v>0.91924999999999979</v>
      </c>
      <c r="Y982" s="39">
        <f t="shared" si="85"/>
        <v>1.5833333333333335E-4</v>
      </c>
      <c r="Z982" s="39">
        <f t="shared" si="89"/>
        <v>1.7227153620875686E-4</v>
      </c>
      <c r="AA982" s="41">
        <f t="shared" si="86"/>
        <v>40375000.000000119</v>
      </c>
      <c r="AB982" s="39">
        <f t="shared" si="87"/>
        <v>1.9607843137254845E-3</v>
      </c>
      <c r="AC982" s="38">
        <f t="shared" si="88"/>
        <v>0.194995125121872</v>
      </c>
      <c r="AD982" s="3"/>
    </row>
    <row r="983" spans="1:30" x14ac:dyDescent="0.25">
      <c r="A983" s="37">
        <v>46619</v>
      </c>
      <c r="B983" s="41">
        <v>20000000</v>
      </c>
      <c r="C983" s="41">
        <v>0</v>
      </c>
      <c r="D983" s="41">
        <v>50000000</v>
      </c>
      <c r="E983" s="41">
        <v>0</v>
      </c>
      <c r="F983" s="41">
        <v>50000000</v>
      </c>
      <c r="G983" s="41">
        <v>0</v>
      </c>
      <c r="H983" s="41">
        <v>50000000</v>
      </c>
      <c r="I983" s="41">
        <v>0</v>
      </c>
      <c r="J983" s="41">
        <v>40000000</v>
      </c>
      <c r="K983" s="41">
        <v>0</v>
      </c>
      <c r="L983" s="41">
        <v>10000000</v>
      </c>
      <c r="M983" s="41">
        <v>0</v>
      </c>
      <c r="N983" s="41">
        <v>79704166.666666612</v>
      </c>
      <c r="O983" s="41">
        <v>79166.666666666672</v>
      </c>
      <c r="P983" s="41">
        <v>75000000</v>
      </c>
      <c r="Q983" s="41">
        <v>0</v>
      </c>
      <c r="R983" s="41">
        <v>50000000</v>
      </c>
      <c r="S983" s="41">
        <v>0</v>
      </c>
      <c r="T983" s="41">
        <v>35000000</v>
      </c>
      <c r="U983" s="41">
        <v>0</v>
      </c>
      <c r="V983" s="41">
        <v>459704166.66666663</v>
      </c>
      <c r="W983" s="41">
        <v>79166.666666666672</v>
      </c>
      <c r="X983" s="38">
        <f t="shared" ref="X983:X1046" si="90">V983/$B$6</f>
        <v>0.91940833333333327</v>
      </c>
      <c r="Y983" s="39">
        <f t="shared" ref="Y983:Y1046" si="91">W983/$B$6</f>
        <v>1.5833333333333335E-4</v>
      </c>
      <c r="Z983" s="39">
        <f t="shared" si="89"/>
        <v>1.72241863838274E-4</v>
      </c>
      <c r="AA983" s="41">
        <f t="shared" ref="AA983:AA1046" si="92">$B$6-V983</f>
        <v>40295833.333333373</v>
      </c>
      <c r="AB983" s="39">
        <f t="shared" ref="AB983:AB1046" si="93">W983/AA983</f>
        <v>1.9646365422396838E-3</v>
      </c>
      <c r="AC983" s="38">
        <f t="shared" ref="AC983:AC1046" si="94" xml:space="preserve"> P983/(V983-P983)</f>
        <v>0.19495499788798754</v>
      </c>
      <c r="AD983" s="3"/>
    </row>
    <row r="984" spans="1:30" x14ac:dyDescent="0.25">
      <c r="A984" s="37">
        <v>46620</v>
      </c>
      <c r="B984" s="41">
        <v>20000000</v>
      </c>
      <c r="C984" s="41">
        <v>0</v>
      </c>
      <c r="D984" s="41">
        <v>50000000</v>
      </c>
      <c r="E984" s="41">
        <v>0</v>
      </c>
      <c r="F984" s="41">
        <v>50000000</v>
      </c>
      <c r="G984" s="41">
        <v>0</v>
      </c>
      <c r="H984" s="41">
        <v>50000000</v>
      </c>
      <c r="I984" s="41">
        <v>0</v>
      </c>
      <c r="J984" s="41">
        <v>40000000</v>
      </c>
      <c r="K984" s="41">
        <v>0</v>
      </c>
      <c r="L984" s="41">
        <v>10000000</v>
      </c>
      <c r="M984" s="41">
        <v>0</v>
      </c>
      <c r="N984" s="41">
        <v>79783333.333333284</v>
      </c>
      <c r="O984" s="41">
        <v>79166.666666666672</v>
      </c>
      <c r="P984" s="41">
        <v>75000000</v>
      </c>
      <c r="Q984" s="41">
        <v>0</v>
      </c>
      <c r="R984" s="41">
        <v>50000000</v>
      </c>
      <c r="S984" s="41">
        <v>0</v>
      </c>
      <c r="T984" s="41">
        <v>35000000</v>
      </c>
      <c r="U984" s="41">
        <v>0</v>
      </c>
      <c r="V984" s="41">
        <v>459783333.33333331</v>
      </c>
      <c r="W984" s="41">
        <v>79166.666666666672</v>
      </c>
      <c r="X984" s="38">
        <f t="shared" si="90"/>
        <v>0.91956666666666664</v>
      </c>
      <c r="Y984" s="39">
        <f t="shared" si="91"/>
        <v>1.5833333333333335E-4</v>
      </c>
      <c r="Z984" s="39">
        <f t="shared" ref="Z984:Z1047" si="95">W984/V983</f>
        <v>1.7221220168767959E-4</v>
      </c>
      <c r="AA984" s="41">
        <f t="shared" si="92"/>
        <v>40216666.666666687</v>
      </c>
      <c r="AB984" s="39">
        <f t="shared" si="93"/>
        <v>1.9685039370078731E-3</v>
      </c>
      <c r="AC984" s="38">
        <f t="shared" si="94"/>
        <v>0.19491488716593755</v>
      </c>
      <c r="AD984" s="3"/>
    </row>
    <row r="985" spans="1:30" x14ac:dyDescent="0.25">
      <c r="A985" s="37">
        <v>46621</v>
      </c>
      <c r="B985" s="41">
        <v>20000000</v>
      </c>
      <c r="C985" s="41">
        <v>0</v>
      </c>
      <c r="D985" s="41">
        <v>50000000</v>
      </c>
      <c r="E985" s="41">
        <v>0</v>
      </c>
      <c r="F985" s="41">
        <v>50000000</v>
      </c>
      <c r="G985" s="41">
        <v>0</v>
      </c>
      <c r="H985" s="41">
        <v>50000000</v>
      </c>
      <c r="I985" s="41">
        <v>0</v>
      </c>
      <c r="J985" s="41">
        <v>40000000</v>
      </c>
      <c r="K985" s="41">
        <v>0</v>
      </c>
      <c r="L985" s="41">
        <v>10000000</v>
      </c>
      <c r="M985" s="41">
        <v>0</v>
      </c>
      <c r="N985" s="41">
        <v>79862499.999999955</v>
      </c>
      <c r="O985" s="41">
        <v>79166.666666666672</v>
      </c>
      <c r="P985" s="41">
        <v>75000000</v>
      </c>
      <c r="Q985" s="41">
        <v>0</v>
      </c>
      <c r="R985" s="41">
        <v>50000000</v>
      </c>
      <c r="S985" s="41">
        <v>0</v>
      </c>
      <c r="T985" s="41">
        <v>35000000</v>
      </c>
      <c r="U985" s="41">
        <v>0</v>
      </c>
      <c r="V985" s="41">
        <v>459862499.99999988</v>
      </c>
      <c r="W985" s="41">
        <v>79166.666666666672</v>
      </c>
      <c r="X985" s="38">
        <f t="shared" si="90"/>
        <v>0.91972499999999979</v>
      </c>
      <c r="Y985" s="39">
        <f t="shared" si="91"/>
        <v>1.5833333333333335E-4</v>
      </c>
      <c r="Z985" s="39">
        <f t="shared" si="95"/>
        <v>1.7218254975169466E-4</v>
      </c>
      <c r="AA985" s="41">
        <f t="shared" si="92"/>
        <v>40137500.000000119</v>
      </c>
      <c r="AB985" s="39">
        <f t="shared" si="93"/>
        <v>1.9723865877711976E-3</v>
      </c>
      <c r="AC985" s="38">
        <f t="shared" si="94"/>
        <v>0.19487479294553256</v>
      </c>
      <c r="AD985" s="3"/>
    </row>
    <row r="986" spans="1:30" x14ac:dyDescent="0.25">
      <c r="A986" s="37">
        <v>46622</v>
      </c>
      <c r="B986" s="41">
        <v>20000000</v>
      </c>
      <c r="C986" s="41">
        <v>0</v>
      </c>
      <c r="D986" s="41">
        <v>50000000</v>
      </c>
      <c r="E986" s="41">
        <v>0</v>
      </c>
      <c r="F986" s="41">
        <v>50000000</v>
      </c>
      <c r="G986" s="41">
        <v>0</v>
      </c>
      <c r="H986" s="41">
        <v>50000000</v>
      </c>
      <c r="I986" s="41">
        <v>0</v>
      </c>
      <c r="J986" s="41">
        <v>40000000</v>
      </c>
      <c r="K986" s="41">
        <v>0</v>
      </c>
      <c r="L986" s="41">
        <v>10000000</v>
      </c>
      <c r="M986" s="41">
        <v>0</v>
      </c>
      <c r="N986" s="41">
        <v>79941666.666666627</v>
      </c>
      <c r="O986" s="41">
        <v>79166.666666666672</v>
      </c>
      <c r="P986" s="41">
        <v>75000000</v>
      </c>
      <c r="Q986" s="41">
        <v>0</v>
      </c>
      <c r="R986" s="41">
        <v>50000000</v>
      </c>
      <c r="S986" s="41">
        <v>0</v>
      </c>
      <c r="T986" s="41">
        <v>35000000</v>
      </c>
      <c r="U986" s="41">
        <v>0</v>
      </c>
      <c r="V986" s="41">
        <v>459941666.66666663</v>
      </c>
      <c r="W986" s="41">
        <v>79166.666666666672</v>
      </c>
      <c r="X986" s="38">
        <f t="shared" si="90"/>
        <v>0.91988333333333328</v>
      </c>
      <c r="Y986" s="39">
        <f t="shared" si="91"/>
        <v>1.5833333333333335E-4</v>
      </c>
      <c r="Z986" s="39">
        <f t="shared" si="95"/>
        <v>1.7215290802504376E-4</v>
      </c>
      <c r="AA986" s="41">
        <f t="shared" si="92"/>
        <v>40058333.333333373</v>
      </c>
      <c r="AB986" s="39">
        <f t="shared" si="93"/>
        <v>1.9762845849802353E-3</v>
      </c>
      <c r="AC986" s="38">
        <f t="shared" si="94"/>
        <v>0.19483471521659129</v>
      </c>
      <c r="AD986" s="3"/>
    </row>
    <row r="987" spans="1:30" x14ac:dyDescent="0.25">
      <c r="A987" s="37">
        <v>46623</v>
      </c>
      <c r="B987" s="41">
        <v>20000000</v>
      </c>
      <c r="C987" s="41">
        <v>0</v>
      </c>
      <c r="D987" s="41">
        <v>50000000</v>
      </c>
      <c r="E987" s="41">
        <v>0</v>
      </c>
      <c r="F987" s="41">
        <v>50000000</v>
      </c>
      <c r="G987" s="41">
        <v>0</v>
      </c>
      <c r="H987" s="41">
        <v>50000000</v>
      </c>
      <c r="I987" s="41">
        <v>0</v>
      </c>
      <c r="J987" s="41">
        <v>40000000</v>
      </c>
      <c r="K987" s="41">
        <v>0</v>
      </c>
      <c r="L987" s="41">
        <v>10000000</v>
      </c>
      <c r="M987" s="41">
        <v>0</v>
      </c>
      <c r="N987" s="41">
        <v>80020833.333333299</v>
      </c>
      <c r="O987" s="41">
        <v>79166.666666666672</v>
      </c>
      <c r="P987" s="41">
        <v>75000000</v>
      </c>
      <c r="Q987" s="41">
        <v>0</v>
      </c>
      <c r="R987" s="41">
        <v>50000000</v>
      </c>
      <c r="S987" s="41">
        <v>0</v>
      </c>
      <c r="T987" s="41">
        <v>35000000</v>
      </c>
      <c r="U987" s="41">
        <v>0</v>
      </c>
      <c r="V987" s="41">
        <v>460020833.33333331</v>
      </c>
      <c r="W987" s="41">
        <v>79166.666666666672</v>
      </c>
      <c r="X987" s="38">
        <f t="shared" si="90"/>
        <v>0.92004166666666665</v>
      </c>
      <c r="Y987" s="39">
        <f t="shared" si="91"/>
        <v>1.5833333333333335E-4</v>
      </c>
      <c r="Z987" s="39">
        <f t="shared" si="95"/>
        <v>1.7212327650245504E-4</v>
      </c>
      <c r="AA987" s="41">
        <f t="shared" si="92"/>
        <v>39979166.666666687</v>
      </c>
      <c r="AB987" s="39">
        <f t="shared" si="93"/>
        <v>1.9801980198019794E-3</v>
      </c>
      <c r="AC987" s="38">
        <f t="shared" si="94"/>
        <v>0.19479465396894108</v>
      </c>
      <c r="AD987" s="3"/>
    </row>
    <row r="988" spans="1:30" x14ac:dyDescent="0.25">
      <c r="A988" s="37">
        <v>46624</v>
      </c>
      <c r="B988" s="41">
        <v>20000000</v>
      </c>
      <c r="C988" s="41">
        <v>0</v>
      </c>
      <c r="D988" s="41">
        <v>50000000</v>
      </c>
      <c r="E988" s="41">
        <v>0</v>
      </c>
      <c r="F988" s="41">
        <v>50000000</v>
      </c>
      <c r="G988" s="41">
        <v>0</v>
      </c>
      <c r="H988" s="41">
        <v>50000000</v>
      </c>
      <c r="I988" s="41">
        <v>0</v>
      </c>
      <c r="J988" s="41">
        <v>40000000</v>
      </c>
      <c r="K988" s="41">
        <v>0</v>
      </c>
      <c r="L988" s="41">
        <v>10000000</v>
      </c>
      <c r="M988" s="41">
        <v>0</v>
      </c>
      <c r="N988" s="41">
        <v>80099999.99999997</v>
      </c>
      <c r="O988" s="41">
        <v>79166.666666666672</v>
      </c>
      <c r="P988" s="41">
        <v>75000000</v>
      </c>
      <c r="Q988" s="41">
        <v>0</v>
      </c>
      <c r="R988" s="41">
        <v>50000000</v>
      </c>
      <c r="S988" s="41">
        <v>0</v>
      </c>
      <c r="T988" s="41">
        <v>35000000</v>
      </c>
      <c r="U988" s="41">
        <v>0</v>
      </c>
      <c r="V988" s="41">
        <v>460100000</v>
      </c>
      <c r="W988" s="41">
        <v>79166.666666666672</v>
      </c>
      <c r="X988" s="38">
        <f t="shared" si="90"/>
        <v>0.92020000000000002</v>
      </c>
      <c r="Y988" s="39">
        <f t="shared" si="91"/>
        <v>1.5833333333333335E-4</v>
      </c>
      <c r="Z988" s="39">
        <f t="shared" si="95"/>
        <v>1.7209365517866041E-4</v>
      </c>
      <c r="AA988" s="41">
        <f t="shared" si="92"/>
        <v>39900000</v>
      </c>
      <c r="AB988" s="39">
        <f t="shared" si="93"/>
        <v>1.9841269841269845E-3</v>
      </c>
      <c r="AC988" s="38">
        <f t="shared" si="94"/>
        <v>0.19475460919241755</v>
      </c>
      <c r="AD988" s="3"/>
    </row>
    <row r="989" spans="1:30" x14ac:dyDescent="0.25">
      <c r="A989" s="37">
        <v>46625</v>
      </c>
      <c r="B989" s="41">
        <v>20000000</v>
      </c>
      <c r="C989" s="41">
        <v>0</v>
      </c>
      <c r="D989" s="41">
        <v>50000000</v>
      </c>
      <c r="E989" s="41">
        <v>0</v>
      </c>
      <c r="F989" s="41">
        <v>50000000</v>
      </c>
      <c r="G989" s="41">
        <v>0</v>
      </c>
      <c r="H989" s="41">
        <v>50000000</v>
      </c>
      <c r="I989" s="41">
        <v>0</v>
      </c>
      <c r="J989" s="41">
        <v>40000000</v>
      </c>
      <c r="K989" s="41">
        <v>0</v>
      </c>
      <c r="L989" s="41">
        <v>10000000</v>
      </c>
      <c r="M989" s="41">
        <v>0</v>
      </c>
      <c r="N989" s="41">
        <v>80179166.666666642</v>
      </c>
      <c r="O989" s="41">
        <v>79166.666666666672</v>
      </c>
      <c r="P989" s="41">
        <v>75000000</v>
      </c>
      <c r="Q989" s="41">
        <v>0</v>
      </c>
      <c r="R989" s="41">
        <v>50000000</v>
      </c>
      <c r="S989" s="41">
        <v>0</v>
      </c>
      <c r="T989" s="41">
        <v>35000000</v>
      </c>
      <c r="U989" s="41">
        <v>0</v>
      </c>
      <c r="V989" s="41">
        <v>460179166.66666663</v>
      </c>
      <c r="W989" s="41">
        <v>79166.666666666672</v>
      </c>
      <c r="X989" s="38">
        <f t="shared" si="90"/>
        <v>0.92035833333333328</v>
      </c>
      <c r="Y989" s="39">
        <f t="shared" si="91"/>
        <v>1.5833333333333335E-4</v>
      </c>
      <c r="Z989" s="39">
        <f t="shared" si="95"/>
        <v>1.7206404404839529E-4</v>
      </c>
      <c r="AA989" s="41">
        <f t="shared" si="92"/>
        <v>39820833.333333373</v>
      </c>
      <c r="AB989" s="39">
        <f t="shared" si="93"/>
        <v>1.9880715705765388E-3</v>
      </c>
      <c r="AC989" s="38">
        <f t="shared" si="94"/>
        <v>0.19471458087686469</v>
      </c>
      <c r="AD989" s="3"/>
    </row>
    <row r="990" spans="1:30" x14ac:dyDescent="0.25">
      <c r="A990" s="37">
        <v>46626</v>
      </c>
      <c r="B990" s="41">
        <v>20000000</v>
      </c>
      <c r="C990" s="41">
        <v>0</v>
      </c>
      <c r="D990" s="41">
        <v>50000000</v>
      </c>
      <c r="E990" s="41">
        <v>0</v>
      </c>
      <c r="F990" s="41">
        <v>50000000</v>
      </c>
      <c r="G990" s="41">
        <v>0</v>
      </c>
      <c r="H990" s="41">
        <v>50000000</v>
      </c>
      <c r="I990" s="41">
        <v>0</v>
      </c>
      <c r="J990" s="41">
        <v>40000000</v>
      </c>
      <c r="K990" s="41">
        <v>0</v>
      </c>
      <c r="L990" s="41">
        <v>10000000</v>
      </c>
      <c r="M990" s="41">
        <v>0</v>
      </c>
      <c r="N990" s="41">
        <v>80258333.333333313</v>
      </c>
      <c r="O990" s="41">
        <v>79166.666666666672</v>
      </c>
      <c r="P990" s="41">
        <v>75000000</v>
      </c>
      <c r="Q990" s="41">
        <v>0</v>
      </c>
      <c r="R990" s="41">
        <v>50000000</v>
      </c>
      <c r="S990" s="41">
        <v>0</v>
      </c>
      <c r="T990" s="41">
        <v>35000000</v>
      </c>
      <c r="U990" s="41">
        <v>0</v>
      </c>
      <c r="V990" s="41">
        <v>460258333.33333331</v>
      </c>
      <c r="W990" s="41">
        <v>79166.666666666672</v>
      </c>
      <c r="X990" s="38">
        <f t="shared" si="90"/>
        <v>0.92051666666666665</v>
      </c>
      <c r="Y990" s="39">
        <f t="shared" si="91"/>
        <v>1.5833333333333335E-4</v>
      </c>
      <c r="Z990" s="39">
        <f t="shared" si="95"/>
        <v>1.720344431063988E-4</v>
      </c>
      <c r="AA990" s="41">
        <f t="shared" si="92"/>
        <v>39741666.666666687</v>
      </c>
      <c r="AB990" s="39">
        <f t="shared" si="93"/>
        <v>1.9920318725099593E-3</v>
      </c>
      <c r="AC990" s="38">
        <f t="shared" si="94"/>
        <v>0.19467456901213473</v>
      </c>
      <c r="AD990" s="3"/>
    </row>
    <row r="991" spans="1:30" x14ac:dyDescent="0.25">
      <c r="A991" s="37">
        <v>46627</v>
      </c>
      <c r="B991" s="41">
        <v>20000000</v>
      </c>
      <c r="C991" s="41">
        <v>0</v>
      </c>
      <c r="D991" s="41">
        <v>50000000</v>
      </c>
      <c r="E991" s="41">
        <v>0</v>
      </c>
      <c r="F991" s="41">
        <v>50000000</v>
      </c>
      <c r="G991" s="41">
        <v>0</v>
      </c>
      <c r="H991" s="41">
        <v>50000000</v>
      </c>
      <c r="I991" s="41">
        <v>0</v>
      </c>
      <c r="J991" s="41">
        <v>40000000</v>
      </c>
      <c r="K991" s="41">
        <v>0</v>
      </c>
      <c r="L991" s="41">
        <v>10000000</v>
      </c>
      <c r="M991" s="41">
        <v>0</v>
      </c>
      <c r="N991" s="41">
        <v>80337499.999999985</v>
      </c>
      <c r="O991" s="41">
        <v>79166.666666666672</v>
      </c>
      <c r="P991" s="41">
        <v>75000000</v>
      </c>
      <c r="Q991" s="41">
        <v>0</v>
      </c>
      <c r="R991" s="41">
        <v>50000000</v>
      </c>
      <c r="S991" s="41">
        <v>0</v>
      </c>
      <c r="T991" s="41">
        <v>35000000</v>
      </c>
      <c r="U991" s="41">
        <v>0</v>
      </c>
      <c r="V991" s="41">
        <v>460337500</v>
      </c>
      <c r="W991" s="41">
        <v>79166.666666666672</v>
      </c>
      <c r="X991" s="38">
        <f t="shared" si="90"/>
        <v>0.92067500000000002</v>
      </c>
      <c r="Y991" s="39">
        <f t="shared" si="91"/>
        <v>1.5833333333333335E-4</v>
      </c>
      <c r="Z991" s="39">
        <f t="shared" si="95"/>
        <v>1.7200485234741361E-4</v>
      </c>
      <c r="AA991" s="41">
        <f t="shared" si="92"/>
        <v>39662500</v>
      </c>
      <c r="AB991" s="39">
        <f t="shared" si="93"/>
        <v>1.9960079840319364E-3</v>
      </c>
      <c r="AC991" s="38">
        <f t="shared" si="94"/>
        <v>0.19463457358808836</v>
      </c>
      <c r="AD991" s="3"/>
    </row>
    <row r="992" spans="1:30" x14ac:dyDescent="0.25">
      <c r="A992" s="37">
        <v>46628</v>
      </c>
      <c r="B992" s="41">
        <v>20000000</v>
      </c>
      <c r="C992" s="41">
        <v>0</v>
      </c>
      <c r="D992" s="41">
        <v>50000000</v>
      </c>
      <c r="E992" s="41">
        <v>0</v>
      </c>
      <c r="F992" s="41">
        <v>50000000</v>
      </c>
      <c r="G992" s="41">
        <v>0</v>
      </c>
      <c r="H992" s="41">
        <v>50000000</v>
      </c>
      <c r="I992" s="41">
        <v>0</v>
      </c>
      <c r="J992" s="41">
        <v>40000000</v>
      </c>
      <c r="K992" s="41">
        <v>0</v>
      </c>
      <c r="L992" s="41">
        <v>10000000</v>
      </c>
      <c r="M992" s="41">
        <v>0</v>
      </c>
      <c r="N992" s="41">
        <v>80416666.666666657</v>
      </c>
      <c r="O992" s="41">
        <v>79166.666666666672</v>
      </c>
      <c r="P992" s="41">
        <v>75000000</v>
      </c>
      <c r="Q992" s="41">
        <v>0</v>
      </c>
      <c r="R992" s="41">
        <v>50000000</v>
      </c>
      <c r="S992" s="41">
        <v>0</v>
      </c>
      <c r="T992" s="41">
        <v>35000000</v>
      </c>
      <c r="U992" s="41">
        <v>0</v>
      </c>
      <c r="V992" s="41">
        <v>460416666.66666663</v>
      </c>
      <c r="W992" s="41">
        <v>79166.666666666672</v>
      </c>
      <c r="X992" s="38">
        <f t="shared" si="90"/>
        <v>0.92083333333333328</v>
      </c>
      <c r="Y992" s="39">
        <f t="shared" si="91"/>
        <v>1.5833333333333335E-4</v>
      </c>
      <c r="Z992" s="39">
        <f t="shared" si="95"/>
        <v>1.7197527176618605E-4</v>
      </c>
      <c r="AA992" s="41">
        <f t="shared" si="92"/>
        <v>39583333.333333373</v>
      </c>
      <c r="AB992" s="39">
        <f t="shared" si="93"/>
        <v>1.9999999999999983E-3</v>
      </c>
      <c r="AC992" s="38">
        <f t="shared" si="94"/>
        <v>0.19459459459459461</v>
      </c>
      <c r="AD992" s="3"/>
    </row>
    <row r="993" spans="1:30" x14ac:dyDescent="0.25">
      <c r="A993" s="37">
        <v>46629</v>
      </c>
      <c r="B993" s="41">
        <v>20000000</v>
      </c>
      <c r="C993" s="41">
        <v>0</v>
      </c>
      <c r="D993" s="41">
        <v>50000000</v>
      </c>
      <c r="E993" s="41">
        <v>0</v>
      </c>
      <c r="F993" s="41">
        <v>50000000</v>
      </c>
      <c r="G993" s="41">
        <v>0</v>
      </c>
      <c r="H993" s="41">
        <v>50000000</v>
      </c>
      <c r="I993" s="41">
        <v>0</v>
      </c>
      <c r="J993" s="41">
        <v>40000000</v>
      </c>
      <c r="K993" s="41">
        <v>0</v>
      </c>
      <c r="L993" s="41">
        <v>10000000</v>
      </c>
      <c r="M993" s="41">
        <v>0</v>
      </c>
      <c r="N993" s="41">
        <v>80495833.333333328</v>
      </c>
      <c r="O993" s="41">
        <v>79166.666666666672</v>
      </c>
      <c r="P993" s="41">
        <v>75000000</v>
      </c>
      <c r="Q993" s="41">
        <v>0</v>
      </c>
      <c r="R993" s="41">
        <v>50000000</v>
      </c>
      <c r="S993" s="41">
        <v>0</v>
      </c>
      <c r="T993" s="41">
        <v>35000000</v>
      </c>
      <c r="U993" s="41">
        <v>0</v>
      </c>
      <c r="V993" s="41">
        <v>460495833.33333331</v>
      </c>
      <c r="W993" s="41">
        <v>79166.666666666672</v>
      </c>
      <c r="X993" s="38">
        <f t="shared" si="90"/>
        <v>0.92099166666666665</v>
      </c>
      <c r="Y993" s="39">
        <f t="shared" si="91"/>
        <v>1.5833333333333335E-4</v>
      </c>
      <c r="Z993" s="39">
        <f t="shared" si="95"/>
        <v>1.7194570135746609E-4</v>
      </c>
      <c r="AA993" s="41">
        <f t="shared" si="92"/>
        <v>39504166.666666687</v>
      </c>
      <c r="AB993" s="39">
        <f t="shared" si="93"/>
        <v>2.0040080160320631E-3</v>
      </c>
      <c r="AC993" s="38">
        <f t="shared" si="94"/>
        <v>0.19455463202153073</v>
      </c>
      <c r="AD993" s="3"/>
    </row>
    <row r="994" spans="1:30" x14ac:dyDescent="0.25">
      <c r="A994" s="37">
        <v>46630</v>
      </c>
      <c r="B994" s="41">
        <v>20000000</v>
      </c>
      <c r="C994" s="41">
        <v>0</v>
      </c>
      <c r="D994" s="41">
        <v>50000000</v>
      </c>
      <c r="E994" s="41">
        <v>0</v>
      </c>
      <c r="F994" s="41">
        <v>50000000</v>
      </c>
      <c r="G994" s="41">
        <v>0</v>
      </c>
      <c r="H994" s="41">
        <v>50000000</v>
      </c>
      <c r="I994" s="41">
        <v>0</v>
      </c>
      <c r="J994" s="41">
        <v>40000000</v>
      </c>
      <c r="K994" s="41">
        <v>0</v>
      </c>
      <c r="L994" s="41">
        <v>10000000</v>
      </c>
      <c r="M994" s="41">
        <v>0</v>
      </c>
      <c r="N994" s="41">
        <v>80575000</v>
      </c>
      <c r="O994" s="41">
        <v>79166.666666666672</v>
      </c>
      <c r="P994" s="41">
        <v>75000000</v>
      </c>
      <c r="Q994" s="41">
        <v>0</v>
      </c>
      <c r="R994" s="41">
        <v>50000000</v>
      </c>
      <c r="S994" s="41">
        <v>0</v>
      </c>
      <c r="T994" s="41">
        <v>35000000</v>
      </c>
      <c r="U994" s="41">
        <v>0</v>
      </c>
      <c r="V994" s="41">
        <v>460575000</v>
      </c>
      <c r="W994" s="41">
        <v>79166.666666666672</v>
      </c>
      <c r="X994" s="38">
        <f t="shared" si="90"/>
        <v>0.92115000000000002</v>
      </c>
      <c r="Y994" s="39">
        <f t="shared" si="91"/>
        <v>1.5833333333333335E-4</v>
      </c>
      <c r="Z994" s="39">
        <f t="shared" si="95"/>
        <v>1.7191614111600721E-4</v>
      </c>
      <c r="AA994" s="41">
        <f t="shared" si="92"/>
        <v>39425000</v>
      </c>
      <c r="AB994" s="39">
        <f t="shared" si="93"/>
        <v>2.0080321285140565E-3</v>
      </c>
      <c r="AC994" s="38">
        <f t="shared" si="94"/>
        <v>0.19451468585878234</v>
      </c>
      <c r="AD994" s="3"/>
    </row>
    <row r="995" spans="1:30" x14ac:dyDescent="0.25">
      <c r="A995" s="37">
        <v>46631</v>
      </c>
      <c r="B995" s="41">
        <v>20000000</v>
      </c>
      <c r="C995" s="41">
        <v>0</v>
      </c>
      <c r="D995" s="41">
        <v>50000000</v>
      </c>
      <c r="E995" s="41">
        <v>0</v>
      </c>
      <c r="F995" s="41">
        <v>50000000</v>
      </c>
      <c r="G995" s="41">
        <v>0</v>
      </c>
      <c r="H995" s="41">
        <v>50000000</v>
      </c>
      <c r="I995" s="41">
        <v>0</v>
      </c>
      <c r="J995" s="41">
        <v>40000000</v>
      </c>
      <c r="K995" s="41">
        <v>0</v>
      </c>
      <c r="L995" s="41">
        <v>10000000</v>
      </c>
      <c r="M995" s="41">
        <v>0</v>
      </c>
      <c r="N995" s="41">
        <v>80654166.666666672</v>
      </c>
      <c r="O995" s="41">
        <v>79166.666666666672</v>
      </c>
      <c r="P995" s="41">
        <v>75000000</v>
      </c>
      <c r="Q995" s="41">
        <v>0</v>
      </c>
      <c r="R995" s="41">
        <v>50000000</v>
      </c>
      <c r="S995" s="41">
        <v>0</v>
      </c>
      <c r="T995" s="41">
        <v>35000000</v>
      </c>
      <c r="U995" s="41">
        <v>0</v>
      </c>
      <c r="V995" s="41">
        <v>460654166.66666669</v>
      </c>
      <c r="W995" s="41">
        <v>79166.666666666672</v>
      </c>
      <c r="X995" s="38">
        <f t="shared" si="90"/>
        <v>0.9213083333333334</v>
      </c>
      <c r="Y995" s="39">
        <f t="shared" si="91"/>
        <v>1.5833333333333335E-4</v>
      </c>
      <c r="Z995" s="39">
        <f t="shared" si="95"/>
        <v>1.7188659103656661E-4</v>
      </c>
      <c r="AA995" s="41">
        <f t="shared" si="92"/>
        <v>39345833.333333313</v>
      </c>
      <c r="AB995" s="39">
        <f t="shared" si="93"/>
        <v>2.0120724346076469E-3</v>
      </c>
      <c r="AC995" s="38">
        <f t="shared" si="94"/>
        <v>0.19447475609624337</v>
      </c>
      <c r="AD995" s="3"/>
    </row>
    <row r="996" spans="1:30" x14ac:dyDescent="0.25">
      <c r="A996" s="37">
        <v>46632</v>
      </c>
      <c r="B996" s="41">
        <v>20000000</v>
      </c>
      <c r="C996" s="41">
        <v>0</v>
      </c>
      <c r="D996" s="41">
        <v>50000000</v>
      </c>
      <c r="E996" s="41">
        <v>0</v>
      </c>
      <c r="F996" s="41">
        <v>50000000</v>
      </c>
      <c r="G996" s="41">
        <v>0</v>
      </c>
      <c r="H996" s="41">
        <v>50000000</v>
      </c>
      <c r="I996" s="41">
        <v>0</v>
      </c>
      <c r="J996" s="41">
        <v>40000000</v>
      </c>
      <c r="K996" s="41">
        <v>0</v>
      </c>
      <c r="L996" s="41">
        <v>10000000</v>
      </c>
      <c r="M996" s="41">
        <v>0</v>
      </c>
      <c r="N996" s="41">
        <v>80733333.333333343</v>
      </c>
      <c r="O996" s="41">
        <v>79166.666666666672</v>
      </c>
      <c r="P996" s="41">
        <v>75000000</v>
      </c>
      <c r="Q996" s="41">
        <v>0</v>
      </c>
      <c r="R996" s="41">
        <v>50000000</v>
      </c>
      <c r="S996" s="41">
        <v>0</v>
      </c>
      <c r="T996" s="41">
        <v>35000000</v>
      </c>
      <c r="U996" s="41">
        <v>0</v>
      </c>
      <c r="V996" s="41">
        <v>460733333.33333337</v>
      </c>
      <c r="W996" s="41">
        <v>79166.666666666672</v>
      </c>
      <c r="X996" s="38">
        <f t="shared" si="90"/>
        <v>0.92146666666666677</v>
      </c>
      <c r="Y996" s="39">
        <f t="shared" si="91"/>
        <v>1.5833333333333335E-4</v>
      </c>
      <c r="Z996" s="39">
        <f t="shared" si="95"/>
        <v>1.7185705111390505E-4</v>
      </c>
      <c r="AA996" s="41">
        <f t="shared" si="92"/>
        <v>39266666.666666627</v>
      </c>
      <c r="AB996" s="39">
        <f t="shared" si="93"/>
        <v>2.0161290322580666E-3</v>
      </c>
      <c r="AC996" s="38">
        <f t="shared" si="94"/>
        <v>0.19443484272381609</v>
      </c>
      <c r="AD996" s="3"/>
    </row>
    <row r="997" spans="1:30" x14ac:dyDescent="0.25">
      <c r="A997" s="37">
        <v>46633</v>
      </c>
      <c r="B997" s="41">
        <v>20000000</v>
      </c>
      <c r="C997" s="41">
        <v>0</v>
      </c>
      <c r="D997" s="41">
        <v>50000000</v>
      </c>
      <c r="E997" s="41">
        <v>0</v>
      </c>
      <c r="F997" s="41">
        <v>50000000</v>
      </c>
      <c r="G997" s="41">
        <v>0</v>
      </c>
      <c r="H997" s="41">
        <v>50000000</v>
      </c>
      <c r="I997" s="41">
        <v>0</v>
      </c>
      <c r="J997" s="41">
        <v>40000000</v>
      </c>
      <c r="K997" s="41">
        <v>0</v>
      </c>
      <c r="L997" s="41">
        <v>10000000</v>
      </c>
      <c r="M997" s="41">
        <v>0</v>
      </c>
      <c r="N997" s="41">
        <v>80812500.000000015</v>
      </c>
      <c r="O997" s="41">
        <v>79166.666666666672</v>
      </c>
      <c r="P997" s="41">
        <v>75000000</v>
      </c>
      <c r="Q997" s="41">
        <v>0</v>
      </c>
      <c r="R997" s="41">
        <v>50000000</v>
      </c>
      <c r="S997" s="41">
        <v>0</v>
      </c>
      <c r="T997" s="41">
        <v>35000000</v>
      </c>
      <c r="U997" s="41">
        <v>0</v>
      </c>
      <c r="V997" s="41">
        <v>460812500</v>
      </c>
      <c r="W997" s="41">
        <v>79166.666666666672</v>
      </c>
      <c r="X997" s="38">
        <f t="shared" si="90"/>
        <v>0.92162500000000003</v>
      </c>
      <c r="Y997" s="39">
        <f t="shared" si="91"/>
        <v>1.5833333333333335E-4</v>
      </c>
      <c r="Z997" s="39">
        <f t="shared" si="95"/>
        <v>1.7182752134278686E-4</v>
      </c>
      <c r="AA997" s="41">
        <f t="shared" si="92"/>
        <v>39187500</v>
      </c>
      <c r="AB997" s="39">
        <f t="shared" si="93"/>
        <v>2.0202020202020202E-3</v>
      </c>
      <c r="AC997" s="38">
        <f t="shared" si="94"/>
        <v>0.19439494573141097</v>
      </c>
      <c r="AD997" s="3"/>
    </row>
    <row r="998" spans="1:30" x14ac:dyDescent="0.25">
      <c r="A998" s="37">
        <v>46634</v>
      </c>
      <c r="B998" s="41">
        <v>20000000</v>
      </c>
      <c r="C998" s="41">
        <v>0</v>
      </c>
      <c r="D998" s="41">
        <v>50000000</v>
      </c>
      <c r="E998" s="41">
        <v>0</v>
      </c>
      <c r="F998" s="41">
        <v>50000000</v>
      </c>
      <c r="G998" s="41">
        <v>0</v>
      </c>
      <c r="H998" s="41">
        <v>50000000</v>
      </c>
      <c r="I998" s="41">
        <v>0</v>
      </c>
      <c r="J998" s="41">
        <v>40000000</v>
      </c>
      <c r="K998" s="41">
        <v>0</v>
      </c>
      <c r="L998" s="41">
        <v>10000000</v>
      </c>
      <c r="M998" s="41">
        <v>0</v>
      </c>
      <c r="N998" s="41">
        <v>80891666.666666687</v>
      </c>
      <c r="O998" s="41">
        <v>79166.666666666672</v>
      </c>
      <c r="P998" s="41">
        <v>75000000</v>
      </c>
      <c r="Q998" s="41">
        <v>0</v>
      </c>
      <c r="R998" s="41">
        <v>50000000</v>
      </c>
      <c r="S998" s="41">
        <v>0</v>
      </c>
      <c r="T998" s="41">
        <v>35000000</v>
      </c>
      <c r="U998" s="41">
        <v>0</v>
      </c>
      <c r="V998" s="41">
        <v>460891666.66666669</v>
      </c>
      <c r="W998" s="41">
        <v>79166.666666666672</v>
      </c>
      <c r="X998" s="38">
        <f t="shared" si="90"/>
        <v>0.9217833333333334</v>
      </c>
      <c r="Y998" s="39">
        <f t="shared" si="91"/>
        <v>1.5833333333333335E-4</v>
      </c>
      <c r="Z998" s="39">
        <f t="shared" si="95"/>
        <v>1.7179800171798003E-4</v>
      </c>
      <c r="AA998" s="41">
        <f t="shared" si="92"/>
        <v>39108333.333333313</v>
      </c>
      <c r="AB998" s="39">
        <f t="shared" si="93"/>
        <v>2.0242914979757098E-3</v>
      </c>
      <c r="AC998" s="38">
        <f t="shared" si="94"/>
        <v>0.19435506510894679</v>
      </c>
      <c r="AD998" s="3"/>
    </row>
    <row r="999" spans="1:30" x14ac:dyDescent="0.25">
      <c r="A999" s="37">
        <v>46635</v>
      </c>
      <c r="B999" s="41">
        <v>20000000</v>
      </c>
      <c r="C999" s="41">
        <v>0</v>
      </c>
      <c r="D999" s="41">
        <v>50000000</v>
      </c>
      <c r="E999" s="41">
        <v>0</v>
      </c>
      <c r="F999" s="41">
        <v>50000000</v>
      </c>
      <c r="G999" s="41">
        <v>0</v>
      </c>
      <c r="H999" s="41">
        <v>50000000</v>
      </c>
      <c r="I999" s="41">
        <v>0</v>
      </c>
      <c r="J999" s="41">
        <v>40000000</v>
      </c>
      <c r="K999" s="41">
        <v>0</v>
      </c>
      <c r="L999" s="41">
        <v>10000000</v>
      </c>
      <c r="M999" s="41">
        <v>0</v>
      </c>
      <c r="N999" s="41">
        <v>80970833.333333358</v>
      </c>
      <c r="O999" s="41">
        <v>79166.666666666672</v>
      </c>
      <c r="P999" s="41">
        <v>75000000</v>
      </c>
      <c r="Q999" s="41">
        <v>0</v>
      </c>
      <c r="R999" s="41">
        <v>50000000</v>
      </c>
      <c r="S999" s="41">
        <v>0</v>
      </c>
      <c r="T999" s="41">
        <v>35000000</v>
      </c>
      <c r="U999" s="41">
        <v>0</v>
      </c>
      <c r="V999" s="41">
        <v>460970833.33333337</v>
      </c>
      <c r="W999" s="41">
        <v>79166.666666666672</v>
      </c>
      <c r="X999" s="38">
        <f t="shared" si="90"/>
        <v>0.92194166666666677</v>
      </c>
      <c r="Y999" s="39">
        <f t="shared" si="91"/>
        <v>1.5833333333333335E-4</v>
      </c>
      <c r="Z999" s="39">
        <f t="shared" si="95"/>
        <v>1.7176849223425605E-4</v>
      </c>
      <c r="AA999" s="41">
        <f t="shared" si="92"/>
        <v>39029166.666666627</v>
      </c>
      <c r="AB999" s="39">
        <f t="shared" si="93"/>
        <v>2.028397565922923E-3</v>
      </c>
      <c r="AC999" s="38">
        <f t="shared" si="94"/>
        <v>0.19431520084635062</v>
      </c>
      <c r="AD999" s="3"/>
    </row>
    <row r="1000" spans="1:30" x14ac:dyDescent="0.25">
      <c r="A1000" s="37">
        <v>46636</v>
      </c>
      <c r="B1000" s="41">
        <v>20000000</v>
      </c>
      <c r="C1000" s="41">
        <v>0</v>
      </c>
      <c r="D1000" s="41">
        <v>50000000</v>
      </c>
      <c r="E1000" s="41">
        <v>0</v>
      </c>
      <c r="F1000" s="41">
        <v>50000000</v>
      </c>
      <c r="G1000" s="41">
        <v>0</v>
      </c>
      <c r="H1000" s="41">
        <v>50000000</v>
      </c>
      <c r="I1000" s="41">
        <v>0</v>
      </c>
      <c r="J1000" s="41">
        <v>40000000</v>
      </c>
      <c r="K1000" s="41">
        <v>0</v>
      </c>
      <c r="L1000" s="41">
        <v>10000000</v>
      </c>
      <c r="M1000" s="41">
        <v>0</v>
      </c>
      <c r="N1000" s="41">
        <v>81050000.00000003</v>
      </c>
      <c r="O1000" s="41">
        <v>79166.666666666672</v>
      </c>
      <c r="P1000" s="41">
        <v>75000000</v>
      </c>
      <c r="Q1000" s="41">
        <v>0</v>
      </c>
      <c r="R1000" s="41">
        <v>50000000</v>
      </c>
      <c r="S1000" s="41">
        <v>0</v>
      </c>
      <c r="T1000" s="41">
        <v>35000000</v>
      </c>
      <c r="U1000" s="41">
        <v>0</v>
      </c>
      <c r="V1000" s="41">
        <v>461050000</v>
      </c>
      <c r="W1000" s="41">
        <v>79166.666666666672</v>
      </c>
      <c r="X1000" s="38">
        <f t="shared" si="90"/>
        <v>0.92210000000000003</v>
      </c>
      <c r="Y1000" s="39">
        <f t="shared" si="91"/>
        <v>1.5833333333333335E-4</v>
      </c>
      <c r="Z1000" s="39">
        <f t="shared" si="95"/>
        <v>1.7173899288639013E-4</v>
      </c>
      <c r="AA1000" s="41">
        <f t="shared" si="92"/>
        <v>38950000</v>
      </c>
      <c r="AB1000" s="39">
        <f t="shared" si="93"/>
        <v>2.0325203252032522E-3</v>
      </c>
      <c r="AC1000" s="38">
        <f t="shared" si="94"/>
        <v>0.19427535293355783</v>
      </c>
      <c r="AD1000" s="3"/>
    </row>
    <row r="1001" spans="1:30" x14ac:dyDescent="0.25">
      <c r="A1001" s="37">
        <v>46637</v>
      </c>
      <c r="B1001" s="41">
        <v>20000000</v>
      </c>
      <c r="C1001" s="41">
        <v>0</v>
      </c>
      <c r="D1001" s="41">
        <v>50000000</v>
      </c>
      <c r="E1001" s="41">
        <v>0</v>
      </c>
      <c r="F1001" s="41">
        <v>50000000</v>
      </c>
      <c r="G1001" s="41">
        <v>0</v>
      </c>
      <c r="H1001" s="41">
        <v>50000000</v>
      </c>
      <c r="I1001" s="41">
        <v>0</v>
      </c>
      <c r="J1001" s="41">
        <v>40000000</v>
      </c>
      <c r="K1001" s="41">
        <v>0</v>
      </c>
      <c r="L1001" s="41">
        <v>10000000</v>
      </c>
      <c r="M1001" s="41">
        <v>0</v>
      </c>
      <c r="N1001" s="41">
        <v>81129166.666666701</v>
      </c>
      <c r="O1001" s="41">
        <v>79166.666666666672</v>
      </c>
      <c r="P1001" s="41">
        <v>75000000</v>
      </c>
      <c r="Q1001" s="41">
        <v>0</v>
      </c>
      <c r="R1001" s="41">
        <v>50000000</v>
      </c>
      <c r="S1001" s="41">
        <v>0</v>
      </c>
      <c r="T1001" s="41">
        <v>35000000</v>
      </c>
      <c r="U1001" s="41">
        <v>0</v>
      </c>
      <c r="V1001" s="41">
        <v>461129166.66666669</v>
      </c>
      <c r="W1001" s="41">
        <v>79166.666666666672</v>
      </c>
      <c r="X1001" s="38">
        <f t="shared" si="90"/>
        <v>0.9222583333333334</v>
      </c>
      <c r="Y1001" s="39">
        <f t="shared" si="91"/>
        <v>1.5833333333333335E-4</v>
      </c>
      <c r="Z1001" s="39">
        <f t="shared" si="95"/>
        <v>1.7170950366916099E-4</v>
      </c>
      <c r="AA1001" s="41">
        <f t="shared" si="92"/>
        <v>38870833.333333313</v>
      </c>
      <c r="AB1001" s="39">
        <f t="shared" si="93"/>
        <v>2.0366598778004084E-3</v>
      </c>
      <c r="AC1001" s="38">
        <f t="shared" si="94"/>
        <v>0.19423552136051192</v>
      </c>
      <c r="AD1001" s="3"/>
    </row>
    <row r="1002" spans="1:30" x14ac:dyDescent="0.25">
      <c r="A1002" s="37">
        <v>46638</v>
      </c>
      <c r="B1002" s="41">
        <v>20000000</v>
      </c>
      <c r="C1002" s="41">
        <v>0</v>
      </c>
      <c r="D1002" s="41">
        <v>50000000</v>
      </c>
      <c r="E1002" s="41">
        <v>0</v>
      </c>
      <c r="F1002" s="41">
        <v>50000000</v>
      </c>
      <c r="G1002" s="41">
        <v>0</v>
      </c>
      <c r="H1002" s="41">
        <v>50000000</v>
      </c>
      <c r="I1002" s="41">
        <v>0</v>
      </c>
      <c r="J1002" s="41">
        <v>40000000</v>
      </c>
      <c r="K1002" s="41">
        <v>0</v>
      </c>
      <c r="L1002" s="41">
        <v>10000000</v>
      </c>
      <c r="M1002" s="41">
        <v>0</v>
      </c>
      <c r="N1002" s="41">
        <v>81208333.333333373</v>
      </c>
      <c r="O1002" s="41">
        <v>79166.666666666672</v>
      </c>
      <c r="P1002" s="41">
        <v>75000000</v>
      </c>
      <c r="Q1002" s="41">
        <v>0</v>
      </c>
      <c r="R1002" s="41">
        <v>50000000</v>
      </c>
      <c r="S1002" s="41">
        <v>0</v>
      </c>
      <c r="T1002" s="41">
        <v>35000000</v>
      </c>
      <c r="U1002" s="41">
        <v>0</v>
      </c>
      <c r="V1002" s="41">
        <v>461208333.33333337</v>
      </c>
      <c r="W1002" s="41">
        <v>79166.666666666672</v>
      </c>
      <c r="X1002" s="38">
        <f t="shared" si="90"/>
        <v>0.92241666666666677</v>
      </c>
      <c r="Y1002" s="39">
        <f t="shared" si="91"/>
        <v>1.5833333333333335E-4</v>
      </c>
      <c r="Z1002" s="39">
        <f t="shared" si="95"/>
        <v>1.7168002457735088E-4</v>
      </c>
      <c r="AA1002" s="41">
        <f t="shared" si="92"/>
        <v>38791666.666666627</v>
      </c>
      <c r="AB1002" s="39">
        <f t="shared" si="93"/>
        <v>2.0408163265306146E-3</v>
      </c>
      <c r="AC1002" s="38">
        <f t="shared" si="94"/>
        <v>0.19419570611716472</v>
      </c>
      <c r="AD1002" s="3"/>
    </row>
    <row r="1003" spans="1:30" x14ac:dyDescent="0.25">
      <c r="A1003" s="37">
        <v>46639</v>
      </c>
      <c r="B1003" s="41">
        <v>20000000</v>
      </c>
      <c r="C1003" s="41">
        <v>0</v>
      </c>
      <c r="D1003" s="41">
        <v>50000000</v>
      </c>
      <c r="E1003" s="41">
        <v>0</v>
      </c>
      <c r="F1003" s="41">
        <v>50000000</v>
      </c>
      <c r="G1003" s="41">
        <v>0</v>
      </c>
      <c r="H1003" s="41">
        <v>50000000</v>
      </c>
      <c r="I1003" s="41">
        <v>0</v>
      </c>
      <c r="J1003" s="41">
        <v>40000000</v>
      </c>
      <c r="K1003" s="41">
        <v>0</v>
      </c>
      <c r="L1003" s="41">
        <v>10000000</v>
      </c>
      <c r="M1003" s="41">
        <v>0</v>
      </c>
      <c r="N1003" s="41">
        <v>81287500.000000045</v>
      </c>
      <c r="O1003" s="41">
        <v>79166.666666666672</v>
      </c>
      <c r="P1003" s="41">
        <v>75000000</v>
      </c>
      <c r="Q1003" s="41">
        <v>0</v>
      </c>
      <c r="R1003" s="41">
        <v>50000000</v>
      </c>
      <c r="S1003" s="41">
        <v>0</v>
      </c>
      <c r="T1003" s="41">
        <v>35000000</v>
      </c>
      <c r="U1003" s="41">
        <v>0</v>
      </c>
      <c r="V1003" s="41">
        <v>461287500.00000012</v>
      </c>
      <c r="W1003" s="41">
        <v>79166.666666666672</v>
      </c>
      <c r="X1003" s="38">
        <f t="shared" si="90"/>
        <v>0.92257500000000026</v>
      </c>
      <c r="Y1003" s="39">
        <f t="shared" si="91"/>
        <v>1.5833333333333335E-4</v>
      </c>
      <c r="Z1003" s="39">
        <f t="shared" si="95"/>
        <v>1.7165055560574576E-4</v>
      </c>
      <c r="AA1003" s="41">
        <f t="shared" si="92"/>
        <v>38712499.999999881</v>
      </c>
      <c r="AB1003" s="39">
        <f t="shared" si="93"/>
        <v>2.044989775051131E-3</v>
      </c>
      <c r="AC1003" s="38">
        <f t="shared" si="94"/>
        <v>0.19415590719347631</v>
      </c>
      <c r="AD1003" s="3"/>
    </row>
    <row r="1004" spans="1:30" x14ac:dyDescent="0.25">
      <c r="A1004" s="37">
        <v>46640</v>
      </c>
      <c r="B1004" s="41">
        <v>20000000</v>
      </c>
      <c r="C1004" s="41">
        <v>0</v>
      </c>
      <c r="D1004" s="41">
        <v>50000000</v>
      </c>
      <c r="E1004" s="41">
        <v>0</v>
      </c>
      <c r="F1004" s="41">
        <v>50000000</v>
      </c>
      <c r="G1004" s="41">
        <v>0</v>
      </c>
      <c r="H1004" s="41">
        <v>50000000</v>
      </c>
      <c r="I1004" s="41">
        <v>0</v>
      </c>
      <c r="J1004" s="41">
        <v>40000000</v>
      </c>
      <c r="K1004" s="41">
        <v>0</v>
      </c>
      <c r="L1004" s="41">
        <v>10000000</v>
      </c>
      <c r="M1004" s="41">
        <v>0</v>
      </c>
      <c r="N1004" s="41">
        <v>81366666.666666716</v>
      </c>
      <c r="O1004" s="41">
        <v>79166.666666666672</v>
      </c>
      <c r="P1004" s="41">
        <v>75000000</v>
      </c>
      <c r="Q1004" s="41">
        <v>0</v>
      </c>
      <c r="R1004" s="41">
        <v>50000000</v>
      </c>
      <c r="S1004" s="41">
        <v>0</v>
      </c>
      <c r="T1004" s="41">
        <v>35000000</v>
      </c>
      <c r="U1004" s="41">
        <v>0</v>
      </c>
      <c r="V1004" s="41">
        <v>461366666.66666669</v>
      </c>
      <c r="W1004" s="41">
        <v>79166.666666666672</v>
      </c>
      <c r="X1004" s="38">
        <f t="shared" si="90"/>
        <v>0.92273333333333341</v>
      </c>
      <c r="Y1004" s="39">
        <f t="shared" si="91"/>
        <v>1.5833333333333335E-4</v>
      </c>
      <c r="Z1004" s="39">
        <f t="shared" si="95"/>
        <v>1.7162109674913507E-4</v>
      </c>
      <c r="AA1004" s="41">
        <f t="shared" si="92"/>
        <v>38633333.333333313</v>
      </c>
      <c r="AB1004" s="39">
        <f t="shared" si="93"/>
        <v>2.0491803278688534E-3</v>
      </c>
      <c r="AC1004" s="38">
        <f t="shared" si="94"/>
        <v>0.19411612457941504</v>
      </c>
      <c r="AD1004" s="3"/>
    </row>
    <row r="1005" spans="1:30" x14ac:dyDescent="0.25">
      <c r="A1005" s="37">
        <v>46641</v>
      </c>
      <c r="B1005" s="41">
        <v>20000000</v>
      </c>
      <c r="C1005" s="41">
        <v>0</v>
      </c>
      <c r="D1005" s="41">
        <v>50000000</v>
      </c>
      <c r="E1005" s="41">
        <v>0</v>
      </c>
      <c r="F1005" s="41">
        <v>50000000</v>
      </c>
      <c r="G1005" s="41">
        <v>0</v>
      </c>
      <c r="H1005" s="41">
        <v>50000000</v>
      </c>
      <c r="I1005" s="41">
        <v>0</v>
      </c>
      <c r="J1005" s="41">
        <v>40000000</v>
      </c>
      <c r="K1005" s="41">
        <v>0</v>
      </c>
      <c r="L1005" s="41">
        <v>10000000</v>
      </c>
      <c r="M1005" s="41">
        <v>0</v>
      </c>
      <c r="N1005" s="41">
        <v>81445833.333333388</v>
      </c>
      <c r="O1005" s="41">
        <v>79166.666666666672</v>
      </c>
      <c r="P1005" s="41">
        <v>75000000</v>
      </c>
      <c r="Q1005" s="41">
        <v>0</v>
      </c>
      <c r="R1005" s="41">
        <v>50000000</v>
      </c>
      <c r="S1005" s="41">
        <v>0</v>
      </c>
      <c r="T1005" s="41">
        <v>35000000</v>
      </c>
      <c r="U1005" s="41">
        <v>0</v>
      </c>
      <c r="V1005" s="41">
        <v>461445833.33333337</v>
      </c>
      <c r="W1005" s="41">
        <v>79166.666666666672</v>
      </c>
      <c r="X1005" s="38">
        <f t="shared" si="90"/>
        <v>0.92289166666666678</v>
      </c>
      <c r="Y1005" s="39">
        <f t="shared" si="91"/>
        <v>1.5833333333333335E-4</v>
      </c>
      <c r="Z1005" s="39">
        <f t="shared" si="95"/>
        <v>1.7159164800231198E-4</v>
      </c>
      <c r="AA1005" s="41">
        <f t="shared" si="92"/>
        <v>38554166.666666627</v>
      </c>
      <c r="AB1005" s="39">
        <f t="shared" si="93"/>
        <v>2.0533880903490782E-3</v>
      </c>
      <c r="AC1005" s="38">
        <f t="shared" si="94"/>
        <v>0.19407635826495734</v>
      </c>
      <c r="AD1005" s="3"/>
    </row>
    <row r="1006" spans="1:30" x14ac:dyDescent="0.25">
      <c r="A1006" s="37">
        <v>46642</v>
      </c>
      <c r="B1006" s="41">
        <v>20000000</v>
      </c>
      <c r="C1006" s="41">
        <v>0</v>
      </c>
      <c r="D1006" s="41">
        <v>50000000</v>
      </c>
      <c r="E1006" s="41">
        <v>0</v>
      </c>
      <c r="F1006" s="41">
        <v>50000000</v>
      </c>
      <c r="G1006" s="41">
        <v>0</v>
      </c>
      <c r="H1006" s="41">
        <v>50000000</v>
      </c>
      <c r="I1006" s="41">
        <v>0</v>
      </c>
      <c r="J1006" s="41">
        <v>40000000</v>
      </c>
      <c r="K1006" s="41">
        <v>0</v>
      </c>
      <c r="L1006" s="41">
        <v>10000000</v>
      </c>
      <c r="M1006" s="41">
        <v>0</v>
      </c>
      <c r="N1006" s="41">
        <v>81525000.00000006</v>
      </c>
      <c r="O1006" s="41">
        <v>79166.666666666672</v>
      </c>
      <c r="P1006" s="41">
        <v>75000000</v>
      </c>
      <c r="Q1006" s="41">
        <v>0</v>
      </c>
      <c r="R1006" s="41">
        <v>50000000</v>
      </c>
      <c r="S1006" s="41">
        <v>0</v>
      </c>
      <c r="T1006" s="41">
        <v>35000000</v>
      </c>
      <c r="U1006" s="41">
        <v>0</v>
      </c>
      <c r="V1006" s="41">
        <v>461525000.00000012</v>
      </c>
      <c r="W1006" s="41">
        <v>79166.666666666672</v>
      </c>
      <c r="X1006" s="38">
        <f t="shared" si="90"/>
        <v>0.92305000000000026</v>
      </c>
      <c r="Y1006" s="39">
        <f t="shared" si="91"/>
        <v>1.5833333333333335E-4</v>
      </c>
      <c r="Z1006" s="39">
        <f t="shared" si="95"/>
        <v>1.7156220936007295E-4</v>
      </c>
      <c r="AA1006" s="41">
        <f t="shared" si="92"/>
        <v>38474999.999999881</v>
      </c>
      <c r="AB1006" s="39">
        <f t="shared" si="93"/>
        <v>2.0576131687242865E-3</v>
      </c>
      <c r="AC1006" s="38">
        <f t="shared" si="94"/>
        <v>0.19403660824008789</v>
      </c>
      <c r="AD1006" s="3"/>
    </row>
    <row r="1007" spans="1:30" x14ac:dyDescent="0.25">
      <c r="A1007" s="37">
        <v>46643</v>
      </c>
      <c r="B1007" s="41">
        <v>20000000</v>
      </c>
      <c r="C1007" s="41">
        <v>0</v>
      </c>
      <c r="D1007" s="41">
        <v>50000000</v>
      </c>
      <c r="E1007" s="41">
        <v>0</v>
      </c>
      <c r="F1007" s="41">
        <v>50000000</v>
      </c>
      <c r="G1007" s="41">
        <v>0</v>
      </c>
      <c r="H1007" s="41">
        <v>50000000</v>
      </c>
      <c r="I1007" s="41">
        <v>0</v>
      </c>
      <c r="J1007" s="41">
        <v>40000000</v>
      </c>
      <c r="K1007" s="41">
        <v>0</v>
      </c>
      <c r="L1007" s="41">
        <v>10000000</v>
      </c>
      <c r="M1007" s="41">
        <v>0</v>
      </c>
      <c r="N1007" s="41">
        <v>81604166.666666731</v>
      </c>
      <c r="O1007" s="41">
        <v>79166.666666666672</v>
      </c>
      <c r="P1007" s="41">
        <v>75000000</v>
      </c>
      <c r="Q1007" s="41">
        <v>0</v>
      </c>
      <c r="R1007" s="41">
        <v>50000000</v>
      </c>
      <c r="S1007" s="41">
        <v>0</v>
      </c>
      <c r="T1007" s="41">
        <v>35000000</v>
      </c>
      <c r="U1007" s="41">
        <v>0</v>
      </c>
      <c r="V1007" s="41">
        <v>461604166.66666669</v>
      </c>
      <c r="W1007" s="41">
        <v>79166.666666666672</v>
      </c>
      <c r="X1007" s="38">
        <f t="shared" si="90"/>
        <v>0.92320833333333341</v>
      </c>
      <c r="Y1007" s="39">
        <f t="shared" si="91"/>
        <v>1.5833333333333335E-4</v>
      </c>
      <c r="Z1007" s="39">
        <f t="shared" si="95"/>
        <v>1.7153278081721824E-4</v>
      </c>
      <c r="AA1007" s="41">
        <f t="shared" si="92"/>
        <v>38395833.333333313</v>
      </c>
      <c r="AB1007" s="39">
        <f t="shared" si="93"/>
        <v>2.0618556701030941E-3</v>
      </c>
      <c r="AC1007" s="38">
        <f t="shared" si="94"/>
        <v>0.1939968744947998</v>
      </c>
      <c r="AD1007" s="3"/>
    </row>
    <row r="1008" spans="1:30" x14ac:dyDescent="0.25">
      <c r="A1008" s="37">
        <v>46644</v>
      </c>
      <c r="B1008" s="41">
        <v>20000000</v>
      </c>
      <c r="C1008" s="41">
        <v>0</v>
      </c>
      <c r="D1008" s="41">
        <v>50000000</v>
      </c>
      <c r="E1008" s="41">
        <v>0</v>
      </c>
      <c r="F1008" s="41">
        <v>50000000</v>
      </c>
      <c r="G1008" s="41">
        <v>0</v>
      </c>
      <c r="H1008" s="41">
        <v>50000000</v>
      </c>
      <c r="I1008" s="41">
        <v>0</v>
      </c>
      <c r="J1008" s="41">
        <v>40000000</v>
      </c>
      <c r="K1008" s="41">
        <v>0</v>
      </c>
      <c r="L1008" s="41">
        <v>10000000</v>
      </c>
      <c r="M1008" s="41">
        <v>0</v>
      </c>
      <c r="N1008" s="41">
        <v>81683333.333333403</v>
      </c>
      <c r="O1008" s="41">
        <v>79166.666666666672</v>
      </c>
      <c r="P1008" s="41">
        <v>75000000</v>
      </c>
      <c r="Q1008" s="41">
        <v>0</v>
      </c>
      <c r="R1008" s="41">
        <v>50000000</v>
      </c>
      <c r="S1008" s="41">
        <v>0</v>
      </c>
      <c r="T1008" s="41">
        <v>35000000</v>
      </c>
      <c r="U1008" s="41">
        <v>0</v>
      </c>
      <c r="V1008" s="41">
        <v>461683333.33333337</v>
      </c>
      <c r="W1008" s="41">
        <v>79166.666666666672</v>
      </c>
      <c r="X1008" s="38">
        <f t="shared" si="90"/>
        <v>0.92336666666666678</v>
      </c>
      <c r="Y1008" s="39">
        <f t="shared" si="91"/>
        <v>1.5833333333333335E-4</v>
      </c>
      <c r="Z1008" s="39">
        <f t="shared" si="95"/>
        <v>1.7150336236855171E-4</v>
      </c>
      <c r="AA1008" s="41">
        <f t="shared" si="92"/>
        <v>38316666.666666627</v>
      </c>
      <c r="AB1008" s="39">
        <f t="shared" si="93"/>
        <v>2.0661157024793411E-3</v>
      </c>
      <c r="AC1008" s="38">
        <f t="shared" si="94"/>
        <v>0.193957157019094</v>
      </c>
      <c r="AD1008" s="3"/>
    </row>
    <row r="1009" spans="1:30" x14ac:dyDescent="0.25">
      <c r="A1009" s="37">
        <v>46645</v>
      </c>
      <c r="B1009" s="41">
        <v>20000000</v>
      </c>
      <c r="C1009" s="41">
        <v>0</v>
      </c>
      <c r="D1009" s="41">
        <v>50000000</v>
      </c>
      <c r="E1009" s="41">
        <v>0</v>
      </c>
      <c r="F1009" s="41">
        <v>50000000</v>
      </c>
      <c r="G1009" s="41">
        <v>0</v>
      </c>
      <c r="H1009" s="41">
        <v>50000000</v>
      </c>
      <c r="I1009" s="41">
        <v>0</v>
      </c>
      <c r="J1009" s="41">
        <v>40000000</v>
      </c>
      <c r="K1009" s="41">
        <v>0</v>
      </c>
      <c r="L1009" s="41">
        <v>10000000</v>
      </c>
      <c r="M1009" s="41">
        <v>0</v>
      </c>
      <c r="N1009" s="41">
        <v>81762500.000000075</v>
      </c>
      <c r="O1009" s="41">
        <v>79166.666666666672</v>
      </c>
      <c r="P1009" s="41">
        <v>75000000</v>
      </c>
      <c r="Q1009" s="41">
        <v>0</v>
      </c>
      <c r="R1009" s="41">
        <v>50000000</v>
      </c>
      <c r="S1009" s="41">
        <v>0</v>
      </c>
      <c r="T1009" s="41">
        <v>35000000</v>
      </c>
      <c r="U1009" s="41">
        <v>0</v>
      </c>
      <c r="V1009" s="41">
        <v>461762500.00000012</v>
      </c>
      <c r="W1009" s="41">
        <v>79166.666666666672</v>
      </c>
      <c r="X1009" s="38">
        <f t="shared" si="90"/>
        <v>0.92352500000000026</v>
      </c>
      <c r="Y1009" s="39">
        <f t="shared" si="91"/>
        <v>1.5833333333333335E-4</v>
      </c>
      <c r="Z1009" s="39">
        <f t="shared" si="95"/>
        <v>1.7147395400888055E-4</v>
      </c>
      <c r="AA1009" s="41">
        <f t="shared" si="92"/>
        <v>38237499.999999881</v>
      </c>
      <c r="AB1009" s="39">
        <f t="shared" si="93"/>
        <v>2.0703933747412075E-3</v>
      </c>
      <c r="AC1009" s="38">
        <f t="shared" si="94"/>
        <v>0.19391745580297981</v>
      </c>
      <c r="AD1009" s="3"/>
    </row>
    <row r="1010" spans="1:30" x14ac:dyDescent="0.25">
      <c r="A1010" s="37">
        <v>46646</v>
      </c>
      <c r="B1010" s="41">
        <v>20000000</v>
      </c>
      <c r="C1010" s="41">
        <v>0</v>
      </c>
      <c r="D1010" s="41">
        <v>50000000</v>
      </c>
      <c r="E1010" s="41">
        <v>0</v>
      </c>
      <c r="F1010" s="41">
        <v>50000000</v>
      </c>
      <c r="G1010" s="41">
        <v>0</v>
      </c>
      <c r="H1010" s="41">
        <v>50000000</v>
      </c>
      <c r="I1010" s="41">
        <v>0</v>
      </c>
      <c r="J1010" s="41">
        <v>40000000</v>
      </c>
      <c r="K1010" s="41">
        <v>0</v>
      </c>
      <c r="L1010" s="41">
        <v>10000000</v>
      </c>
      <c r="M1010" s="41">
        <v>0</v>
      </c>
      <c r="N1010" s="41">
        <v>81841666.666666746</v>
      </c>
      <c r="O1010" s="41">
        <v>79166.666666666672</v>
      </c>
      <c r="P1010" s="41">
        <v>75000000</v>
      </c>
      <c r="Q1010" s="41">
        <v>0</v>
      </c>
      <c r="R1010" s="41">
        <v>50000000</v>
      </c>
      <c r="S1010" s="41">
        <v>0</v>
      </c>
      <c r="T1010" s="41">
        <v>35000000</v>
      </c>
      <c r="U1010" s="41">
        <v>0</v>
      </c>
      <c r="V1010" s="41">
        <v>461841666.66666669</v>
      </c>
      <c r="W1010" s="41">
        <v>79166.666666666672</v>
      </c>
      <c r="X1010" s="38">
        <f t="shared" si="90"/>
        <v>0.92368333333333341</v>
      </c>
      <c r="Y1010" s="39">
        <f t="shared" si="91"/>
        <v>1.5833333333333335E-4</v>
      </c>
      <c r="Z1010" s="39">
        <f t="shared" si="95"/>
        <v>1.7144455573301568E-4</v>
      </c>
      <c r="AA1010" s="41">
        <f t="shared" si="92"/>
        <v>38158333.333333313</v>
      </c>
      <c r="AB1010" s="39">
        <f t="shared" si="93"/>
        <v>2.0746887966804992E-3</v>
      </c>
      <c r="AC1010" s="38">
        <f t="shared" si="94"/>
        <v>0.19387777083647487</v>
      </c>
      <c r="AD1010" s="3"/>
    </row>
    <row r="1011" spans="1:30" x14ac:dyDescent="0.25">
      <c r="A1011" s="37">
        <v>46647</v>
      </c>
      <c r="B1011" s="41">
        <v>20000000</v>
      </c>
      <c r="C1011" s="41">
        <v>0</v>
      </c>
      <c r="D1011" s="41">
        <v>50000000</v>
      </c>
      <c r="E1011" s="41">
        <v>0</v>
      </c>
      <c r="F1011" s="41">
        <v>50000000</v>
      </c>
      <c r="G1011" s="41">
        <v>0</v>
      </c>
      <c r="H1011" s="41">
        <v>50000000</v>
      </c>
      <c r="I1011" s="41">
        <v>0</v>
      </c>
      <c r="J1011" s="41">
        <v>40000000</v>
      </c>
      <c r="K1011" s="41">
        <v>0</v>
      </c>
      <c r="L1011" s="41">
        <v>10000000</v>
      </c>
      <c r="M1011" s="41">
        <v>0</v>
      </c>
      <c r="N1011" s="41">
        <v>81920833.333333418</v>
      </c>
      <c r="O1011" s="41">
        <v>79166.666666666672</v>
      </c>
      <c r="P1011" s="41">
        <v>75000000</v>
      </c>
      <c r="Q1011" s="41">
        <v>0</v>
      </c>
      <c r="R1011" s="41">
        <v>50000000</v>
      </c>
      <c r="S1011" s="41">
        <v>0</v>
      </c>
      <c r="T1011" s="41">
        <v>35000000</v>
      </c>
      <c r="U1011" s="41">
        <v>0</v>
      </c>
      <c r="V1011" s="41">
        <v>461920833.33333337</v>
      </c>
      <c r="W1011" s="41">
        <v>79166.666666666672</v>
      </c>
      <c r="X1011" s="38">
        <f t="shared" si="90"/>
        <v>0.92384166666666678</v>
      </c>
      <c r="Y1011" s="39">
        <f t="shared" si="91"/>
        <v>1.5833333333333335E-4</v>
      </c>
      <c r="Z1011" s="39">
        <f t="shared" si="95"/>
        <v>1.7141516753577164E-4</v>
      </c>
      <c r="AA1011" s="41">
        <f t="shared" si="92"/>
        <v>38079166.666666627</v>
      </c>
      <c r="AB1011" s="39">
        <f t="shared" si="93"/>
        <v>2.0790020790020813E-3</v>
      </c>
      <c r="AC1011" s="38">
        <f t="shared" si="94"/>
        <v>0.19383810210960467</v>
      </c>
      <c r="AD1011" s="3"/>
    </row>
    <row r="1012" spans="1:30" x14ac:dyDescent="0.25">
      <c r="A1012" s="37">
        <v>46648</v>
      </c>
      <c r="B1012" s="41">
        <v>20000000</v>
      </c>
      <c r="C1012" s="41">
        <v>0</v>
      </c>
      <c r="D1012" s="41">
        <v>50000000</v>
      </c>
      <c r="E1012" s="41">
        <v>0</v>
      </c>
      <c r="F1012" s="41">
        <v>50000000</v>
      </c>
      <c r="G1012" s="41">
        <v>0</v>
      </c>
      <c r="H1012" s="41">
        <v>50000000</v>
      </c>
      <c r="I1012" s="41">
        <v>0</v>
      </c>
      <c r="J1012" s="41">
        <v>40000000</v>
      </c>
      <c r="K1012" s="41">
        <v>0</v>
      </c>
      <c r="L1012" s="41">
        <v>10000000</v>
      </c>
      <c r="M1012" s="41">
        <v>0</v>
      </c>
      <c r="N1012" s="41">
        <v>82000000.000000089</v>
      </c>
      <c r="O1012" s="41">
        <v>79166.666666666672</v>
      </c>
      <c r="P1012" s="41">
        <v>75000000</v>
      </c>
      <c r="Q1012" s="41">
        <v>0</v>
      </c>
      <c r="R1012" s="41">
        <v>50000000</v>
      </c>
      <c r="S1012" s="41">
        <v>0</v>
      </c>
      <c r="T1012" s="41">
        <v>35000000</v>
      </c>
      <c r="U1012" s="41">
        <v>0</v>
      </c>
      <c r="V1012" s="41">
        <v>462000000.00000012</v>
      </c>
      <c r="W1012" s="41">
        <v>79166.666666666672</v>
      </c>
      <c r="X1012" s="38">
        <f t="shared" si="90"/>
        <v>0.92400000000000027</v>
      </c>
      <c r="Y1012" s="39">
        <f t="shared" si="91"/>
        <v>1.5833333333333335E-4</v>
      </c>
      <c r="Z1012" s="39">
        <f t="shared" si="95"/>
        <v>1.7138578941196632E-4</v>
      </c>
      <c r="AA1012" s="41">
        <f t="shared" si="92"/>
        <v>37999999.999999881</v>
      </c>
      <c r="AB1012" s="39">
        <f t="shared" si="93"/>
        <v>2.0833333333333398E-3</v>
      </c>
      <c r="AC1012" s="38">
        <f t="shared" si="94"/>
        <v>0.19379844961240303</v>
      </c>
      <c r="AD1012" s="3"/>
    </row>
    <row r="1013" spans="1:30" x14ac:dyDescent="0.25">
      <c r="A1013" s="37">
        <v>46649</v>
      </c>
      <c r="B1013" s="41">
        <v>20000000</v>
      </c>
      <c r="C1013" s="41">
        <v>0</v>
      </c>
      <c r="D1013" s="41">
        <v>50000000</v>
      </c>
      <c r="E1013" s="41">
        <v>0</v>
      </c>
      <c r="F1013" s="41">
        <v>50000000</v>
      </c>
      <c r="G1013" s="41">
        <v>0</v>
      </c>
      <c r="H1013" s="41">
        <v>50000000</v>
      </c>
      <c r="I1013" s="41">
        <v>0</v>
      </c>
      <c r="J1013" s="41">
        <v>40000000</v>
      </c>
      <c r="K1013" s="41">
        <v>0</v>
      </c>
      <c r="L1013" s="41">
        <v>10000000</v>
      </c>
      <c r="M1013" s="41">
        <v>0</v>
      </c>
      <c r="N1013" s="41">
        <v>82079166.666666761</v>
      </c>
      <c r="O1013" s="41">
        <v>79166.666666666672</v>
      </c>
      <c r="P1013" s="41">
        <v>75000000</v>
      </c>
      <c r="Q1013" s="41">
        <v>0</v>
      </c>
      <c r="R1013" s="41">
        <v>50000000</v>
      </c>
      <c r="S1013" s="41">
        <v>0</v>
      </c>
      <c r="T1013" s="41">
        <v>35000000</v>
      </c>
      <c r="U1013" s="41">
        <v>0</v>
      </c>
      <c r="V1013" s="41">
        <v>462079166.66666669</v>
      </c>
      <c r="W1013" s="41">
        <v>79166.666666666672</v>
      </c>
      <c r="X1013" s="38">
        <f t="shared" si="90"/>
        <v>0.92415833333333341</v>
      </c>
      <c r="Y1013" s="39">
        <f t="shared" si="91"/>
        <v>1.5833333333333335E-4</v>
      </c>
      <c r="Z1013" s="39">
        <f t="shared" si="95"/>
        <v>1.7135642135642133E-4</v>
      </c>
      <c r="AA1013" s="41">
        <f t="shared" si="92"/>
        <v>37920833.333333313</v>
      </c>
      <c r="AB1013" s="39">
        <f t="shared" si="93"/>
        <v>2.0876826722338216E-3</v>
      </c>
      <c r="AC1013" s="38">
        <f t="shared" si="94"/>
        <v>0.1937588133349121</v>
      </c>
      <c r="AD1013" s="3"/>
    </row>
    <row r="1014" spans="1:30" x14ac:dyDescent="0.25">
      <c r="A1014" s="37">
        <v>46650</v>
      </c>
      <c r="B1014" s="41">
        <v>20000000</v>
      </c>
      <c r="C1014" s="41">
        <v>0</v>
      </c>
      <c r="D1014" s="41">
        <v>50000000</v>
      </c>
      <c r="E1014" s="41">
        <v>0</v>
      </c>
      <c r="F1014" s="41">
        <v>50000000</v>
      </c>
      <c r="G1014" s="41">
        <v>0</v>
      </c>
      <c r="H1014" s="41">
        <v>50000000</v>
      </c>
      <c r="I1014" s="41">
        <v>0</v>
      </c>
      <c r="J1014" s="41">
        <v>40000000</v>
      </c>
      <c r="K1014" s="41">
        <v>0</v>
      </c>
      <c r="L1014" s="41">
        <v>10000000</v>
      </c>
      <c r="M1014" s="41">
        <v>0</v>
      </c>
      <c r="N1014" s="41">
        <v>82158333.333333433</v>
      </c>
      <c r="O1014" s="41">
        <v>79166.666666666672</v>
      </c>
      <c r="P1014" s="41">
        <v>75000000</v>
      </c>
      <c r="Q1014" s="41">
        <v>0</v>
      </c>
      <c r="R1014" s="41">
        <v>50000000</v>
      </c>
      <c r="S1014" s="41">
        <v>0</v>
      </c>
      <c r="T1014" s="41">
        <v>35000000</v>
      </c>
      <c r="U1014" s="41">
        <v>0</v>
      </c>
      <c r="V1014" s="41">
        <v>462158333.33333337</v>
      </c>
      <c r="W1014" s="41">
        <v>79166.666666666672</v>
      </c>
      <c r="X1014" s="38">
        <f t="shared" si="90"/>
        <v>0.92431666666666679</v>
      </c>
      <c r="Y1014" s="39">
        <f t="shared" si="91"/>
        <v>1.5833333333333335E-4</v>
      </c>
      <c r="Z1014" s="39">
        <f t="shared" si="95"/>
        <v>1.7132706336396182E-4</v>
      </c>
      <c r="AA1014" s="41">
        <f t="shared" si="92"/>
        <v>37841666.666666627</v>
      </c>
      <c r="AB1014" s="39">
        <f t="shared" si="93"/>
        <v>2.0920502092050233E-3</v>
      </c>
      <c r="AC1014" s="38">
        <f t="shared" si="94"/>
        <v>0.19371919326718179</v>
      </c>
      <c r="AD1014" s="3"/>
    </row>
    <row r="1015" spans="1:30" x14ac:dyDescent="0.25">
      <c r="A1015" s="37">
        <v>46651</v>
      </c>
      <c r="B1015" s="41">
        <v>20000000</v>
      </c>
      <c r="C1015" s="41">
        <v>0</v>
      </c>
      <c r="D1015" s="41">
        <v>50000000</v>
      </c>
      <c r="E1015" s="41">
        <v>0</v>
      </c>
      <c r="F1015" s="41">
        <v>50000000</v>
      </c>
      <c r="G1015" s="41">
        <v>0</v>
      </c>
      <c r="H1015" s="41">
        <v>50000000</v>
      </c>
      <c r="I1015" s="41">
        <v>0</v>
      </c>
      <c r="J1015" s="41">
        <v>40000000</v>
      </c>
      <c r="K1015" s="41">
        <v>0</v>
      </c>
      <c r="L1015" s="41">
        <v>10000000</v>
      </c>
      <c r="M1015" s="41">
        <v>0</v>
      </c>
      <c r="N1015" s="41">
        <v>82237500.000000104</v>
      </c>
      <c r="O1015" s="41">
        <v>79166.666666666672</v>
      </c>
      <c r="P1015" s="41">
        <v>75000000</v>
      </c>
      <c r="Q1015" s="41">
        <v>0</v>
      </c>
      <c r="R1015" s="41">
        <v>50000000</v>
      </c>
      <c r="S1015" s="41">
        <v>0</v>
      </c>
      <c r="T1015" s="41">
        <v>35000000</v>
      </c>
      <c r="U1015" s="41">
        <v>0</v>
      </c>
      <c r="V1015" s="41">
        <v>462237500.00000012</v>
      </c>
      <c r="W1015" s="41">
        <v>79166.666666666672</v>
      </c>
      <c r="X1015" s="38">
        <f t="shared" si="90"/>
        <v>0.92447500000000027</v>
      </c>
      <c r="Y1015" s="39">
        <f t="shared" si="91"/>
        <v>1.5833333333333335E-4</v>
      </c>
      <c r="Z1015" s="39">
        <f t="shared" si="95"/>
        <v>1.7129771542941631E-4</v>
      </c>
      <c r="AA1015" s="41">
        <f t="shared" si="92"/>
        <v>37762499.999999881</v>
      </c>
      <c r="AB1015" s="39">
        <f t="shared" si="93"/>
        <v>2.0964360587002163E-3</v>
      </c>
      <c r="AC1015" s="38">
        <f t="shared" si="94"/>
        <v>0.19367958939927041</v>
      </c>
      <c r="AD1015" s="3"/>
    </row>
    <row r="1016" spans="1:30" x14ac:dyDescent="0.25">
      <c r="A1016" s="37">
        <v>46652</v>
      </c>
      <c r="B1016" s="41">
        <v>20000000</v>
      </c>
      <c r="C1016" s="41">
        <v>0</v>
      </c>
      <c r="D1016" s="41">
        <v>50000000</v>
      </c>
      <c r="E1016" s="41">
        <v>0</v>
      </c>
      <c r="F1016" s="41">
        <v>50000000</v>
      </c>
      <c r="G1016" s="41">
        <v>0</v>
      </c>
      <c r="H1016" s="41">
        <v>50000000</v>
      </c>
      <c r="I1016" s="41">
        <v>0</v>
      </c>
      <c r="J1016" s="41">
        <v>40000000</v>
      </c>
      <c r="K1016" s="41">
        <v>0</v>
      </c>
      <c r="L1016" s="41">
        <v>10000000</v>
      </c>
      <c r="M1016" s="41">
        <v>0</v>
      </c>
      <c r="N1016" s="41">
        <v>82316666.666666776</v>
      </c>
      <c r="O1016" s="41">
        <v>79166.666666666672</v>
      </c>
      <c r="P1016" s="41">
        <v>75000000</v>
      </c>
      <c r="Q1016" s="41">
        <v>0</v>
      </c>
      <c r="R1016" s="41">
        <v>50000000</v>
      </c>
      <c r="S1016" s="41">
        <v>0</v>
      </c>
      <c r="T1016" s="41">
        <v>35000000</v>
      </c>
      <c r="U1016" s="41">
        <v>0</v>
      </c>
      <c r="V1016" s="41">
        <v>462316666.66666669</v>
      </c>
      <c r="W1016" s="41">
        <v>79166.666666666672</v>
      </c>
      <c r="X1016" s="38">
        <f t="shared" si="90"/>
        <v>0.92463333333333342</v>
      </c>
      <c r="Y1016" s="39">
        <f t="shared" si="91"/>
        <v>1.5833333333333335E-4</v>
      </c>
      <c r="Z1016" s="39">
        <f t="shared" si="95"/>
        <v>1.7126837754761709E-4</v>
      </c>
      <c r="AA1016" s="41">
        <f t="shared" si="92"/>
        <v>37683333.333333313</v>
      </c>
      <c r="AB1016" s="39">
        <f t="shared" si="93"/>
        <v>2.100840336134455E-3</v>
      </c>
      <c r="AC1016" s="38">
        <f t="shared" si="94"/>
        <v>0.19364000172124446</v>
      </c>
      <c r="AD1016" s="3"/>
    </row>
    <row r="1017" spans="1:30" x14ac:dyDescent="0.25">
      <c r="A1017" s="37">
        <v>46653</v>
      </c>
      <c r="B1017" s="41">
        <v>20000000</v>
      </c>
      <c r="C1017" s="41">
        <v>0</v>
      </c>
      <c r="D1017" s="41">
        <v>50000000</v>
      </c>
      <c r="E1017" s="41">
        <v>0</v>
      </c>
      <c r="F1017" s="41">
        <v>50000000</v>
      </c>
      <c r="G1017" s="41">
        <v>0</v>
      </c>
      <c r="H1017" s="41">
        <v>50000000</v>
      </c>
      <c r="I1017" s="41">
        <v>0</v>
      </c>
      <c r="J1017" s="41">
        <v>40000000</v>
      </c>
      <c r="K1017" s="41">
        <v>0</v>
      </c>
      <c r="L1017" s="41">
        <v>10000000</v>
      </c>
      <c r="M1017" s="41">
        <v>0</v>
      </c>
      <c r="N1017" s="41">
        <v>82395833.333333448</v>
      </c>
      <c r="O1017" s="41">
        <v>79166.666666666672</v>
      </c>
      <c r="P1017" s="41">
        <v>75000000</v>
      </c>
      <c r="Q1017" s="41">
        <v>0</v>
      </c>
      <c r="R1017" s="41">
        <v>50000000</v>
      </c>
      <c r="S1017" s="41">
        <v>0</v>
      </c>
      <c r="T1017" s="41">
        <v>35000000</v>
      </c>
      <c r="U1017" s="41">
        <v>0</v>
      </c>
      <c r="V1017" s="41">
        <v>462395833.33333337</v>
      </c>
      <c r="W1017" s="41">
        <v>79166.666666666672</v>
      </c>
      <c r="X1017" s="38">
        <f t="shared" si="90"/>
        <v>0.92479166666666679</v>
      </c>
      <c r="Y1017" s="39">
        <f t="shared" si="91"/>
        <v>1.5833333333333335E-4</v>
      </c>
      <c r="Z1017" s="39">
        <f t="shared" si="95"/>
        <v>1.7123904971339991E-4</v>
      </c>
      <c r="AA1017" s="41">
        <f t="shared" si="92"/>
        <v>37604166.666666627</v>
      </c>
      <c r="AB1017" s="39">
        <f t="shared" si="93"/>
        <v>2.1052631578947394E-3</v>
      </c>
      <c r="AC1017" s="38">
        <f t="shared" si="94"/>
        <v>0.19360043022317824</v>
      </c>
      <c r="AD1017" s="3"/>
    </row>
    <row r="1018" spans="1:30" x14ac:dyDescent="0.25">
      <c r="A1018" s="37">
        <v>46654</v>
      </c>
      <c r="B1018" s="41">
        <v>20000000</v>
      </c>
      <c r="C1018" s="41">
        <v>0</v>
      </c>
      <c r="D1018" s="41">
        <v>50000000</v>
      </c>
      <c r="E1018" s="41">
        <v>0</v>
      </c>
      <c r="F1018" s="41">
        <v>50000000</v>
      </c>
      <c r="G1018" s="41">
        <v>0</v>
      </c>
      <c r="H1018" s="41">
        <v>50000000</v>
      </c>
      <c r="I1018" s="41">
        <v>0</v>
      </c>
      <c r="J1018" s="41">
        <v>40000000</v>
      </c>
      <c r="K1018" s="41">
        <v>0</v>
      </c>
      <c r="L1018" s="41">
        <v>10000000</v>
      </c>
      <c r="M1018" s="41">
        <v>0</v>
      </c>
      <c r="N1018" s="41">
        <v>82475000.000000119</v>
      </c>
      <c r="O1018" s="41">
        <v>79166.666666666672</v>
      </c>
      <c r="P1018" s="41">
        <v>75000000</v>
      </c>
      <c r="Q1018" s="41">
        <v>0</v>
      </c>
      <c r="R1018" s="41">
        <v>50000000</v>
      </c>
      <c r="S1018" s="41">
        <v>0</v>
      </c>
      <c r="T1018" s="41">
        <v>35000000</v>
      </c>
      <c r="U1018" s="41">
        <v>0</v>
      </c>
      <c r="V1018" s="41">
        <v>462475000.00000012</v>
      </c>
      <c r="W1018" s="41">
        <v>79166.666666666672</v>
      </c>
      <c r="X1018" s="38">
        <f t="shared" si="90"/>
        <v>0.92495000000000027</v>
      </c>
      <c r="Y1018" s="39">
        <f t="shared" si="91"/>
        <v>1.5833333333333335E-4</v>
      </c>
      <c r="Z1018" s="39">
        <f t="shared" si="95"/>
        <v>1.7120973192160397E-4</v>
      </c>
      <c r="AA1018" s="41">
        <f t="shared" si="92"/>
        <v>37524999.999999881</v>
      </c>
      <c r="AB1018" s="39">
        <f t="shared" si="93"/>
        <v>2.1097046413502177E-3</v>
      </c>
      <c r="AC1018" s="38">
        <f t="shared" si="94"/>
        <v>0.19356087489515447</v>
      </c>
      <c r="AD1018" s="3"/>
    </row>
    <row r="1019" spans="1:30" x14ac:dyDescent="0.25">
      <c r="A1019" s="37">
        <v>46655</v>
      </c>
      <c r="B1019" s="41">
        <v>20000000</v>
      </c>
      <c r="C1019" s="41">
        <v>0</v>
      </c>
      <c r="D1019" s="41">
        <v>50000000</v>
      </c>
      <c r="E1019" s="41">
        <v>0</v>
      </c>
      <c r="F1019" s="41">
        <v>50000000</v>
      </c>
      <c r="G1019" s="41">
        <v>0</v>
      </c>
      <c r="H1019" s="41">
        <v>50000000</v>
      </c>
      <c r="I1019" s="41">
        <v>0</v>
      </c>
      <c r="J1019" s="41">
        <v>40000000</v>
      </c>
      <c r="K1019" s="41">
        <v>0</v>
      </c>
      <c r="L1019" s="41">
        <v>10000000</v>
      </c>
      <c r="M1019" s="41">
        <v>0</v>
      </c>
      <c r="N1019" s="41">
        <v>82554166.666666791</v>
      </c>
      <c r="O1019" s="41">
        <v>79166.666666666672</v>
      </c>
      <c r="P1019" s="41">
        <v>75000000</v>
      </c>
      <c r="Q1019" s="41">
        <v>0</v>
      </c>
      <c r="R1019" s="41">
        <v>50000000</v>
      </c>
      <c r="S1019" s="41">
        <v>0</v>
      </c>
      <c r="T1019" s="41">
        <v>35000000</v>
      </c>
      <c r="U1019" s="41">
        <v>0</v>
      </c>
      <c r="V1019" s="41">
        <v>462554166.66666681</v>
      </c>
      <c r="W1019" s="41">
        <v>79166.666666666672</v>
      </c>
      <c r="X1019" s="38">
        <f t="shared" si="90"/>
        <v>0.92510833333333364</v>
      </c>
      <c r="Y1019" s="39">
        <f t="shared" si="91"/>
        <v>1.5833333333333335E-4</v>
      </c>
      <c r="Z1019" s="39">
        <f t="shared" si="95"/>
        <v>1.7118042416707207E-4</v>
      </c>
      <c r="AA1019" s="41">
        <f t="shared" si="92"/>
        <v>37445833.333333194</v>
      </c>
      <c r="AB1019" s="39">
        <f t="shared" si="93"/>
        <v>2.1141649048625872E-3</v>
      </c>
      <c r="AC1019" s="38">
        <f t="shared" si="94"/>
        <v>0.19352133572726385</v>
      </c>
      <c r="AD1019" s="3"/>
    </row>
    <row r="1020" spans="1:30" x14ac:dyDescent="0.25">
      <c r="A1020" s="37">
        <v>46656</v>
      </c>
      <c r="B1020" s="41">
        <v>20000000</v>
      </c>
      <c r="C1020" s="41">
        <v>0</v>
      </c>
      <c r="D1020" s="41">
        <v>50000000</v>
      </c>
      <c r="E1020" s="41">
        <v>0</v>
      </c>
      <c r="F1020" s="41">
        <v>50000000</v>
      </c>
      <c r="G1020" s="41">
        <v>0</v>
      </c>
      <c r="H1020" s="41">
        <v>50000000</v>
      </c>
      <c r="I1020" s="41">
        <v>0</v>
      </c>
      <c r="J1020" s="41">
        <v>40000000</v>
      </c>
      <c r="K1020" s="41">
        <v>0</v>
      </c>
      <c r="L1020" s="41">
        <v>10000000</v>
      </c>
      <c r="M1020" s="41">
        <v>0</v>
      </c>
      <c r="N1020" s="41">
        <v>82633333.333333462</v>
      </c>
      <c r="O1020" s="41">
        <v>79166.666666666672</v>
      </c>
      <c r="P1020" s="41">
        <v>75000000</v>
      </c>
      <c r="Q1020" s="41">
        <v>0</v>
      </c>
      <c r="R1020" s="41">
        <v>50000000</v>
      </c>
      <c r="S1020" s="41">
        <v>0</v>
      </c>
      <c r="T1020" s="41">
        <v>35000000</v>
      </c>
      <c r="U1020" s="41">
        <v>0</v>
      </c>
      <c r="V1020" s="41">
        <v>462633333.33333349</v>
      </c>
      <c r="W1020" s="41">
        <v>79166.666666666672</v>
      </c>
      <c r="X1020" s="38">
        <f t="shared" si="90"/>
        <v>0.92526666666666701</v>
      </c>
      <c r="Y1020" s="39">
        <f t="shared" si="91"/>
        <v>1.5833333333333335E-4</v>
      </c>
      <c r="Z1020" s="39">
        <f t="shared" si="95"/>
        <v>1.711511264446506E-4</v>
      </c>
      <c r="AA1020" s="41">
        <f t="shared" si="92"/>
        <v>37366666.666666508</v>
      </c>
      <c r="AB1020" s="39">
        <f t="shared" si="93"/>
        <v>2.1186440677966193E-3</v>
      </c>
      <c r="AC1020" s="38">
        <f t="shared" si="94"/>
        <v>0.19348181270960521</v>
      </c>
      <c r="AD1020" s="3"/>
    </row>
    <row r="1021" spans="1:30" x14ac:dyDescent="0.25">
      <c r="A1021" s="37">
        <v>46657</v>
      </c>
      <c r="B1021" s="41">
        <v>20000000</v>
      </c>
      <c r="C1021" s="41">
        <v>0</v>
      </c>
      <c r="D1021" s="41">
        <v>50000000</v>
      </c>
      <c r="E1021" s="41">
        <v>0</v>
      </c>
      <c r="F1021" s="41">
        <v>50000000</v>
      </c>
      <c r="G1021" s="41">
        <v>0</v>
      </c>
      <c r="H1021" s="41">
        <v>50000000</v>
      </c>
      <c r="I1021" s="41">
        <v>0</v>
      </c>
      <c r="J1021" s="41">
        <v>40000000</v>
      </c>
      <c r="K1021" s="41">
        <v>0</v>
      </c>
      <c r="L1021" s="41">
        <v>10000000</v>
      </c>
      <c r="M1021" s="41">
        <v>0</v>
      </c>
      <c r="N1021" s="41">
        <v>82712500.000000134</v>
      </c>
      <c r="O1021" s="41">
        <v>79166.666666666672</v>
      </c>
      <c r="P1021" s="41">
        <v>75000000</v>
      </c>
      <c r="Q1021" s="41">
        <v>0</v>
      </c>
      <c r="R1021" s="41">
        <v>50000000</v>
      </c>
      <c r="S1021" s="41">
        <v>0</v>
      </c>
      <c r="T1021" s="41">
        <v>35000000</v>
      </c>
      <c r="U1021" s="41">
        <v>0</v>
      </c>
      <c r="V1021" s="41">
        <v>462712500.00000012</v>
      </c>
      <c r="W1021" s="41">
        <v>79166.666666666672</v>
      </c>
      <c r="X1021" s="38">
        <f t="shared" si="90"/>
        <v>0.92542500000000028</v>
      </c>
      <c r="Y1021" s="39">
        <f t="shared" si="91"/>
        <v>1.5833333333333335E-4</v>
      </c>
      <c r="Z1021" s="39">
        <f t="shared" si="95"/>
        <v>1.7112183874918937E-4</v>
      </c>
      <c r="AA1021" s="41">
        <f t="shared" si="92"/>
        <v>37287499.999999881</v>
      </c>
      <c r="AB1021" s="39">
        <f t="shared" si="93"/>
        <v>2.1231422505307925E-3</v>
      </c>
      <c r="AC1021" s="38">
        <f t="shared" si="94"/>
        <v>0.19344230583228547</v>
      </c>
      <c r="AD1021" s="3"/>
    </row>
    <row r="1022" spans="1:30" x14ac:dyDescent="0.25">
      <c r="A1022" s="37">
        <v>46658</v>
      </c>
      <c r="B1022" s="41">
        <v>20000000</v>
      </c>
      <c r="C1022" s="41">
        <v>0</v>
      </c>
      <c r="D1022" s="41">
        <v>50000000</v>
      </c>
      <c r="E1022" s="41">
        <v>0</v>
      </c>
      <c r="F1022" s="41">
        <v>50000000</v>
      </c>
      <c r="G1022" s="41">
        <v>0</v>
      </c>
      <c r="H1022" s="41">
        <v>50000000</v>
      </c>
      <c r="I1022" s="41">
        <v>0</v>
      </c>
      <c r="J1022" s="41">
        <v>40000000</v>
      </c>
      <c r="K1022" s="41">
        <v>0</v>
      </c>
      <c r="L1022" s="41">
        <v>10000000</v>
      </c>
      <c r="M1022" s="41">
        <v>0</v>
      </c>
      <c r="N1022" s="41">
        <v>82791666.666666806</v>
      </c>
      <c r="O1022" s="41">
        <v>79166.666666666672</v>
      </c>
      <c r="P1022" s="41">
        <v>75000000</v>
      </c>
      <c r="Q1022" s="41">
        <v>0</v>
      </c>
      <c r="R1022" s="41">
        <v>50000000</v>
      </c>
      <c r="S1022" s="41">
        <v>0</v>
      </c>
      <c r="T1022" s="41">
        <v>35000000</v>
      </c>
      <c r="U1022" s="41">
        <v>0</v>
      </c>
      <c r="V1022" s="41">
        <v>462791666.66666681</v>
      </c>
      <c r="W1022" s="41">
        <v>79166.666666666672</v>
      </c>
      <c r="X1022" s="38">
        <f t="shared" si="90"/>
        <v>0.92558333333333365</v>
      </c>
      <c r="Y1022" s="39">
        <f t="shared" si="91"/>
        <v>1.5833333333333335E-4</v>
      </c>
      <c r="Z1022" s="39">
        <f t="shared" si="95"/>
        <v>1.7109256107554184E-4</v>
      </c>
      <c r="AA1022" s="41">
        <f t="shared" si="92"/>
        <v>37208333.333333194</v>
      </c>
      <c r="AB1022" s="39">
        <f t="shared" si="93"/>
        <v>2.1276595744680934E-3</v>
      </c>
      <c r="AC1022" s="38">
        <f t="shared" si="94"/>
        <v>0.19340281508541951</v>
      </c>
      <c r="AD1022" s="3"/>
    </row>
    <row r="1023" spans="1:30" x14ac:dyDescent="0.25">
      <c r="A1023" s="37">
        <v>46659</v>
      </c>
      <c r="B1023" s="41">
        <v>20000000</v>
      </c>
      <c r="C1023" s="41">
        <v>0</v>
      </c>
      <c r="D1023" s="41">
        <v>50000000</v>
      </c>
      <c r="E1023" s="41">
        <v>0</v>
      </c>
      <c r="F1023" s="41">
        <v>50000000</v>
      </c>
      <c r="G1023" s="41">
        <v>0</v>
      </c>
      <c r="H1023" s="41">
        <v>50000000</v>
      </c>
      <c r="I1023" s="41">
        <v>0</v>
      </c>
      <c r="J1023" s="41">
        <v>40000000</v>
      </c>
      <c r="K1023" s="41">
        <v>0</v>
      </c>
      <c r="L1023" s="41">
        <v>10000000</v>
      </c>
      <c r="M1023" s="41">
        <v>0</v>
      </c>
      <c r="N1023" s="41">
        <v>82870833.333333477</v>
      </c>
      <c r="O1023" s="41">
        <v>79166.666666666672</v>
      </c>
      <c r="P1023" s="41">
        <v>75000000</v>
      </c>
      <c r="Q1023" s="41">
        <v>0</v>
      </c>
      <c r="R1023" s="41">
        <v>50000000</v>
      </c>
      <c r="S1023" s="41">
        <v>0</v>
      </c>
      <c r="T1023" s="41">
        <v>35000000</v>
      </c>
      <c r="U1023" s="41">
        <v>0</v>
      </c>
      <c r="V1023" s="41">
        <v>462870833.33333349</v>
      </c>
      <c r="W1023" s="41">
        <v>79166.666666666672</v>
      </c>
      <c r="X1023" s="38">
        <f t="shared" si="90"/>
        <v>0.92574166666666702</v>
      </c>
      <c r="Y1023" s="39">
        <f t="shared" si="91"/>
        <v>1.5833333333333335E-4</v>
      </c>
      <c r="Z1023" s="39">
        <f t="shared" si="95"/>
        <v>1.7106329341856483E-4</v>
      </c>
      <c r="AA1023" s="41">
        <f t="shared" si="92"/>
        <v>37129166.666666508</v>
      </c>
      <c r="AB1023" s="39">
        <f t="shared" si="93"/>
        <v>2.1321961620469174E-3</v>
      </c>
      <c r="AC1023" s="38">
        <f t="shared" si="94"/>
        <v>0.19336334045913042</v>
      </c>
      <c r="AD1023" s="3"/>
    </row>
    <row r="1024" spans="1:30" x14ac:dyDescent="0.25">
      <c r="A1024" s="37">
        <v>46660</v>
      </c>
      <c r="B1024" s="41">
        <v>20000000</v>
      </c>
      <c r="C1024" s="41">
        <v>0</v>
      </c>
      <c r="D1024" s="41">
        <v>50000000</v>
      </c>
      <c r="E1024" s="41">
        <v>0</v>
      </c>
      <c r="F1024" s="41">
        <v>50000000</v>
      </c>
      <c r="G1024" s="41">
        <v>0</v>
      </c>
      <c r="H1024" s="41">
        <v>50000000</v>
      </c>
      <c r="I1024" s="41">
        <v>0</v>
      </c>
      <c r="J1024" s="41">
        <v>40000000</v>
      </c>
      <c r="K1024" s="41">
        <v>0</v>
      </c>
      <c r="L1024" s="41">
        <v>10000000</v>
      </c>
      <c r="M1024" s="41">
        <v>0</v>
      </c>
      <c r="N1024" s="41">
        <v>82950000.000000149</v>
      </c>
      <c r="O1024" s="41">
        <v>79166.666666666672</v>
      </c>
      <c r="P1024" s="41">
        <v>75000000</v>
      </c>
      <c r="Q1024" s="41">
        <v>0</v>
      </c>
      <c r="R1024" s="41">
        <v>50000000</v>
      </c>
      <c r="S1024" s="41">
        <v>0</v>
      </c>
      <c r="T1024" s="41">
        <v>35000000</v>
      </c>
      <c r="U1024" s="41">
        <v>0</v>
      </c>
      <c r="V1024" s="41">
        <v>462950000.00000012</v>
      </c>
      <c r="W1024" s="41">
        <v>79166.666666666672</v>
      </c>
      <c r="X1024" s="38">
        <f t="shared" si="90"/>
        <v>0.92590000000000028</v>
      </c>
      <c r="Y1024" s="39">
        <f t="shared" si="91"/>
        <v>1.5833333333333335E-4</v>
      </c>
      <c r="Z1024" s="39">
        <f t="shared" si="95"/>
        <v>1.7103403577311879E-4</v>
      </c>
      <c r="AA1024" s="41">
        <f t="shared" si="92"/>
        <v>37049999.999999881</v>
      </c>
      <c r="AB1024" s="39">
        <f t="shared" si="93"/>
        <v>2.1367521367521439E-3</v>
      </c>
      <c r="AC1024" s="38">
        <f t="shared" si="94"/>
        <v>0.19332388194354938</v>
      </c>
      <c r="AD1024" s="3"/>
    </row>
    <row r="1025" spans="1:30" x14ac:dyDescent="0.25">
      <c r="A1025" s="37">
        <v>46661</v>
      </c>
      <c r="B1025" s="41">
        <v>20000000</v>
      </c>
      <c r="C1025" s="41">
        <v>0</v>
      </c>
      <c r="D1025" s="41">
        <v>50000000</v>
      </c>
      <c r="E1025" s="41">
        <v>0</v>
      </c>
      <c r="F1025" s="41">
        <v>50000000</v>
      </c>
      <c r="G1025" s="41">
        <v>0</v>
      </c>
      <c r="H1025" s="41">
        <v>50000000</v>
      </c>
      <c r="I1025" s="41">
        <v>0</v>
      </c>
      <c r="J1025" s="41">
        <v>40000000</v>
      </c>
      <c r="K1025" s="41">
        <v>0</v>
      </c>
      <c r="L1025" s="41">
        <v>10000000</v>
      </c>
      <c r="M1025" s="41">
        <v>0</v>
      </c>
      <c r="N1025" s="41">
        <v>83029166.666666821</v>
      </c>
      <c r="O1025" s="41">
        <v>79166.666666666672</v>
      </c>
      <c r="P1025" s="41">
        <v>75000000</v>
      </c>
      <c r="Q1025" s="41">
        <v>0</v>
      </c>
      <c r="R1025" s="41">
        <v>50000000</v>
      </c>
      <c r="S1025" s="41">
        <v>0</v>
      </c>
      <c r="T1025" s="41">
        <v>35000000</v>
      </c>
      <c r="U1025" s="41">
        <v>0</v>
      </c>
      <c r="V1025" s="41">
        <v>463029166.66666681</v>
      </c>
      <c r="W1025" s="41">
        <v>79166.666666666672</v>
      </c>
      <c r="X1025" s="38">
        <f t="shared" si="90"/>
        <v>0.92605833333333365</v>
      </c>
      <c r="Y1025" s="39">
        <f t="shared" si="91"/>
        <v>1.5833333333333335E-4</v>
      </c>
      <c r="Z1025" s="39">
        <f t="shared" si="95"/>
        <v>1.7100478813406771E-4</v>
      </c>
      <c r="AA1025" s="41">
        <f t="shared" si="92"/>
        <v>36970833.333333194</v>
      </c>
      <c r="AB1025" s="39">
        <f t="shared" si="93"/>
        <v>2.1413276231263467E-3</v>
      </c>
      <c r="AC1025" s="38">
        <f t="shared" si="94"/>
        <v>0.19328443952881541</v>
      </c>
      <c r="AD1025" s="3"/>
    </row>
    <row r="1026" spans="1:30" x14ac:dyDescent="0.25">
      <c r="A1026" s="37">
        <v>46662</v>
      </c>
      <c r="B1026" s="41">
        <v>20000000</v>
      </c>
      <c r="C1026" s="41">
        <v>0</v>
      </c>
      <c r="D1026" s="41">
        <v>50000000</v>
      </c>
      <c r="E1026" s="41">
        <v>0</v>
      </c>
      <c r="F1026" s="41">
        <v>50000000</v>
      </c>
      <c r="G1026" s="41">
        <v>0</v>
      </c>
      <c r="H1026" s="41">
        <v>50000000</v>
      </c>
      <c r="I1026" s="41">
        <v>0</v>
      </c>
      <c r="J1026" s="41">
        <v>40000000</v>
      </c>
      <c r="K1026" s="41">
        <v>0</v>
      </c>
      <c r="L1026" s="41">
        <v>10000000</v>
      </c>
      <c r="M1026" s="41">
        <v>0</v>
      </c>
      <c r="N1026" s="41">
        <v>83108333.333333492</v>
      </c>
      <c r="O1026" s="41">
        <v>79166.666666666672</v>
      </c>
      <c r="P1026" s="41">
        <v>75000000</v>
      </c>
      <c r="Q1026" s="41">
        <v>0</v>
      </c>
      <c r="R1026" s="41">
        <v>50000000</v>
      </c>
      <c r="S1026" s="41">
        <v>0</v>
      </c>
      <c r="T1026" s="41">
        <v>35000000</v>
      </c>
      <c r="U1026" s="41">
        <v>0</v>
      </c>
      <c r="V1026" s="41">
        <v>463108333.33333349</v>
      </c>
      <c r="W1026" s="41">
        <v>79166.666666666672</v>
      </c>
      <c r="X1026" s="38">
        <f t="shared" si="90"/>
        <v>0.92621666666666702</v>
      </c>
      <c r="Y1026" s="39">
        <f t="shared" si="91"/>
        <v>1.5833333333333335E-4</v>
      </c>
      <c r="Z1026" s="39">
        <f t="shared" si="95"/>
        <v>1.7097555049627898E-4</v>
      </c>
      <c r="AA1026" s="41">
        <f t="shared" si="92"/>
        <v>36891666.666666508</v>
      </c>
      <c r="AB1026" s="39">
        <f t="shared" si="93"/>
        <v>2.1459227467811254E-3</v>
      </c>
      <c r="AC1026" s="38">
        <f t="shared" si="94"/>
        <v>0.19324501320507581</v>
      </c>
      <c r="AD1026" s="3"/>
    </row>
    <row r="1027" spans="1:30" x14ac:dyDescent="0.25">
      <c r="A1027" s="37">
        <v>46663</v>
      </c>
      <c r="B1027" s="41">
        <v>20000000</v>
      </c>
      <c r="C1027" s="41">
        <v>0</v>
      </c>
      <c r="D1027" s="41">
        <v>50000000</v>
      </c>
      <c r="E1027" s="41">
        <v>0</v>
      </c>
      <c r="F1027" s="41">
        <v>50000000</v>
      </c>
      <c r="G1027" s="41">
        <v>0</v>
      </c>
      <c r="H1027" s="41">
        <v>50000000</v>
      </c>
      <c r="I1027" s="41">
        <v>0</v>
      </c>
      <c r="J1027" s="41">
        <v>40000000</v>
      </c>
      <c r="K1027" s="41">
        <v>0</v>
      </c>
      <c r="L1027" s="41">
        <v>10000000</v>
      </c>
      <c r="M1027" s="41">
        <v>0</v>
      </c>
      <c r="N1027" s="41">
        <v>83187500.000000164</v>
      </c>
      <c r="O1027" s="41">
        <v>79166.666666666672</v>
      </c>
      <c r="P1027" s="41">
        <v>75000000</v>
      </c>
      <c r="Q1027" s="41">
        <v>0</v>
      </c>
      <c r="R1027" s="41">
        <v>50000000</v>
      </c>
      <c r="S1027" s="41">
        <v>0</v>
      </c>
      <c r="T1027" s="41">
        <v>35000000</v>
      </c>
      <c r="U1027" s="41">
        <v>0</v>
      </c>
      <c r="V1027" s="41">
        <v>463187500.00000018</v>
      </c>
      <c r="W1027" s="41">
        <v>79166.666666666672</v>
      </c>
      <c r="X1027" s="38">
        <f t="shared" si="90"/>
        <v>0.92637500000000039</v>
      </c>
      <c r="Y1027" s="39">
        <f t="shared" si="91"/>
        <v>1.5833333333333335E-4</v>
      </c>
      <c r="Z1027" s="39">
        <f t="shared" si="95"/>
        <v>1.709463228546236E-4</v>
      </c>
      <c r="AA1027" s="41">
        <f t="shared" si="92"/>
        <v>36812499.999999821</v>
      </c>
      <c r="AB1027" s="39">
        <f t="shared" si="93"/>
        <v>2.1505376344086126E-3</v>
      </c>
      <c r="AC1027" s="38">
        <f t="shared" si="94"/>
        <v>0.19320560296248582</v>
      </c>
      <c r="AD1027" s="3"/>
    </row>
    <row r="1028" spans="1:30" x14ac:dyDescent="0.25">
      <c r="A1028" s="37">
        <v>46664</v>
      </c>
      <c r="B1028" s="41">
        <v>20000000</v>
      </c>
      <c r="C1028" s="41">
        <v>0</v>
      </c>
      <c r="D1028" s="41">
        <v>50000000</v>
      </c>
      <c r="E1028" s="41">
        <v>0</v>
      </c>
      <c r="F1028" s="41">
        <v>50000000</v>
      </c>
      <c r="G1028" s="41">
        <v>0</v>
      </c>
      <c r="H1028" s="41">
        <v>50000000</v>
      </c>
      <c r="I1028" s="41">
        <v>0</v>
      </c>
      <c r="J1028" s="41">
        <v>40000000</v>
      </c>
      <c r="K1028" s="41">
        <v>0</v>
      </c>
      <c r="L1028" s="41">
        <v>10000000</v>
      </c>
      <c r="M1028" s="41">
        <v>0</v>
      </c>
      <c r="N1028" s="41">
        <v>83266666.666666836</v>
      </c>
      <c r="O1028" s="41">
        <v>79166.666666666672</v>
      </c>
      <c r="P1028" s="41">
        <v>75000000</v>
      </c>
      <c r="Q1028" s="41">
        <v>0</v>
      </c>
      <c r="R1028" s="41">
        <v>50000000</v>
      </c>
      <c r="S1028" s="41">
        <v>0</v>
      </c>
      <c r="T1028" s="41">
        <v>35000000</v>
      </c>
      <c r="U1028" s="41">
        <v>0</v>
      </c>
      <c r="V1028" s="41">
        <v>463266666.66666692</v>
      </c>
      <c r="W1028" s="41">
        <v>79166.666666666672</v>
      </c>
      <c r="X1028" s="38">
        <f t="shared" si="90"/>
        <v>0.92653333333333388</v>
      </c>
      <c r="Y1028" s="39">
        <f t="shared" si="91"/>
        <v>1.5833333333333335E-4</v>
      </c>
      <c r="Z1028" s="39">
        <f t="shared" si="95"/>
        <v>1.7091710520397601E-4</v>
      </c>
      <c r="AA1028" s="41">
        <f t="shared" si="92"/>
        <v>36733333.333333075</v>
      </c>
      <c r="AB1028" s="39">
        <f t="shared" si="93"/>
        <v>2.1551724137931186E-3</v>
      </c>
      <c r="AC1028" s="38">
        <f t="shared" si="94"/>
        <v>0.19316620879120866</v>
      </c>
      <c r="AD1028" s="3"/>
    </row>
    <row r="1029" spans="1:30" x14ac:dyDescent="0.25">
      <c r="A1029" s="37">
        <v>46665</v>
      </c>
      <c r="B1029" s="41">
        <v>20000000</v>
      </c>
      <c r="C1029" s="41">
        <v>0</v>
      </c>
      <c r="D1029" s="41">
        <v>50000000</v>
      </c>
      <c r="E1029" s="41">
        <v>0</v>
      </c>
      <c r="F1029" s="41">
        <v>50000000</v>
      </c>
      <c r="G1029" s="41">
        <v>0</v>
      </c>
      <c r="H1029" s="41">
        <v>50000000</v>
      </c>
      <c r="I1029" s="41">
        <v>0</v>
      </c>
      <c r="J1029" s="41">
        <v>40000000</v>
      </c>
      <c r="K1029" s="41">
        <v>0</v>
      </c>
      <c r="L1029" s="41">
        <v>10000000</v>
      </c>
      <c r="M1029" s="41">
        <v>0</v>
      </c>
      <c r="N1029" s="41">
        <v>83345833.333333507</v>
      </c>
      <c r="O1029" s="41">
        <v>79166.666666666672</v>
      </c>
      <c r="P1029" s="41">
        <v>75000000</v>
      </c>
      <c r="Q1029" s="41">
        <v>0</v>
      </c>
      <c r="R1029" s="41">
        <v>50000000</v>
      </c>
      <c r="S1029" s="41">
        <v>0</v>
      </c>
      <c r="T1029" s="41">
        <v>35000000</v>
      </c>
      <c r="U1029" s="41">
        <v>0</v>
      </c>
      <c r="V1029" s="41">
        <v>463345833.33333349</v>
      </c>
      <c r="W1029" s="41">
        <v>79166.666666666672</v>
      </c>
      <c r="X1029" s="38">
        <f t="shared" si="90"/>
        <v>0.92669166666666702</v>
      </c>
      <c r="Y1029" s="39">
        <f t="shared" si="91"/>
        <v>1.5833333333333335E-4</v>
      </c>
      <c r="Z1029" s="39">
        <f t="shared" si="95"/>
        <v>1.7088789753921419E-4</v>
      </c>
      <c r="AA1029" s="41">
        <f t="shared" si="92"/>
        <v>36654166.666666508</v>
      </c>
      <c r="AB1029" s="39">
        <f t="shared" si="93"/>
        <v>2.1598272138229038E-3</v>
      </c>
      <c r="AC1029" s="38">
        <f t="shared" si="94"/>
        <v>0.19312683068141576</v>
      </c>
      <c r="AD1029" s="3"/>
    </row>
    <row r="1030" spans="1:30" x14ac:dyDescent="0.25">
      <c r="A1030" s="37">
        <v>46666</v>
      </c>
      <c r="B1030" s="41">
        <v>20000000</v>
      </c>
      <c r="C1030" s="41">
        <v>0</v>
      </c>
      <c r="D1030" s="41">
        <v>50000000</v>
      </c>
      <c r="E1030" s="41">
        <v>0</v>
      </c>
      <c r="F1030" s="41">
        <v>50000000</v>
      </c>
      <c r="G1030" s="41">
        <v>0</v>
      </c>
      <c r="H1030" s="41">
        <v>50000000</v>
      </c>
      <c r="I1030" s="41">
        <v>0</v>
      </c>
      <c r="J1030" s="41">
        <v>40000000</v>
      </c>
      <c r="K1030" s="41">
        <v>0</v>
      </c>
      <c r="L1030" s="41">
        <v>10000000</v>
      </c>
      <c r="M1030" s="41">
        <v>0</v>
      </c>
      <c r="N1030" s="41">
        <v>83425000.000000179</v>
      </c>
      <c r="O1030" s="41">
        <v>79166.666666666672</v>
      </c>
      <c r="P1030" s="41">
        <v>75000000</v>
      </c>
      <c r="Q1030" s="41">
        <v>0</v>
      </c>
      <c r="R1030" s="41">
        <v>50000000</v>
      </c>
      <c r="S1030" s="41">
        <v>0</v>
      </c>
      <c r="T1030" s="41">
        <v>35000000</v>
      </c>
      <c r="U1030" s="41">
        <v>0</v>
      </c>
      <c r="V1030" s="41">
        <v>463425000.00000018</v>
      </c>
      <c r="W1030" s="41">
        <v>79166.666666666672</v>
      </c>
      <c r="X1030" s="38">
        <f t="shared" si="90"/>
        <v>0.9268500000000004</v>
      </c>
      <c r="Y1030" s="39">
        <f t="shared" si="91"/>
        <v>1.5833333333333335E-4</v>
      </c>
      <c r="Z1030" s="39">
        <f t="shared" si="95"/>
        <v>1.708586998552197E-4</v>
      </c>
      <c r="AA1030" s="41">
        <f t="shared" si="92"/>
        <v>36574999.999999821</v>
      </c>
      <c r="AB1030" s="39">
        <f t="shared" si="93"/>
        <v>2.1645021645021753E-3</v>
      </c>
      <c r="AC1030" s="38">
        <f t="shared" si="94"/>
        <v>0.19308746862328627</v>
      </c>
      <c r="AD1030" s="3"/>
    </row>
    <row r="1031" spans="1:30" x14ac:dyDescent="0.25">
      <c r="A1031" s="37">
        <v>46667</v>
      </c>
      <c r="B1031" s="41">
        <v>20000000</v>
      </c>
      <c r="C1031" s="41">
        <v>0</v>
      </c>
      <c r="D1031" s="41">
        <v>50000000</v>
      </c>
      <c r="E1031" s="41">
        <v>0</v>
      </c>
      <c r="F1031" s="41">
        <v>50000000</v>
      </c>
      <c r="G1031" s="41">
        <v>0</v>
      </c>
      <c r="H1031" s="41">
        <v>50000000</v>
      </c>
      <c r="I1031" s="41">
        <v>0</v>
      </c>
      <c r="J1031" s="41">
        <v>40000000</v>
      </c>
      <c r="K1031" s="41">
        <v>0</v>
      </c>
      <c r="L1031" s="41">
        <v>10000000</v>
      </c>
      <c r="M1031" s="41">
        <v>0</v>
      </c>
      <c r="N1031" s="41">
        <v>83504166.66666685</v>
      </c>
      <c r="O1031" s="41">
        <v>79166.666666666672</v>
      </c>
      <c r="P1031" s="41">
        <v>75000000</v>
      </c>
      <c r="Q1031" s="41">
        <v>0</v>
      </c>
      <c r="R1031" s="41">
        <v>50000000</v>
      </c>
      <c r="S1031" s="41">
        <v>0</v>
      </c>
      <c r="T1031" s="41">
        <v>35000000</v>
      </c>
      <c r="U1031" s="41">
        <v>0</v>
      </c>
      <c r="V1031" s="41">
        <v>463504166.66666692</v>
      </c>
      <c r="W1031" s="41">
        <v>79166.666666666672</v>
      </c>
      <c r="X1031" s="38">
        <f t="shared" si="90"/>
        <v>0.92700833333333388</v>
      </c>
      <c r="Y1031" s="39">
        <f t="shared" si="91"/>
        <v>1.5833333333333335E-4</v>
      </c>
      <c r="Z1031" s="39">
        <f t="shared" si="95"/>
        <v>1.7082951214687737E-4</v>
      </c>
      <c r="AA1031" s="41">
        <f t="shared" si="92"/>
        <v>36495833.333333075</v>
      </c>
      <c r="AB1031" s="39">
        <f t="shared" si="93"/>
        <v>2.1691973969631393E-3</v>
      </c>
      <c r="AC1031" s="38">
        <f t="shared" si="94"/>
        <v>0.19304812260700752</v>
      </c>
      <c r="AD1031" s="3"/>
    </row>
    <row r="1032" spans="1:30" x14ac:dyDescent="0.25">
      <c r="A1032" s="37">
        <v>46668</v>
      </c>
      <c r="B1032" s="41">
        <v>20000000</v>
      </c>
      <c r="C1032" s="41">
        <v>0</v>
      </c>
      <c r="D1032" s="41">
        <v>50000000</v>
      </c>
      <c r="E1032" s="41">
        <v>0</v>
      </c>
      <c r="F1032" s="41">
        <v>50000000</v>
      </c>
      <c r="G1032" s="41">
        <v>0</v>
      </c>
      <c r="H1032" s="41">
        <v>50000000</v>
      </c>
      <c r="I1032" s="41">
        <v>0</v>
      </c>
      <c r="J1032" s="41">
        <v>40000000</v>
      </c>
      <c r="K1032" s="41">
        <v>0</v>
      </c>
      <c r="L1032" s="41">
        <v>10000000</v>
      </c>
      <c r="M1032" s="41">
        <v>0</v>
      </c>
      <c r="N1032" s="41">
        <v>83583333.333333522</v>
      </c>
      <c r="O1032" s="41">
        <v>79166.666666666672</v>
      </c>
      <c r="P1032" s="41">
        <v>75000000</v>
      </c>
      <c r="Q1032" s="41">
        <v>0</v>
      </c>
      <c r="R1032" s="41">
        <v>50000000</v>
      </c>
      <c r="S1032" s="41">
        <v>0</v>
      </c>
      <c r="T1032" s="41">
        <v>35000000</v>
      </c>
      <c r="U1032" s="41">
        <v>0</v>
      </c>
      <c r="V1032" s="41">
        <v>463583333.33333349</v>
      </c>
      <c r="W1032" s="41">
        <v>79166.666666666672</v>
      </c>
      <c r="X1032" s="38">
        <f t="shared" si="90"/>
        <v>0.92716666666666703</v>
      </c>
      <c r="Y1032" s="39">
        <f t="shared" si="91"/>
        <v>1.5833333333333335E-4</v>
      </c>
      <c r="Z1032" s="39">
        <f t="shared" si="95"/>
        <v>1.7080033440907571E-4</v>
      </c>
      <c r="AA1032" s="41">
        <f t="shared" si="92"/>
        <v>36416666.666666508</v>
      </c>
      <c r="AB1032" s="39">
        <f t="shared" si="93"/>
        <v>2.1739130434782704E-3</v>
      </c>
      <c r="AC1032" s="38">
        <f t="shared" si="94"/>
        <v>0.19300879262277496</v>
      </c>
      <c r="AD1032" s="3"/>
    </row>
    <row r="1033" spans="1:30" x14ac:dyDescent="0.25">
      <c r="A1033" s="37">
        <v>46669</v>
      </c>
      <c r="B1033" s="41">
        <v>20000000</v>
      </c>
      <c r="C1033" s="41">
        <v>0</v>
      </c>
      <c r="D1033" s="41">
        <v>50000000</v>
      </c>
      <c r="E1033" s="41">
        <v>0</v>
      </c>
      <c r="F1033" s="41">
        <v>50000000</v>
      </c>
      <c r="G1033" s="41">
        <v>0</v>
      </c>
      <c r="H1033" s="41">
        <v>50000000</v>
      </c>
      <c r="I1033" s="41">
        <v>0</v>
      </c>
      <c r="J1033" s="41">
        <v>40000000</v>
      </c>
      <c r="K1033" s="41">
        <v>0</v>
      </c>
      <c r="L1033" s="41">
        <v>10000000</v>
      </c>
      <c r="M1033" s="41">
        <v>0</v>
      </c>
      <c r="N1033" s="41">
        <v>83662500.000000194</v>
      </c>
      <c r="O1033" s="41">
        <v>79166.666666666672</v>
      </c>
      <c r="P1033" s="41">
        <v>75000000</v>
      </c>
      <c r="Q1033" s="41">
        <v>0</v>
      </c>
      <c r="R1033" s="41">
        <v>50000000</v>
      </c>
      <c r="S1033" s="41">
        <v>0</v>
      </c>
      <c r="T1033" s="41">
        <v>35000000</v>
      </c>
      <c r="U1033" s="41">
        <v>0</v>
      </c>
      <c r="V1033" s="41">
        <v>463662500.00000018</v>
      </c>
      <c r="W1033" s="41">
        <v>79166.666666666672</v>
      </c>
      <c r="X1033" s="38">
        <f t="shared" si="90"/>
        <v>0.9273250000000004</v>
      </c>
      <c r="Y1033" s="39">
        <f t="shared" si="91"/>
        <v>1.5833333333333335E-4</v>
      </c>
      <c r="Z1033" s="39">
        <f t="shared" si="95"/>
        <v>1.7077116663670677E-4</v>
      </c>
      <c r="AA1033" s="41">
        <f t="shared" si="92"/>
        <v>36337499.999999821</v>
      </c>
      <c r="AB1033" s="39">
        <f t="shared" si="93"/>
        <v>2.1786492374727779E-3</v>
      </c>
      <c r="AC1033" s="38">
        <f t="shared" si="94"/>
        <v>0.19296947866079173</v>
      </c>
      <c r="AD1033" s="3"/>
    </row>
    <row r="1034" spans="1:30" x14ac:dyDescent="0.25">
      <c r="A1034" s="37">
        <v>46670</v>
      </c>
      <c r="B1034" s="41">
        <v>20000000</v>
      </c>
      <c r="C1034" s="41">
        <v>0</v>
      </c>
      <c r="D1034" s="41">
        <v>50000000</v>
      </c>
      <c r="E1034" s="41">
        <v>0</v>
      </c>
      <c r="F1034" s="41">
        <v>50000000</v>
      </c>
      <c r="G1034" s="41">
        <v>0</v>
      </c>
      <c r="H1034" s="41">
        <v>50000000</v>
      </c>
      <c r="I1034" s="41">
        <v>0</v>
      </c>
      <c r="J1034" s="41">
        <v>40000000</v>
      </c>
      <c r="K1034" s="41">
        <v>0</v>
      </c>
      <c r="L1034" s="41">
        <v>10000000</v>
      </c>
      <c r="M1034" s="41">
        <v>0</v>
      </c>
      <c r="N1034" s="41">
        <v>83741666.666666865</v>
      </c>
      <c r="O1034" s="41">
        <v>79166.666666666672</v>
      </c>
      <c r="P1034" s="41">
        <v>75000000</v>
      </c>
      <c r="Q1034" s="41">
        <v>0</v>
      </c>
      <c r="R1034" s="41">
        <v>50000000</v>
      </c>
      <c r="S1034" s="41">
        <v>0</v>
      </c>
      <c r="T1034" s="41">
        <v>35000000</v>
      </c>
      <c r="U1034" s="41">
        <v>0</v>
      </c>
      <c r="V1034" s="41">
        <v>463741666.66666692</v>
      </c>
      <c r="W1034" s="41">
        <v>79166.666666666672</v>
      </c>
      <c r="X1034" s="38">
        <f t="shared" si="90"/>
        <v>0.92748333333333388</v>
      </c>
      <c r="Y1034" s="39">
        <f t="shared" si="91"/>
        <v>1.5833333333333335E-4</v>
      </c>
      <c r="Z1034" s="39">
        <f t="shared" si="95"/>
        <v>1.7074200882466586E-4</v>
      </c>
      <c r="AA1034" s="41">
        <f t="shared" si="92"/>
        <v>36258333.333333075</v>
      </c>
      <c r="AB1034" s="39">
        <f t="shared" si="93"/>
        <v>2.1834061135371334E-3</v>
      </c>
      <c r="AC1034" s="38">
        <f t="shared" si="94"/>
        <v>0.19293018071126913</v>
      </c>
      <c r="AD1034" s="3"/>
    </row>
    <row r="1035" spans="1:30" x14ac:dyDescent="0.25">
      <c r="A1035" s="37">
        <v>46671</v>
      </c>
      <c r="B1035" s="41">
        <v>20000000</v>
      </c>
      <c r="C1035" s="41">
        <v>0</v>
      </c>
      <c r="D1035" s="41">
        <v>50000000</v>
      </c>
      <c r="E1035" s="41">
        <v>0</v>
      </c>
      <c r="F1035" s="41">
        <v>50000000</v>
      </c>
      <c r="G1035" s="41">
        <v>0</v>
      </c>
      <c r="H1035" s="41">
        <v>50000000</v>
      </c>
      <c r="I1035" s="41">
        <v>0</v>
      </c>
      <c r="J1035" s="41">
        <v>40000000</v>
      </c>
      <c r="K1035" s="41">
        <v>0</v>
      </c>
      <c r="L1035" s="41">
        <v>10000000</v>
      </c>
      <c r="M1035" s="41">
        <v>0</v>
      </c>
      <c r="N1035" s="41">
        <v>83820833.333333537</v>
      </c>
      <c r="O1035" s="41">
        <v>79166.666666666672</v>
      </c>
      <c r="P1035" s="41">
        <v>75000000</v>
      </c>
      <c r="Q1035" s="41">
        <v>0</v>
      </c>
      <c r="R1035" s="41">
        <v>50000000</v>
      </c>
      <c r="S1035" s="41">
        <v>0</v>
      </c>
      <c r="T1035" s="41">
        <v>35000000</v>
      </c>
      <c r="U1035" s="41">
        <v>0</v>
      </c>
      <c r="V1035" s="41">
        <v>463820833.33333361</v>
      </c>
      <c r="W1035" s="41">
        <v>79166.666666666672</v>
      </c>
      <c r="X1035" s="38">
        <f t="shared" si="90"/>
        <v>0.92764166666666725</v>
      </c>
      <c r="Y1035" s="39">
        <f t="shared" si="91"/>
        <v>1.5833333333333335E-4</v>
      </c>
      <c r="Z1035" s="39">
        <f t="shared" si="95"/>
        <v>1.70712860967852E-4</v>
      </c>
      <c r="AA1035" s="41">
        <f t="shared" si="92"/>
        <v>36179166.666666389</v>
      </c>
      <c r="AB1035" s="39">
        <f t="shared" si="93"/>
        <v>2.1881838074398418E-3</v>
      </c>
      <c r="AC1035" s="38">
        <f t="shared" si="94"/>
        <v>0.1928908987644265</v>
      </c>
      <c r="AD1035" s="3"/>
    </row>
    <row r="1036" spans="1:30" x14ac:dyDescent="0.25">
      <c r="A1036" s="37">
        <v>46672</v>
      </c>
      <c r="B1036" s="41">
        <v>20000000</v>
      </c>
      <c r="C1036" s="41">
        <v>0</v>
      </c>
      <c r="D1036" s="41">
        <v>50000000</v>
      </c>
      <c r="E1036" s="41">
        <v>0</v>
      </c>
      <c r="F1036" s="41">
        <v>50000000</v>
      </c>
      <c r="G1036" s="41">
        <v>0</v>
      </c>
      <c r="H1036" s="41">
        <v>50000000</v>
      </c>
      <c r="I1036" s="41">
        <v>0</v>
      </c>
      <c r="J1036" s="41">
        <v>40000000</v>
      </c>
      <c r="K1036" s="41">
        <v>0</v>
      </c>
      <c r="L1036" s="41">
        <v>10000000</v>
      </c>
      <c r="M1036" s="41">
        <v>0</v>
      </c>
      <c r="N1036" s="41">
        <v>83900000.000000209</v>
      </c>
      <c r="O1036" s="41">
        <v>79166.666666666672</v>
      </c>
      <c r="P1036" s="41">
        <v>75000000</v>
      </c>
      <c r="Q1036" s="41">
        <v>0</v>
      </c>
      <c r="R1036" s="41">
        <v>50000000</v>
      </c>
      <c r="S1036" s="41">
        <v>0</v>
      </c>
      <c r="T1036" s="41">
        <v>35000000</v>
      </c>
      <c r="U1036" s="41">
        <v>0</v>
      </c>
      <c r="V1036" s="41">
        <v>463900000.00000018</v>
      </c>
      <c r="W1036" s="41">
        <v>79166.666666666672</v>
      </c>
      <c r="X1036" s="38">
        <f t="shared" si="90"/>
        <v>0.9278000000000004</v>
      </c>
      <c r="Y1036" s="39">
        <f t="shared" si="91"/>
        <v>1.5833333333333335E-4</v>
      </c>
      <c r="Z1036" s="39">
        <f t="shared" si="95"/>
        <v>1.7068372306116756E-4</v>
      </c>
      <c r="AA1036" s="41">
        <f t="shared" si="92"/>
        <v>36099999.999999821</v>
      </c>
      <c r="AB1036" s="39">
        <f t="shared" si="93"/>
        <v>2.192982456140362E-3</v>
      </c>
      <c r="AC1036" s="38">
        <f t="shared" si="94"/>
        <v>0.19285163281049103</v>
      </c>
      <c r="AD1036" s="3"/>
    </row>
    <row r="1037" spans="1:30" x14ac:dyDescent="0.25">
      <c r="A1037" s="37">
        <v>46673</v>
      </c>
      <c r="B1037" s="41">
        <v>20000000</v>
      </c>
      <c r="C1037" s="41">
        <v>0</v>
      </c>
      <c r="D1037" s="41">
        <v>50000000</v>
      </c>
      <c r="E1037" s="41">
        <v>0</v>
      </c>
      <c r="F1037" s="41">
        <v>50000000</v>
      </c>
      <c r="G1037" s="41">
        <v>0</v>
      </c>
      <c r="H1037" s="41">
        <v>50000000</v>
      </c>
      <c r="I1037" s="41">
        <v>0</v>
      </c>
      <c r="J1037" s="41">
        <v>40000000</v>
      </c>
      <c r="K1037" s="41">
        <v>0</v>
      </c>
      <c r="L1037" s="41">
        <v>10000000</v>
      </c>
      <c r="M1037" s="41">
        <v>0</v>
      </c>
      <c r="N1037" s="41">
        <v>83979166.66666688</v>
      </c>
      <c r="O1037" s="41">
        <v>79166.666666666672</v>
      </c>
      <c r="P1037" s="41">
        <v>75000000</v>
      </c>
      <c r="Q1037" s="41">
        <v>0</v>
      </c>
      <c r="R1037" s="41">
        <v>50000000</v>
      </c>
      <c r="S1037" s="41">
        <v>0</v>
      </c>
      <c r="T1037" s="41">
        <v>35000000</v>
      </c>
      <c r="U1037" s="41">
        <v>0</v>
      </c>
      <c r="V1037" s="41">
        <v>463979166.66666692</v>
      </c>
      <c r="W1037" s="41">
        <v>79166.666666666672</v>
      </c>
      <c r="X1037" s="38">
        <f t="shared" si="90"/>
        <v>0.92795833333333388</v>
      </c>
      <c r="Y1037" s="39">
        <f t="shared" si="91"/>
        <v>1.5833333333333335E-4</v>
      </c>
      <c r="Z1037" s="39">
        <f t="shared" si="95"/>
        <v>1.7065459509951853E-4</v>
      </c>
      <c r="AA1037" s="41">
        <f t="shared" si="92"/>
        <v>36020833.333333075</v>
      </c>
      <c r="AB1037" s="39">
        <f t="shared" si="93"/>
        <v>2.1978021978022138E-3</v>
      </c>
      <c r="AC1037" s="38">
        <f t="shared" si="94"/>
        <v>0.19281238283969779</v>
      </c>
      <c r="AD1037" s="3"/>
    </row>
    <row r="1038" spans="1:30" x14ac:dyDescent="0.25">
      <c r="A1038" s="37">
        <v>46674</v>
      </c>
      <c r="B1038" s="41">
        <v>20000000</v>
      </c>
      <c r="C1038" s="41">
        <v>0</v>
      </c>
      <c r="D1038" s="41">
        <v>50000000</v>
      </c>
      <c r="E1038" s="41">
        <v>0</v>
      </c>
      <c r="F1038" s="41">
        <v>50000000</v>
      </c>
      <c r="G1038" s="41">
        <v>0</v>
      </c>
      <c r="H1038" s="41">
        <v>50000000</v>
      </c>
      <c r="I1038" s="41">
        <v>0</v>
      </c>
      <c r="J1038" s="41">
        <v>40000000</v>
      </c>
      <c r="K1038" s="41">
        <v>0</v>
      </c>
      <c r="L1038" s="41">
        <v>10000000</v>
      </c>
      <c r="M1038" s="41">
        <v>0</v>
      </c>
      <c r="N1038" s="41">
        <v>84058333.333333552</v>
      </c>
      <c r="O1038" s="41">
        <v>79166.666666666672</v>
      </c>
      <c r="P1038" s="41">
        <v>75000000</v>
      </c>
      <c r="Q1038" s="41">
        <v>0</v>
      </c>
      <c r="R1038" s="41">
        <v>50000000</v>
      </c>
      <c r="S1038" s="41">
        <v>0</v>
      </c>
      <c r="T1038" s="41">
        <v>35000000</v>
      </c>
      <c r="U1038" s="41">
        <v>0</v>
      </c>
      <c r="V1038" s="41">
        <v>464058333.33333361</v>
      </c>
      <c r="W1038" s="41">
        <v>79166.666666666672</v>
      </c>
      <c r="X1038" s="38">
        <f t="shared" si="90"/>
        <v>0.92811666666666726</v>
      </c>
      <c r="Y1038" s="39">
        <f t="shared" si="91"/>
        <v>1.5833333333333335E-4</v>
      </c>
      <c r="Z1038" s="39">
        <f t="shared" si="95"/>
        <v>1.7062547707781412E-4</v>
      </c>
      <c r="AA1038" s="41">
        <f t="shared" si="92"/>
        <v>35941666.666666389</v>
      </c>
      <c r="AB1038" s="39">
        <f t="shared" si="93"/>
        <v>2.2026431718061845E-3</v>
      </c>
      <c r="AC1038" s="38">
        <f t="shared" si="94"/>
        <v>0.19277314884229002</v>
      </c>
      <c r="AD1038" s="3"/>
    </row>
    <row r="1039" spans="1:30" x14ac:dyDescent="0.25">
      <c r="A1039" s="37">
        <v>46675</v>
      </c>
      <c r="B1039" s="41">
        <v>20000000</v>
      </c>
      <c r="C1039" s="41">
        <v>0</v>
      </c>
      <c r="D1039" s="41">
        <v>50000000</v>
      </c>
      <c r="E1039" s="41">
        <v>0</v>
      </c>
      <c r="F1039" s="41">
        <v>50000000</v>
      </c>
      <c r="G1039" s="41">
        <v>0</v>
      </c>
      <c r="H1039" s="41">
        <v>50000000</v>
      </c>
      <c r="I1039" s="41">
        <v>0</v>
      </c>
      <c r="J1039" s="41">
        <v>40000000</v>
      </c>
      <c r="K1039" s="41">
        <v>0</v>
      </c>
      <c r="L1039" s="41">
        <v>10000000</v>
      </c>
      <c r="M1039" s="41">
        <v>0</v>
      </c>
      <c r="N1039" s="41">
        <v>84137500.000000224</v>
      </c>
      <c r="O1039" s="41">
        <v>79166.666666666672</v>
      </c>
      <c r="P1039" s="41">
        <v>75000000</v>
      </c>
      <c r="Q1039" s="41">
        <v>0</v>
      </c>
      <c r="R1039" s="41">
        <v>50000000</v>
      </c>
      <c r="S1039" s="41">
        <v>0</v>
      </c>
      <c r="T1039" s="41">
        <v>35000000</v>
      </c>
      <c r="U1039" s="41">
        <v>0</v>
      </c>
      <c r="V1039" s="41">
        <v>464137500.00000018</v>
      </c>
      <c r="W1039" s="41">
        <v>79166.666666666672</v>
      </c>
      <c r="X1039" s="38">
        <f t="shared" si="90"/>
        <v>0.92827500000000041</v>
      </c>
      <c r="Y1039" s="39">
        <f t="shared" si="91"/>
        <v>1.5833333333333335E-4</v>
      </c>
      <c r="Z1039" s="39">
        <f t="shared" si="95"/>
        <v>1.7059636899096728E-4</v>
      </c>
      <c r="AA1039" s="41">
        <f t="shared" si="92"/>
        <v>35862499.999999821</v>
      </c>
      <c r="AB1039" s="39">
        <f t="shared" si="93"/>
        <v>2.2075055187638082E-3</v>
      </c>
      <c r="AC1039" s="38">
        <f t="shared" si="94"/>
        <v>0.19273393080851875</v>
      </c>
      <c r="AD1039" s="3"/>
    </row>
    <row r="1040" spans="1:30" x14ac:dyDescent="0.25">
      <c r="A1040" s="37">
        <v>46676</v>
      </c>
      <c r="B1040" s="41">
        <v>20000000</v>
      </c>
      <c r="C1040" s="41">
        <v>0</v>
      </c>
      <c r="D1040" s="41">
        <v>50000000</v>
      </c>
      <c r="E1040" s="41">
        <v>0</v>
      </c>
      <c r="F1040" s="41">
        <v>50000000</v>
      </c>
      <c r="G1040" s="41">
        <v>0</v>
      </c>
      <c r="H1040" s="41">
        <v>50000000</v>
      </c>
      <c r="I1040" s="41">
        <v>0</v>
      </c>
      <c r="J1040" s="41">
        <v>40000000</v>
      </c>
      <c r="K1040" s="41">
        <v>0</v>
      </c>
      <c r="L1040" s="41">
        <v>10000000</v>
      </c>
      <c r="M1040" s="41">
        <v>0</v>
      </c>
      <c r="N1040" s="41">
        <v>84216666.666666895</v>
      </c>
      <c r="O1040" s="41">
        <v>79166.666666666672</v>
      </c>
      <c r="P1040" s="41">
        <v>75000000</v>
      </c>
      <c r="Q1040" s="41">
        <v>0</v>
      </c>
      <c r="R1040" s="41">
        <v>50000000</v>
      </c>
      <c r="S1040" s="41">
        <v>0</v>
      </c>
      <c r="T1040" s="41">
        <v>35000000</v>
      </c>
      <c r="U1040" s="41">
        <v>0</v>
      </c>
      <c r="V1040" s="41">
        <v>464216666.66666692</v>
      </c>
      <c r="W1040" s="41">
        <v>79166.666666666672</v>
      </c>
      <c r="X1040" s="38">
        <f t="shared" si="90"/>
        <v>0.92843333333333389</v>
      </c>
      <c r="Y1040" s="39">
        <f t="shared" si="91"/>
        <v>1.5833333333333335E-4</v>
      </c>
      <c r="Z1040" s="39">
        <f t="shared" si="95"/>
        <v>1.7056727083389434E-4</v>
      </c>
      <c r="AA1040" s="41">
        <f t="shared" si="92"/>
        <v>35783333.333333075</v>
      </c>
      <c r="AB1040" s="39">
        <f t="shared" si="93"/>
        <v>2.2123893805309895E-3</v>
      </c>
      <c r="AC1040" s="38">
        <f t="shared" si="94"/>
        <v>0.19269472872864288</v>
      </c>
      <c r="AD1040" s="3"/>
    </row>
    <row r="1041" spans="1:30" x14ac:dyDescent="0.25">
      <c r="A1041" s="37">
        <v>46677</v>
      </c>
      <c r="B1041" s="41">
        <v>20000000</v>
      </c>
      <c r="C1041" s="41">
        <v>0</v>
      </c>
      <c r="D1041" s="41">
        <v>50000000</v>
      </c>
      <c r="E1041" s="41">
        <v>0</v>
      </c>
      <c r="F1041" s="41">
        <v>50000000</v>
      </c>
      <c r="G1041" s="41">
        <v>0</v>
      </c>
      <c r="H1041" s="41">
        <v>50000000</v>
      </c>
      <c r="I1041" s="41">
        <v>0</v>
      </c>
      <c r="J1041" s="41">
        <v>40000000</v>
      </c>
      <c r="K1041" s="41">
        <v>0</v>
      </c>
      <c r="L1041" s="41">
        <v>10000000</v>
      </c>
      <c r="M1041" s="41">
        <v>0</v>
      </c>
      <c r="N1041" s="41">
        <v>84295833.333333567</v>
      </c>
      <c r="O1041" s="41">
        <v>79166.666666666672</v>
      </c>
      <c r="P1041" s="41">
        <v>75000000</v>
      </c>
      <c r="Q1041" s="41">
        <v>0</v>
      </c>
      <c r="R1041" s="41">
        <v>50000000</v>
      </c>
      <c r="S1041" s="41">
        <v>0</v>
      </c>
      <c r="T1041" s="41">
        <v>35000000</v>
      </c>
      <c r="U1041" s="41">
        <v>0</v>
      </c>
      <c r="V1041" s="41">
        <v>464295833.33333361</v>
      </c>
      <c r="W1041" s="41">
        <v>79166.666666666672</v>
      </c>
      <c r="X1041" s="38">
        <f t="shared" si="90"/>
        <v>0.92859166666666726</v>
      </c>
      <c r="Y1041" s="39">
        <f t="shared" si="91"/>
        <v>1.5833333333333335E-4</v>
      </c>
      <c r="Z1041" s="39">
        <f t="shared" si="95"/>
        <v>1.7053818260151502E-4</v>
      </c>
      <c r="AA1041" s="41">
        <f t="shared" si="92"/>
        <v>35704166.666666389</v>
      </c>
      <c r="AB1041" s="39">
        <f t="shared" si="93"/>
        <v>2.2172949002217468E-3</v>
      </c>
      <c r="AC1041" s="38">
        <f t="shared" si="94"/>
        <v>0.19265554259292941</v>
      </c>
      <c r="AD1041" s="3"/>
    </row>
    <row r="1042" spans="1:30" x14ac:dyDescent="0.25">
      <c r="A1042" s="37">
        <v>46678</v>
      </c>
      <c r="B1042" s="41">
        <v>20000000</v>
      </c>
      <c r="C1042" s="41">
        <v>0</v>
      </c>
      <c r="D1042" s="41">
        <v>50000000</v>
      </c>
      <c r="E1042" s="41">
        <v>0</v>
      </c>
      <c r="F1042" s="41">
        <v>50000000</v>
      </c>
      <c r="G1042" s="41">
        <v>0</v>
      </c>
      <c r="H1042" s="41">
        <v>50000000</v>
      </c>
      <c r="I1042" s="41">
        <v>0</v>
      </c>
      <c r="J1042" s="41">
        <v>40000000</v>
      </c>
      <c r="K1042" s="41">
        <v>0</v>
      </c>
      <c r="L1042" s="41">
        <v>10000000</v>
      </c>
      <c r="M1042" s="41">
        <v>0</v>
      </c>
      <c r="N1042" s="41">
        <v>84375000.000000238</v>
      </c>
      <c r="O1042" s="41">
        <v>79166.666666666672</v>
      </c>
      <c r="P1042" s="41">
        <v>75000000</v>
      </c>
      <c r="Q1042" s="41">
        <v>0</v>
      </c>
      <c r="R1042" s="41">
        <v>50000000</v>
      </c>
      <c r="S1042" s="41">
        <v>0</v>
      </c>
      <c r="T1042" s="41">
        <v>35000000</v>
      </c>
      <c r="U1042" s="41">
        <v>0</v>
      </c>
      <c r="V1042" s="41">
        <v>464375000.00000018</v>
      </c>
      <c r="W1042" s="41">
        <v>79166.666666666672</v>
      </c>
      <c r="X1042" s="38">
        <f t="shared" si="90"/>
        <v>0.92875000000000041</v>
      </c>
      <c r="Y1042" s="39">
        <f t="shared" si="91"/>
        <v>1.5833333333333335E-4</v>
      </c>
      <c r="Z1042" s="39">
        <f t="shared" si="95"/>
        <v>1.7050910428875258E-4</v>
      </c>
      <c r="AA1042" s="41">
        <f t="shared" si="92"/>
        <v>35624999.999999821</v>
      </c>
      <c r="AB1042" s="39">
        <f t="shared" si="93"/>
        <v>2.2222222222222335E-3</v>
      </c>
      <c r="AC1042" s="38">
        <f t="shared" si="94"/>
        <v>0.19261637239165319</v>
      </c>
      <c r="AD1042" s="3"/>
    </row>
    <row r="1043" spans="1:30" x14ac:dyDescent="0.25">
      <c r="A1043" s="37">
        <v>46679</v>
      </c>
      <c r="B1043" s="41">
        <v>20000000</v>
      </c>
      <c r="C1043" s="41">
        <v>0</v>
      </c>
      <c r="D1043" s="41">
        <v>50000000</v>
      </c>
      <c r="E1043" s="41">
        <v>0</v>
      </c>
      <c r="F1043" s="41">
        <v>50000000</v>
      </c>
      <c r="G1043" s="41">
        <v>0</v>
      </c>
      <c r="H1043" s="41">
        <v>50000000</v>
      </c>
      <c r="I1043" s="41">
        <v>0</v>
      </c>
      <c r="J1043" s="41">
        <v>40000000</v>
      </c>
      <c r="K1043" s="41">
        <v>0</v>
      </c>
      <c r="L1043" s="41">
        <v>10000000</v>
      </c>
      <c r="M1043" s="41">
        <v>0</v>
      </c>
      <c r="N1043" s="41">
        <v>84454166.66666691</v>
      </c>
      <c r="O1043" s="41">
        <v>79166.666666666672</v>
      </c>
      <c r="P1043" s="41">
        <v>75000000</v>
      </c>
      <c r="Q1043" s="41">
        <v>0</v>
      </c>
      <c r="R1043" s="41">
        <v>50000000</v>
      </c>
      <c r="S1043" s="41">
        <v>0</v>
      </c>
      <c r="T1043" s="41">
        <v>35000000</v>
      </c>
      <c r="U1043" s="41">
        <v>0</v>
      </c>
      <c r="V1043" s="41">
        <v>464454166.66666692</v>
      </c>
      <c r="W1043" s="41">
        <v>79166.666666666672</v>
      </c>
      <c r="X1043" s="38">
        <f t="shared" si="90"/>
        <v>0.92890833333333389</v>
      </c>
      <c r="Y1043" s="39">
        <f t="shared" si="91"/>
        <v>1.5833333333333335E-4</v>
      </c>
      <c r="Z1043" s="39">
        <f t="shared" si="95"/>
        <v>1.7048003589053383E-4</v>
      </c>
      <c r="AA1043" s="41">
        <f t="shared" si="92"/>
        <v>35545833.333333075</v>
      </c>
      <c r="AB1043" s="39">
        <f t="shared" si="93"/>
        <v>2.2271714922049162E-3</v>
      </c>
      <c r="AC1043" s="38">
        <f t="shared" si="94"/>
        <v>0.19257721811509684</v>
      </c>
      <c r="AD1043" s="3"/>
    </row>
    <row r="1044" spans="1:30" x14ac:dyDescent="0.25">
      <c r="A1044" s="37">
        <v>46680</v>
      </c>
      <c r="B1044" s="41">
        <v>20000000</v>
      </c>
      <c r="C1044" s="41">
        <v>0</v>
      </c>
      <c r="D1044" s="41">
        <v>50000000</v>
      </c>
      <c r="E1044" s="41">
        <v>0</v>
      </c>
      <c r="F1044" s="41">
        <v>50000000</v>
      </c>
      <c r="G1044" s="41">
        <v>0</v>
      </c>
      <c r="H1044" s="41">
        <v>50000000</v>
      </c>
      <c r="I1044" s="41">
        <v>0</v>
      </c>
      <c r="J1044" s="41">
        <v>40000000</v>
      </c>
      <c r="K1044" s="41">
        <v>0</v>
      </c>
      <c r="L1044" s="41">
        <v>10000000</v>
      </c>
      <c r="M1044" s="41">
        <v>0</v>
      </c>
      <c r="N1044" s="41">
        <v>84533333.333333582</v>
      </c>
      <c r="O1044" s="41">
        <v>79166.666666666672</v>
      </c>
      <c r="P1044" s="41">
        <v>75000000</v>
      </c>
      <c r="Q1044" s="41">
        <v>0</v>
      </c>
      <c r="R1044" s="41">
        <v>50000000</v>
      </c>
      <c r="S1044" s="41">
        <v>0</v>
      </c>
      <c r="T1044" s="41">
        <v>35000000</v>
      </c>
      <c r="U1044" s="41">
        <v>0</v>
      </c>
      <c r="V1044" s="41">
        <v>464533333.33333361</v>
      </c>
      <c r="W1044" s="41">
        <v>79166.666666666672</v>
      </c>
      <c r="X1044" s="38">
        <f t="shared" si="90"/>
        <v>0.92906666666666726</v>
      </c>
      <c r="Y1044" s="39">
        <f t="shared" si="91"/>
        <v>1.5833333333333335E-4</v>
      </c>
      <c r="Z1044" s="39">
        <f t="shared" si="95"/>
        <v>1.7045097740178876E-4</v>
      </c>
      <c r="AA1044" s="41">
        <f t="shared" si="92"/>
        <v>35466666.666666389</v>
      </c>
      <c r="AB1044" s="39">
        <f t="shared" si="93"/>
        <v>2.2321428571428748E-3</v>
      </c>
      <c r="AC1044" s="38">
        <f t="shared" si="94"/>
        <v>0.19253807975355111</v>
      </c>
      <c r="AD1044" s="3"/>
    </row>
    <row r="1045" spans="1:30" x14ac:dyDescent="0.25">
      <c r="A1045" s="37">
        <v>46681</v>
      </c>
      <c r="B1045" s="41">
        <v>20000000</v>
      </c>
      <c r="C1045" s="41">
        <v>0</v>
      </c>
      <c r="D1045" s="41">
        <v>50000000</v>
      </c>
      <c r="E1045" s="41">
        <v>0</v>
      </c>
      <c r="F1045" s="41">
        <v>50000000</v>
      </c>
      <c r="G1045" s="41">
        <v>0</v>
      </c>
      <c r="H1045" s="41">
        <v>50000000</v>
      </c>
      <c r="I1045" s="41">
        <v>0</v>
      </c>
      <c r="J1045" s="41">
        <v>40000000</v>
      </c>
      <c r="K1045" s="41">
        <v>0</v>
      </c>
      <c r="L1045" s="41">
        <v>10000000</v>
      </c>
      <c r="M1045" s="41">
        <v>0</v>
      </c>
      <c r="N1045" s="41">
        <v>84612500.000000253</v>
      </c>
      <c r="O1045" s="41">
        <v>79166.666666666672</v>
      </c>
      <c r="P1045" s="41">
        <v>75000000</v>
      </c>
      <c r="Q1045" s="41">
        <v>0</v>
      </c>
      <c r="R1045" s="41">
        <v>50000000</v>
      </c>
      <c r="S1045" s="41">
        <v>0</v>
      </c>
      <c r="T1045" s="41">
        <v>35000000</v>
      </c>
      <c r="U1045" s="41">
        <v>0</v>
      </c>
      <c r="V1045" s="41">
        <v>464612500.00000018</v>
      </c>
      <c r="W1045" s="41">
        <v>79166.666666666672</v>
      </c>
      <c r="X1045" s="38">
        <f t="shared" si="90"/>
        <v>0.92922500000000041</v>
      </c>
      <c r="Y1045" s="39">
        <f t="shared" si="91"/>
        <v>1.5833333333333335E-4</v>
      </c>
      <c r="Z1045" s="39">
        <f t="shared" si="95"/>
        <v>1.7042192881745112E-4</v>
      </c>
      <c r="AA1045" s="41">
        <f t="shared" si="92"/>
        <v>35387499.999999821</v>
      </c>
      <c r="AB1045" s="39">
        <f t="shared" si="93"/>
        <v>2.237136465324396E-3</v>
      </c>
      <c r="AC1045" s="38">
        <f t="shared" si="94"/>
        <v>0.19249895729731456</v>
      </c>
      <c r="AD1045" s="3"/>
    </row>
    <row r="1046" spans="1:30" x14ac:dyDescent="0.25">
      <c r="A1046" s="37">
        <v>46682</v>
      </c>
      <c r="B1046" s="41">
        <v>20000000</v>
      </c>
      <c r="C1046" s="41">
        <v>0</v>
      </c>
      <c r="D1046" s="41">
        <v>50000000</v>
      </c>
      <c r="E1046" s="41">
        <v>0</v>
      </c>
      <c r="F1046" s="41">
        <v>50000000</v>
      </c>
      <c r="G1046" s="41">
        <v>0</v>
      </c>
      <c r="H1046" s="41">
        <v>50000000</v>
      </c>
      <c r="I1046" s="41">
        <v>0</v>
      </c>
      <c r="J1046" s="41">
        <v>40000000</v>
      </c>
      <c r="K1046" s="41">
        <v>0</v>
      </c>
      <c r="L1046" s="41">
        <v>10000000</v>
      </c>
      <c r="M1046" s="41">
        <v>0</v>
      </c>
      <c r="N1046" s="41">
        <v>84691666.666666925</v>
      </c>
      <c r="O1046" s="41">
        <v>79166.666666666672</v>
      </c>
      <c r="P1046" s="41">
        <v>75000000</v>
      </c>
      <c r="Q1046" s="41">
        <v>0</v>
      </c>
      <c r="R1046" s="41">
        <v>50000000</v>
      </c>
      <c r="S1046" s="41">
        <v>0</v>
      </c>
      <c r="T1046" s="41">
        <v>35000000</v>
      </c>
      <c r="U1046" s="41">
        <v>0</v>
      </c>
      <c r="V1046" s="41">
        <v>464691666.66666692</v>
      </c>
      <c r="W1046" s="41">
        <v>79166.666666666672</v>
      </c>
      <c r="X1046" s="38">
        <f t="shared" si="90"/>
        <v>0.92938333333333389</v>
      </c>
      <c r="Y1046" s="39">
        <f t="shared" si="91"/>
        <v>1.5833333333333335E-4</v>
      </c>
      <c r="Z1046" s="39">
        <f t="shared" si="95"/>
        <v>1.7039289013245801E-4</v>
      </c>
      <c r="AA1046" s="41">
        <f t="shared" si="92"/>
        <v>35308333.333333075</v>
      </c>
      <c r="AB1046" s="39">
        <f t="shared" si="93"/>
        <v>2.2421524663677295E-3</v>
      </c>
      <c r="AC1046" s="38">
        <f t="shared" si="94"/>
        <v>0.19245985073669342</v>
      </c>
      <c r="AD1046" s="3"/>
    </row>
    <row r="1047" spans="1:30" x14ac:dyDescent="0.25">
      <c r="A1047" s="37">
        <v>46683</v>
      </c>
      <c r="B1047" s="41">
        <v>20000000</v>
      </c>
      <c r="C1047" s="41">
        <v>0</v>
      </c>
      <c r="D1047" s="41">
        <v>50000000</v>
      </c>
      <c r="E1047" s="41">
        <v>0</v>
      </c>
      <c r="F1047" s="41">
        <v>50000000</v>
      </c>
      <c r="G1047" s="41">
        <v>0</v>
      </c>
      <c r="H1047" s="41">
        <v>50000000</v>
      </c>
      <c r="I1047" s="41">
        <v>0</v>
      </c>
      <c r="J1047" s="41">
        <v>40000000</v>
      </c>
      <c r="K1047" s="41">
        <v>0</v>
      </c>
      <c r="L1047" s="41">
        <v>10000000</v>
      </c>
      <c r="M1047" s="41">
        <v>0</v>
      </c>
      <c r="N1047" s="41">
        <v>84770833.333333597</v>
      </c>
      <c r="O1047" s="41">
        <v>79166.666666666672</v>
      </c>
      <c r="P1047" s="41">
        <v>75000000</v>
      </c>
      <c r="Q1047" s="41">
        <v>0</v>
      </c>
      <c r="R1047" s="41">
        <v>50000000</v>
      </c>
      <c r="S1047" s="41">
        <v>0</v>
      </c>
      <c r="T1047" s="41">
        <v>35000000</v>
      </c>
      <c r="U1047" s="41">
        <v>0</v>
      </c>
      <c r="V1047" s="41">
        <v>464770833.33333361</v>
      </c>
      <c r="W1047" s="41">
        <v>79166.666666666672</v>
      </c>
      <c r="X1047" s="38">
        <f t="shared" ref="X1047:X1110" si="96">V1047/$B$6</f>
        <v>0.92954166666666727</v>
      </c>
      <c r="Y1047" s="39">
        <f t="shared" ref="Y1047:Y1110" si="97">W1047/$B$6</f>
        <v>1.5833333333333335E-4</v>
      </c>
      <c r="Z1047" s="39">
        <f t="shared" si="95"/>
        <v>1.7036386134174983E-4</v>
      </c>
      <c r="AA1047" s="41">
        <f t="shared" ref="AA1047:AA1110" si="98">$B$6-V1047</f>
        <v>35229166.666666389</v>
      </c>
      <c r="AB1047" s="39">
        <f t="shared" ref="AB1047:AB1110" si="99">W1047/AA1047</f>
        <v>2.247191011235973E-3</v>
      </c>
      <c r="AC1047" s="38">
        <f t="shared" ref="AC1047:AC1110" si="100" xml:space="preserve"> P1047/(V1047-P1047)</f>
        <v>0.19242076006200209</v>
      </c>
      <c r="AD1047" s="3"/>
    </row>
    <row r="1048" spans="1:30" x14ac:dyDescent="0.25">
      <c r="A1048" s="37">
        <v>46684</v>
      </c>
      <c r="B1048" s="41">
        <v>20000000</v>
      </c>
      <c r="C1048" s="41">
        <v>0</v>
      </c>
      <c r="D1048" s="41">
        <v>50000000</v>
      </c>
      <c r="E1048" s="41">
        <v>0</v>
      </c>
      <c r="F1048" s="41">
        <v>50000000</v>
      </c>
      <c r="G1048" s="41">
        <v>0</v>
      </c>
      <c r="H1048" s="41">
        <v>50000000</v>
      </c>
      <c r="I1048" s="41">
        <v>0</v>
      </c>
      <c r="J1048" s="41">
        <v>40000000</v>
      </c>
      <c r="K1048" s="41">
        <v>0</v>
      </c>
      <c r="L1048" s="41">
        <v>10000000</v>
      </c>
      <c r="M1048" s="41">
        <v>0</v>
      </c>
      <c r="N1048" s="41">
        <v>84850000.000000268</v>
      </c>
      <c r="O1048" s="41">
        <v>79166.666666666672</v>
      </c>
      <c r="P1048" s="41">
        <v>75000000</v>
      </c>
      <c r="Q1048" s="41">
        <v>0</v>
      </c>
      <c r="R1048" s="41">
        <v>50000000</v>
      </c>
      <c r="S1048" s="41">
        <v>0</v>
      </c>
      <c r="T1048" s="41">
        <v>35000000</v>
      </c>
      <c r="U1048" s="41">
        <v>0</v>
      </c>
      <c r="V1048" s="41">
        <v>464850000.00000018</v>
      </c>
      <c r="W1048" s="41">
        <v>79166.666666666672</v>
      </c>
      <c r="X1048" s="38">
        <f t="shared" si="96"/>
        <v>0.9297000000000003</v>
      </c>
      <c r="Y1048" s="39">
        <f t="shared" si="97"/>
        <v>1.5833333333333335E-4</v>
      </c>
      <c r="Z1048" s="39">
        <f t="shared" ref="Z1048:Z1111" si="101">W1048/V1047</f>
        <v>1.7033484244027066E-4</v>
      </c>
      <c r="AA1048" s="41">
        <f t="shared" si="98"/>
        <v>35149999.999999821</v>
      </c>
      <c r="AB1048" s="39">
        <f t="shared" si="99"/>
        <v>2.2522522522522639E-3</v>
      </c>
      <c r="AC1048" s="38">
        <f t="shared" si="100"/>
        <v>0.19238168526356281</v>
      </c>
      <c r="AD1048" s="3"/>
    </row>
    <row r="1049" spans="1:30" x14ac:dyDescent="0.25">
      <c r="A1049" s="37">
        <v>46685</v>
      </c>
      <c r="B1049" s="41">
        <v>20000000</v>
      </c>
      <c r="C1049" s="41">
        <v>0</v>
      </c>
      <c r="D1049" s="41">
        <v>50000000</v>
      </c>
      <c r="E1049" s="41">
        <v>0</v>
      </c>
      <c r="F1049" s="41">
        <v>50000000</v>
      </c>
      <c r="G1049" s="41">
        <v>0</v>
      </c>
      <c r="H1049" s="41">
        <v>50000000</v>
      </c>
      <c r="I1049" s="41">
        <v>0</v>
      </c>
      <c r="J1049" s="41">
        <v>40000000</v>
      </c>
      <c r="K1049" s="41">
        <v>0</v>
      </c>
      <c r="L1049" s="41">
        <v>10000000</v>
      </c>
      <c r="M1049" s="41">
        <v>0</v>
      </c>
      <c r="N1049" s="41">
        <v>84929166.66666694</v>
      </c>
      <c r="O1049" s="41">
        <v>79166.666666666672</v>
      </c>
      <c r="P1049" s="41">
        <v>75000000</v>
      </c>
      <c r="Q1049" s="41">
        <v>0</v>
      </c>
      <c r="R1049" s="41">
        <v>50000000</v>
      </c>
      <c r="S1049" s="41">
        <v>0</v>
      </c>
      <c r="T1049" s="41">
        <v>35000000</v>
      </c>
      <c r="U1049" s="41">
        <v>0</v>
      </c>
      <c r="V1049" s="41">
        <v>464929166.66666692</v>
      </c>
      <c r="W1049" s="41">
        <v>79166.666666666672</v>
      </c>
      <c r="X1049" s="38">
        <f t="shared" si="96"/>
        <v>0.9298583333333339</v>
      </c>
      <c r="Y1049" s="39">
        <f t="shared" si="97"/>
        <v>1.5833333333333335E-4</v>
      </c>
      <c r="Z1049" s="39">
        <f t="shared" si="101"/>
        <v>1.7030583342296792E-4</v>
      </c>
      <c r="AA1049" s="41">
        <f t="shared" si="98"/>
        <v>35070833.333333075</v>
      </c>
      <c r="AB1049" s="39">
        <f t="shared" si="99"/>
        <v>2.2573363431151409E-3</v>
      </c>
      <c r="AC1049" s="38">
        <f t="shared" si="100"/>
        <v>0.19234262633170543</v>
      </c>
      <c r="AD1049" s="3"/>
    </row>
    <row r="1050" spans="1:30" x14ac:dyDescent="0.25">
      <c r="A1050" s="37">
        <v>46686</v>
      </c>
      <c r="B1050" s="41">
        <v>20000000</v>
      </c>
      <c r="C1050" s="41">
        <v>0</v>
      </c>
      <c r="D1050" s="41">
        <v>50000000</v>
      </c>
      <c r="E1050" s="41">
        <v>0</v>
      </c>
      <c r="F1050" s="41">
        <v>50000000</v>
      </c>
      <c r="G1050" s="41">
        <v>0</v>
      </c>
      <c r="H1050" s="41">
        <v>50000000</v>
      </c>
      <c r="I1050" s="41">
        <v>0</v>
      </c>
      <c r="J1050" s="41">
        <v>40000000</v>
      </c>
      <c r="K1050" s="41">
        <v>0</v>
      </c>
      <c r="L1050" s="41">
        <v>10000000</v>
      </c>
      <c r="M1050" s="41">
        <v>0</v>
      </c>
      <c r="N1050" s="41">
        <v>85008333.333333611</v>
      </c>
      <c r="O1050" s="41">
        <v>79166.666666666672</v>
      </c>
      <c r="P1050" s="41">
        <v>75000000</v>
      </c>
      <c r="Q1050" s="41">
        <v>0</v>
      </c>
      <c r="R1050" s="41">
        <v>50000000</v>
      </c>
      <c r="S1050" s="41">
        <v>0</v>
      </c>
      <c r="T1050" s="41">
        <v>35000000</v>
      </c>
      <c r="U1050" s="41">
        <v>0</v>
      </c>
      <c r="V1050" s="41">
        <v>465008333.33333361</v>
      </c>
      <c r="W1050" s="41">
        <v>79166.666666666672</v>
      </c>
      <c r="X1050" s="38">
        <f t="shared" si="96"/>
        <v>0.93001666666666727</v>
      </c>
      <c r="Y1050" s="39">
        <f t="shared" si="97"/>
        <v>1.5833333333333335E-4</v>
      </c>
      <c r="Z1050" s="39">
        <f t="shared" si="101"/>
        <v>1.7027683428479239E-4</v>
      </c>
      <c r="AA1050" s="41">
        <f t="shared" si="98"/>
        <v>34991666.666666389</v>
      </c>
      <c r="AB1050" s="39">
        <f t="shared" si="99"/>
        <v>2.2624434389140451E-3</v>
      </c>
      <c r="AC1050" s="38">
        <f t="shared" si="100"/>
        <v>0.19230358325676788</v>
      </c>
      <c r="AD1050" s="3"/>
    </row>
    <row r="1051" spans="1:30" x14ac:dyDescent="0.25">
      <c r="A1051" s="37">
        <v>46687</v>
      </c>
      <c r="B1051" s="41">
        <v>20000000</v>
      </c>
      <c r="C1051" s="41">
        <v>0</v>
      </c>
      <c r="D1051" s="41">
        <v>50000000</v>
      </c>
      <c r="E1051" s="41">
        <v>0</v>
      </c>
      <c r="F1051" s="41">
        <v>50000000</v>
      </c>
      <c r="G1051" s="41">
        <v>0</v>
      </c>
      <c r="H1051" s="41">
        <v>50000000</v>
      </c>
      <c r="I1051" s="41">
        <v>0</v>
      </c>
      <c r="J1051" s="41">
        <v>40000000</v>
      </c>
      <c r="K1051" s="41">
        <v>0</v>
      </c>
      <c r="L1051" s="41">
        <v>10000000</v>
      </c>
      <c r="M1051" s="41">
        <v>0</v>
      </c>
      <c r="N1051" s="41">
        <v>85087500.000000283</v>
      </c>
      <c r="O1051" s="41">
        <v>79166.666666666672</v>
      </c>
      <c r="P1051" s="41">
        <v>75000000</v>
      </c>
      <c r="Q1051" s="41">
        <v>0</v>
      </c>
      <c r="R1051" s="41">
        <v>50000000</v>
      </c>
      <c r="S1051" s="41">
        <v>0</v>
      </c>
      <c r="T1051" s="41">
        <v>35000000</v>
      </c>
      <c r="U1051" s="41">
        <v>0</v>
      </c>
      <c r="V1051" s="41">
        <v>465087500.0000003</v>
      </c>
      <c r="W1051" s="41">
        <v>79166.666666666672</v>
      </c>
      <c r="X1051" s="38">
        <f t="shared" si="96"/>
        <v>0.93017500000000064</v>
      </c>
      <c r="Y1051" s="39">
        <f t="shared" si="97"/>
        <v>1.5833333333333335E-4</v>
      </c>
      <c r="Z1051" s="39">
        <f t="shared" si="101"/>
        <v>1.7024784502069846E-4</v>
      </c>
      <c r="AA1051" s="41">
        <f t="shared" si="98"/>
        <v>34912499.999999702</v>
      </c>
      <c r="AB1051" s="39">
        <f t="shared" si="99"/>
        <v>2.2675736961451443E-3</v>
      </c>
      <c r="AC1051" s="38">
        <f t="shared" si="100"/>
        <v>0.1922645560290959</v>
      </c>
      <c r="AD1051" s="3"/>
    </row>
    <row r="1052" spans="1:30" x14ac:dyDescent="0.25">
      <c r="A1052" s="37">
        <v>46688</v>
      </c>
      <c r="B1052" s="41">
        <v>20000000</v>
      </c>
      <c r="C1052" s="41">
        <v>0</v>
      </c>
      <c r="D1052" s="41">
        <v>50000000</v>
      </c>
      <c r="E1052" s="41">
        <v>0</v>
      </c>
      <c r="F1052" s="41">
        <v>50000000</v>
      </c>
      <c r="G1052" s="41">
        <v>0</v>
      </c>
      <c r="H1052" s="41">
        <v>50000000</v>
      </c>
      <c r="I1052" s="41">
        <v>0</v>
      </c>
      <c r="J1052" s="41">
        <v>40000000</v>
      </c>
      <c r="K1052" s="41">
        <v>0</v>
      </c>
      <c r="L1052" s="41">
        <v>10000000</v>
      </c>
      <c r="M1052" s="41">
        <v>0</v>
      </c>
      <c r="N1052" s="41">
        <v>85166666.666666955</v>
      </c>
      <c r="O1052" s="41">
        <v>79166.666666666672</v>
      </c>
      <c r="P1052" s="41">
        <v>75000000</v>
      </c>
      <c r="Q1052" s="41">
        <v>0</v>
      </c>
      <c r="R1052" s="41">
        <v>50000000</v>
      </c>
      <c r="S1052" s="41">
        <v>0</v>
      </c>
      <c r="T1052" s="41">
        <v>35000000</v>
      </c>
      <c r="U1052" s="41">
        <v>0</v>
      </c>
      <c r="V1052" s="41">
        <v>465166666.66666698</v>
      </c>
      <c r="W1052" s="41">
        <v>79166.666666666672</v>
      </c>
      <c r="X1052" s="38">
        <f t="shared" si="96"/>
        <v>0.93033333333333401</v>
      </c>
      <c r="Y1052" s="39">
        <f t="shared" si="97"/>
        <v>1.5833333333333335E-4</v>
      </c>
      <c r="Z1052" s="39">
        <f t="shared" si="101"/>
        <v>1.7021886562564381E-4</v>
      </c>
      <c r="AA1052" s="41">
        <f t="shared" si="98"/>
        <v>34833333.333333015</v>
      </c>
      <c r="AB1052" s="39">
        <f t="shared" si="99"/>
        <v>2.2727272727272934E-3</v>
      </c>
      <c r="AC1052" s="38">
        <f t="shared" si="100"/>
        <v>0.19222554463904298</v>
      </c>
      <c r="AD1052" s="3"/>
    </row>
    <row r="1053" spans="1:30" x14ac:dyDescent="0.25">
      <c r="A1053" s="37">
        <v>46689</v>
      </c>
      <c r="B1053" s="41">
        <v>20000000</v>
      </c>
      <c r="C1053" s="41">
        <v>0</v>
      </c>
      <c r="D1053" s="41">
        <v>50000000</v>
      </c>
      <c r="E1053" s="41">
        <v>0</v>
      </c>
      <c r="F1053" s="41">
        <v>50000000</v>
      </c>
      <c r="G1053" s="41">
        <v>0</v>
      </c>
      <c r="H1053" s="41">
        <v>50000000</v>
      </c>
      <c r="I1053" s="41">
        <v>0</v>
      </c>
      <c r="J1053" s="41">
        <v>40000000</v>
      </c>
      <c r="K1053" s="41">
        <v>0</v>
      </c>
      <c r="L1053" s="41">
        <v>10000000</v>
      </c>
      <c r="M1053" s="41">
        <v>0</v>
      </c>
      <c r="N1053" s="41">
        <v>85245833.333333626</v>
      </c>
      <c r="O1053" s="41">
        <v>79166.666666666672</v>
      </c>
      <c r="P1053" s="41">
        <v>75000000</v>
      </c>
      <c r="Q1053" s="41">
        <v>0</v>
      </c>
      <c r="R1053" s="41">
        <v>50000000</v>
      </c>
      <c r="S1053" s="41">
        <v>0</v>
      </c>
      <c r="T1053" s="41">
        <v>35000000</v>
      </c>
      <c r="U1053" s="41">
        <v>0</v>
      </c>
      <c r="V1053" s="41">
        <v>465245833.33333361</v>
      </c>
      <c r="W1053" s="41">
        <v>79166.666666666672</v>
      </c>
      <c r="X1053" s="38">
        <f t="shared" si="96"/>
        <v>0.93049166666666727</v>
      </c>
      <c r="Y1053" s="39">
        <f t="shared" si="97"/>
        <v>1.5833333333333335E-4</v>
      </c>
      <c r="Z1053" s="39">
        <f t="shared" si="101"/>
        <v>1.7018989609458965E-4</v>
      </c>
      <c r="AA1053" s="41">
        <f t="shared" si="98"/>
        <v>34754166.666666389</v>
      </c>
      <c r="AB1053" s="39">
        <f t="shared" si="99"/>
        <v>2.2779043280182418E-3</v>
      </c>
      <c r="AC1053" s="38">
        <f t="shared" si="100"/>
        <v>0.19218654907697058</v>
      </c>
      <c r="AD1053" s="3"/>
    </row>
    <row r="1054" spans="1:30" x14ac:dyDescent="0.25">
      <c r="A1054" s="37">
        <v>46690</v>
      </c>
      <c r="B1054" s="41">
        <v>20000000</v>
      </c>
      <c r="C1054" s="41">
        <v>0</v>
      </c>
      <c r="D1054" s="41">
        <v>50000000</v>
      </c>
      <c r="E1054" s="41">
        <v>0</v>
      </c>
      <c r="F1054" s="41">
        <v>50000000</v>
      </c>
      <c r="G1054" s="41">
        <v>0</v>
      </c>
      <c r="H1054" s="41">
        <v>50000000</v>
      </c>
      <c r="I1054" s="41">
        <v>0</v>
      </c>
      <c r="J1054" s="41">
        <v>40000000</v>
      </c>
      <c r="K1054" s="41">
        <v>0</v>
      </c>
      <c r="L1054" s="41">
        <v>10000000</v>
      </c>
      <c r="M1054" s="41">
        <v>0</v>
      </c>
      <c r="N1054" s="41">
        <v>85325000.000000298</v>
      </c>
      <c r="O1054" s="41">
        <v>79166.666666666672</v>
      </c>
      <c r="P1054" s="41">
        <v>75000000</v>
      </c>
      <c r="Q1054" s="41">
        <v>0</v>
      </c>
      <c r="R1054" s="41">
        <v>50000000</v>
      </c>
      <c r="S1054" s="41">
        <v>0</v>
      </c>
      <c r="T1054" s="41">
        <v>35000000</v>
      </c>
      <c r="U1054" s="41">
        <v>0</v>
      </c>
      <c r="V1054" s="41">
        <v>465325000.0000003</v>
      </c>
      <c r="W1054" s="41">
        <v>79166.666666666672</v>
      </c>
      <c r="X1054" s="38">
        <f t="shared" si="96"/>
        <v>0.93065000000000064</v>
      </c>
      <c r="Y1054" s="39">
        <f t="shared" si="97"/>
        <v>1.5833333333333335E-4</v>
      </c>
      <c r="Z1054" s="39">
        <f t="shared" si="101"/>
        <v>1.7016093642250056E-4</v>
      </c>
      <c r="AA1054" s="41">
        <f t="shared" si="98"/>
        <v>34674999.999999702</v>
      </c>
      <c r="AB1054" s="39">
        <f t="shared" si="99"/>
        <v>2.2831050228310701E-3</v>
      </c>
      <c r="AC1054" s="38">
        <f t="shared" si="100"/>
        <v>0.19214756933324778</v>
      </c>
      <c r="AD1054" s="3"/>
    </row>
    <row r="1055" spans="1:30" x14ac:dyDescent="0.25">
      <c r="A1055" s="37">
        <v>46691</v>
      </c>
      <c r="B1055" s="41">
        <v>20000000</v>
      </c>
      <c r="C1055" s="41">
        <v>0</v>
      </c>
      <c r="D1055" s="41">
        <v>50000000</v>
      </c>
      <c r="E1055" s="41">
        <v>0</v>
      </c>
      <c r="F1055" s="41">
        <v>50000000</v>
      </c>
      <c r="G1055" s="41">
        <v>0</v>
      </c>
      <c r="H1055" s="41">
        <v>50000000</v>
      </c>
      <c r="I1055" s="41">
        <v>0</v>
      </c>
      <c r="J1055" s="41">
        <v>40000000</v>
      </c>
      <c r="K1055" s="41">
        <v>0</v>
      </c>
      <c r="L1055" s="41">
        <v>10000000</v>
      </c>
      <c r="M1055" s="41">
        <v>0</v>
      </c>
      <c r="N1055" s="41">
        <v>85404166.66666697</v>
      </c>
      <c r="O1055" s="41">
        <v>79166.666666666672</v>
      </c>
      <c r="P1055" s="41">
        <v>75000000</v>
      </c>
      <c r="Q1055" s="41">
        <v>0</v>
      </c>
      <c r="R1055" s="41">
        <v>50000000</v>
      </c>
      <c r="S1055" s="41">
        <v>0</v>
      </c>
      <c r="T1055" s="41">
        <v>35000000</v>
      </c>
      <c r="U1055" s="41">
        <v>0</v>
      </c>
      <c r="V1055" s="41">
        <v>465404166.66666698</v>
      </c>
      <c r="W1055" s="41">
        <v>79166.666666666672</v>
      </c>
      <c r="X1055" s="38">
        <f t="shared" si="96"/>
        <v>0.93080833333333401</v>
      </c>
      <c r="Y1055" s="39">
        <f t="shared" si="97"/>
        <v>1.5833333333333335E-4</v>
      </c>
      <c r="Z1055" s="39">
        <f t="shared" si="101"/>
        <v>1.7013198660434454E-4</v>
      </c>
      <c r="AA1055" s="41">
        <f t="shared" si="98"/>
        <v>34595833.333333015</v>
      </c>
      <c r="AB1055" s="39">
        <f t="shared" si="99"/>
        <v>2.2883295194508222E-3</v>
      </c>
      <c r="AC1055" s="38">
        <f t="shared" si="100"/>
        <v>0.19210860539825164</v>
      </c>
      <c r="AD1055" s="3"/>
    </row>
    <row r="1056" spans="1:30" x14ac:dyDescent="0.25">
      <c r="A1056" s="37">
        <v>46692</v>
      </c>
      <c r="B1056" s="41">
        <v>20000000</v>
      </c>
      <c r="C1056" s="41">
        <v>0</v>
      </c>
      <c r="D1056" s="41">
        <v>50000000</v>
      </c>
      <c r="E1056" s="41">
        <v>0</v>
      </c>
      <c r="F1056" s="41">
        <v>50000000</v>
      </c>
      <c r="G1056" s="41">
        <v>0</v>
      </c>
      <c r="H1056" s="41">
        <v>50000000</v>
      </c>
      <c r="I1056" s="41">
        <v>0</v>
      </c>
      <c r="J1056" s="41">
        <v>40000000</v>
      </c>
      <c r="K1056" s="41">
        <v>0</v>
      </c>
      <c r="L1056" s="41">
        <v>10000000</v>
      </c>
      <c r="M1056" s="41">
        <v>0</v>
      </c>
      <c r="N1056" s="41">
        <v>85483333.333333641</v>
      </c>
      <c r="O1056" s="41">
        <v>79166.666666666672</v>
      </c>
      <c r="P1056" s="41">
        <v>75000000</v>
      </c>
      <c r="Q1056" s="41">
        <v>0</v>
      </c>
      <c r="R1056" s="41">
        <v>50000000</v>
      </c>
      <c r="S1056" s="41">
        <v>0</v>
      </c>
      <c r="T1056" s="41">
        <v>35000000</v>
      </c>
      <c r="U1056" s="41">
        <v>0</v>
      </c>
      <c r="V1056" s="41">
        <v>465483333.33333361</v>
      </c>
      <c r="W1056" s="41">
        <v>79166.666666666672</v>
      </c>
      <c r="X1056" s="38">
        <f t="shared" si="96"/>
        <v>0.93096666666666728</v>
      </c>
      <c r="Y1056" s="39">
        <f t="shared" si="97"/>
        <v>1.5833333333333335E-4</v>
      </c>
      <c r="Z1056" s="39">
        <f t="shared" si="101"/>
        <v>1.7010304663509304E-4</v>
      </c>
      <c r="AA1056" s="41">
        <f t="shared" si="98"/>
        <v>34516666.666666389</v>
      </c>
      <c r="AB1056" s="39">
        <f t="shared" si="99"/>
        <v>2.2935779816513949E-3</v>
      </c>
      <c r="AC1056" s="38">
        <f t="shared" si="100"/>
        <v>0.19206965726236702</v>
      </c>
      <c r="AD1056" s="3"/>
    </row>
    <row r="1057" spans="1:30" x14ac:dyDescent="0.25">
      <c r="A1057" s="37">
        <v>46693</v>
      </c>
      <c r="B1057" s="41">
        <v>20000000</v>
      </c>
      <c r="C1057" s="41">
        <v>0</v>
      </c>
      <c r="D1057" s="41">
        <v>50000000</v>
      </c>
      <c r="E1057" s="41">
        <v>0</v>
      </c>
      <c r="F1057" s="41">
        <v>50000000</v>
      </c>
      <c r="G1057" s="41">
        <v>0</v>
      </c>
      <c r="H1057" s="41">
        <v>50000000</v>
      </c>
      <c r="I1057" s="41">
        <v>0</v>
      </c>
      <c r="J1057" s="41">
        <v>40000000</v>
      </c>
      <c r="K1057" s="41">
        <v>0</v>
      </c>
      <c r="L1057" s="41">
        <v>10000000</v>
      </c>
      <c r="M1057" s="41">
        <v>0</v>
      </c>
      <c r="N1057" s="41">
        <v>85562500.000000313</v>
      </c>
      <c r="O1057" s="41">
        <v>79166.666666666672</v>
      </c>
      <c r="P1057" s="41">
        <v>75000000</v>
      </c>
      <c r="Q1057" s="41">
        <v>0</v>
      </c>
      <c r="R1057" s="41">
        <v>50000000</v>
      </c>
      <c r="S1057" s="41">
        <v>0</v>
      </c>
      <c r="T1057" s="41">
        <v>35000000</v>
      </c>
      <c r="U1057" s="41">
        <v>0</v>
      </c>
      <c r="V1057" s="41">
        <v>465562500.0000003</v>
      </c>
      <c r="W1057" s="41">
        <v>79166.666666666672</v>
      </c>
      <c r="X1057" s="38">
        <f t="shared" si="96"/>
        <v>0.93112500000000065</v>
      </c>
      <c r="Y1057" s="39">
        <f t="shared" si="97"/>
        <v>1.5833333333333335E-4</v>
      </c>
      <c r="Z1057" s="39">
        <f t="shared" si="101"/>
        <v>1.7007411650972099E-4</v>
      </c>
      <c r="AA1057" s="41">
        <f t="shared" si="98"/>
        <v>34437499.999999702</v>
      </c>
      <c r="AB1057" s="39">
        <f t="shared" si="99"/>
        <v>2.2988505747126636E-3</v>
      </c>
      <c r="AC1057" s="38">
        <f t="shared" si="100"/>
        <v>0.19203072491598641</v>
      </c>
      <c r="AD1057" s="3"/>
    </row>
    <row r="1058" spans="1:30" x14ac:dyDescent="0.25">
      <c r="A1058" s="37">
        <v>46694</v>
      </c>
      <c r="B1058" s="41">
        <v>20000000</v>
      </c>
      <c r="C1058" s="41">
        <v>0</v>
      </c>
      <c r="D1058" s="41">
        <v>50000000</v>
      </c>
      <c r="E1058" s="41">
        <v>0</v>
      </c>
      <c r="F1058" s="41">
        <v>50000000</v>
      </c>
      <c r="G1058" s="41">
        <v>0</v>
      </c>
      <c r="H1058" s="41">
        <v>50000000</v>
      </c>
      <c r="I1058" s="41">
        <v>0</v>
      </c>
      <c r="J1058" s="41">
        <v>40000000</v>
      </c>
      <c r="K1058" s="41">
        <v>0</v>
      </c>
      <c r="L1058" s="41">
        <v>10000000</v>
      </c>
      <c r="M1058" s="41">
        <v>0</v>
      </c>
      <c r="N1058" s="41">
        <v>85641666.666666985</v>
      </c>
      <c r="O1058" s="41">
        <v>79166.666666666672</v>
      </c>
      <c r="P1058" s="41">
        <v>75000000</v>
      </c>
      <c r="Q1058" s="41">
        <v>0</v>
      </c>
      <c r="R1058" s="41">
        <v>50000000</v>
      </c>
      <c r="S1058" s="41">
        <v>0</v>
      </c>
      <c r="T1058" s="41">
        <v>35000000</v>
      </c>
      <c r="U1058" s="41">
        <v>0</v>
      </c>
      <c r="V1058" s="41">
        <v>465641666.66666698</v>
      </c>
      <c r="W1058" s="41">
        <v>79166.666666666672</v>
      </c>
      <c r="X1058" s="38">
        <f t="shared" si="96"/>
        <v>0.93128333333333402</v>
      </c>
      <c r="Y1058" s="39">
        <f t="shared" si="97"/>
        <v>1.5833333333333335E-4</v>
      </c>
      <c r="Z1058" s="39">
        <f t="shared" si="101"/>
        <v>1.7004519622320659E-4</v>
      </c>
      <c r="AA1058" s="41">
        <f t="shared" si="98"/>
        <v>34358333.333333015</v>
      </c>
      <c r="AB1058" s="39">
        <f t="shared" si="99"/>
        <v>2.3041474654378093E-3</v>
      </c>
      <c r="AC1058" s="38">
        <f t="shared" si="100"/>
        <v>0.19199180834951027</v>
      </c>
      <c r="AD1058" s="3"/>
    </row>
    <row r="1059" spans="1:30" x14ac:dyDescent="0.25">
      <c r="A1059" s="37">
        <v>46695</v>
      </c>
      <c r="B1059" s="41">
        <v>20000000</v>
      </c>
      <c r="C1059" s="41">
        <v>0</v>
      </c>
      <c r="D1059" s="41">
        <v>50000000</v>
      </c>
      <c r="E1059" s="41">
        <v>0</v>
      </c>
      <c r="F1059" s="41">
        <v>50000000</v>
      </c>
      <c r="G1059" s="41">
        <v>0</v>
      </c>
      <c r="H1059" s="41">
        <v>50000000</v>
      </c>
      <c r="I1059" s="41">
        <v>0</v>
      </c>
      <c r="J1059" s="41">
        <v>40000000</v>
      </c>
      <c r="K1059" s="41">
        <v>0</v>
      </c>
      <c r="L1059" s="41">
        <v>10000000</v>
      </c>
      <c r="M1059" s="41">
        <v>0</v>
      </c>
      <c r="N1059" s="41">
        <v>85720833.333333656</v>
      </c>
      <c r="O1059" s="41">
        <v>79166.666666666672</v>
      </c>
      <c r="P1059" s="41">
        <v>75000000</v>
      </c>
      <c r="Q1059" s="41">
        <v>0</v>
      </c>
      <c r="R1059" s="41">
        <v>50000000</v>
      </c>
      <c r="S1059" s="41">
        <v>0</v>
      </c>
      <c r="T1059" s="41">
        <v>35000000</v>
      </c>
      <c r="U1059" s="41">
        <v>0</v>
      </c>
      <c r="V1059" s="41">
        <v>465720833.33333367</v>
      </c>
      <c r="W1059" s="41">
        <v>79166.666666666672</v>
      </c>
      <c r="X1059" s="38">
        <f t="shared" si="96"/>
        <v>0.93144166666666739</v>
      </c>
      <c r="Y1059" s="39">
        <f t="shared" si="97"/>
        <v>1.5833333333333335E-4</v>
      </c>
      <c r="Z1059" s="39">
        <f t="shared" si="101"/>
        <v>1.7001628577053161E-4</v>
      </c>
      <c r="AA1059" s="41">
        <f t="shared" si="98"/>
        <v>34279166.666666329</v>
      </c>
      <c r="AB1059" s="39">
        <f t="shared" si="99"/>
        <v>2.3094688221709236E-3</v>
      </c>
      <c r="AC1059" s="38">
        <f t="shared" si="100"/>
        <v>0.19195290755334674</v>
      </c>
      <c r="AD1059" s="3"/>
    </row>
    <row r="1060" spans="1:30" x14ac:dyDescent="0.25">
      <c r="A1060" s="37">
        <v>46696</v>
      </c>
      <c r="B1060" s="41">
        <v>20000000</v>
      </c>
      <c r="C1060" s="41">
        <v>0</v>
      </c>
      <c r="D1060" s="41">
        <v>50000000</v>
      </c>
      <c r="E1060" s="41">
        <v>0</v>
      </c>
      <c r="F1060" s="41">
        <v>50000000</v>
      </c>
      <c r="G1060" s="41">
        <v>0</v>
      </c>
      <c r="H1060" s="41">
        <v>50000000</v>
      </c>
      <c r="I1060" s="41">
        <v>0</v>
      </c>
      <c r="J1060" s="41">
        <v>40000000</v>
      </c>
      <c r="K1060" s="41">
        <v>0</v>
      </c>
      <c r="L1060" s="41">
        <v>10000000</v>
      </c>
      <c r="M1060" s="41">
        <v>0</v>
      </c>
      <c r="N1060" s="41">
        <v>85800000.000000328</v>
      </c>
      <c r="O1060" s="41">
        <v>79166.666666666672</v>
      </c>
      <c r="P1060" s="41">
        <v>75000000</v>
      </c>
      <c r="Q1060" s="41">
        <v>0</v>
      </c>
      <c r="R1060" s="41">
        <v>50000000</v>
      </c>
      <c r="S1060" s="41">
        <v>0</v>
      </c>
      <c r="T1060" s="41">
        <v>35000000</v>
      </c>
      <c r="U1060" s="41">
        <v>0</v>
      </c>
      <c r="V1060" s="41">
        <v>465800000.00000042</v>
      </c>
      <c r="W1060" s="41">
        <v>79166.666666666672</v>
      </c>
      <c r="X1060" s="38">
        <f t="shared" si="96"/>
        <v>0.93160000000000087</v>
      </c>
      <c r="Y1060" s="39">
        <f t="shared" si="97"/>
        <v>1.5833333333333335E-4</v>
      </c>
      <c r="Z1060" s="39">
        <f t="shared" si="101"/>
        <v>1.6998738514668112E-4</v>
      </c>
      <c r="AA1060" s="41">
        <f t="shared" si="98"/>
        <v>34199999.999999583</v>
      </c>
      <c r="AB1060" s="39">
        <f t="shared" si="99"/>
        <v>2.3148148148148433E-3</v>
      </c>
      <c r="AC1060" s="38">
        <f t="shared" si="100"/>
        <v>0.19191402251791176</v>
      </c>
      <c r="AD1060" s="3"/>
    </row>
    <row r="1061" spans="1:30" x14ac:dyDescent="0.25">
      <c r="A1061" s="37">
        <v>46697</v>
      </c>
      <c r="B1061" s="41">
        <v>20000000</v>
      </c>
      <c r="C1061" s="41">
        <v>0</v>
      </c>
      <c r="D1061" s="41">
        <v>50000000</v>
      </c>
      <c r="E1061" s="41">
        <v>0</v>
      </c>
      <c r="F1061" s="41">
        <v>50000000</v>
      </c>
      <c r="G1061" s="41">
        <v>0</v>
      </c>
      <c r="H1061" s="41">
        <v>50000000</v>
      </c>
      <c r="I1061" s="41">
        <v>0</v>
      </c>
      <c r="J1061" s="41">
        <v>40000000</v>
      </c>
      <c r="K1061" s="41">
        <v>0</v>
      </c>
      <c r="L1061" s="41">
        <v>10000000</v>
      </c>
      <c r="M1061" s="41">
        <v>0</v>
      </c>
      <c r="N1061" s="41">
        <v>85879166.666666999</v>
      </c>
      <c r="O1061" s="41">
        <v>79166.666666666672</v>
      </c>
      <c r="P1061" s="41">
        <v>75000000</v>
      </c>
      <c r="Q1061" s="41">
        <v>0</v>
      </c>
      <c r="R1061" s="41">
        <v>50000000</v>
      </c>
      <c r="S1061" s="41">
        <v>0</v>
      </c>
      <c r="T1061" s="41">
        <v>35000000</v>
      </c>
      <c r="U1061" s="41">
        <v>0</v>
      </c>
      <c r="V1061" s="41">
        <v>465879166.66666698</v>
      </c>
      <c r="W1061" s="41">
        <v>79166.666666666672</v>
      </c>
      <c r="X1061" s="38">
        <f t="shared" si="96"/>
        <v>0.93175833333333402</v>
      </c>
      <c r="Y1061" s="39">
        <f t="shared" si="97"/>
        <v>1.5833333333333335E-4</v>
      </c>
      <c r="Z1061" s="39">
        <f t="shared" si="101"/>
        <v>1.6995849434664362E-4</v>
      </c>
      <c r="AA1061" s="41">
        <f t="shared" si="98"/>
        <v>34120833.333333015</v>
      </c>
      <c r="AB1061" s="39">
        <f t="shared" si="99"/>
        <v>2.3201856148492095E-3</v>
      </c>
      <c r="AC1061" s="38">
        <f t="shared" si="100"/>
        <v>0.19187515323362916</v>
      </c>
      <c r="AD1061" s="3"/>
    </row>
    <row r="1062" spans="1:30" x14ac:dyDescent="0.25">
      <c r="A1062" s="37">
        <v>46698</v>
      </c>
      <c r="B1062" s="41">
        <v>20000000</v>
      </c>
      <c r="C1062" s="41">
        <v>0</v>
      </c>
      <c r="D1062" s="41">
        <v>50000000</v>
      </c>
      <c r="E1062" s="41">
        <v>0</v>
      </c>
      <c r="F1062" s="41">
        <v>50000000</v>
      </c>
      <c r="G1062" s="41">
        <v>0</v>
      </c>
      <c r="H1062" s="41">
        <v>50000000</v>
      </c>
      <c r="I1062" s="41">
        <v>0</v>
      </c>
      <c r="J1062" s="41">
        <v>40000000</v>
      </c>
      <c r="K1062" s="41">
        <v>0</v>
      </c>
      <c r="L1062" s="41">
        <v>10000000</v>
      </c>
      <c r="M1062" s="41">
        <v>0</v>
      </c>
      <c r="N1062" s="41">
        <v>85958333.333333671</v>
      </c>
      <c r="O1062" s="41">
        <v>79166.666666666672</v>
      </c>
      <c r="P1062" s="41">
        <v>75000000</v>
      </c>
      <c r="Q1062" s="41">
        <v>0</v>
      </c>
      <c r="R1062" s="41">
        <v>50000000</v>
      </c>
      <c r="S1062" s="41">
        <v>0</v>
      </c>
      <c r="T1062" s="41">
        <v>35000000</v>
      </c>
      <c r="U1062" s="41">
        <v>0</v>
      </c>
      <c r="V1062" s="41">
        <v>465958333.33333367</v>
      </c>
      <c r="W1062" s="41">
        <v>79166.666666666672</v>
      </c>
      <c r="X1062" s="38">
        <f t="shared" si="96"/>
        <v>0.93191666666666739</v>
      </c>
      <c r="Y1062" s="39">
        <f t="shared" si="97"/>
        <v>1.5833333333333335E-4</v>
      </c>
      <c r="Z1062" s="39">
        <f t="shared" si="101"/>
        <v>1.6992961336541117E-4</v>
      </c>
      <c r="AA1062" s="41">
        <f t="shared" si="98"/>
        <v>34041666.666666329</v>
      </c>
      <c r="AB1062" s="39">
        <f t="shared" si="99"/>
        <v>2.3255813953488606E-3</v>
      </c>
      <c r="AC1062" s="38">
        <f t="shared" si="100"/>
        <v>0.19183629969093025</v>
      </c>
      <c r="AD1062" s="3"/>
    </row>
    <row r="1063" spans="1:30" x14ac:dyDescent="0.25">
      <c r="A1063" s="37">
        <v>46699</v>
      </c>
      <c r="B1063" s="41">
        <v>20000000</v>
      </c>
      <c r="C1063" s="41">
        <v>0</v>
      </c>
      <c r="D1063" s="41">
        <v>50000000</v>
      </c>
      <c r="E1063" s="41">
        <v>0</v>
      </c>
      <c r="F1063" s="41">
        <v>50000000</v>
      </c>
      <c r="G1063" s="41">
        <v>0</v>
      </c>
      <c r="H1063" s="41">
        <v>50000000</v>
      </c>
      <c r="I1063" s="41">
        <v>0</v>
      </c>
      <c r="J1063" s="41">
        <v>40000000</v>
      </c>
      <c r="K1063" s="41">
        <v>0</v>
      </c>
      <c r="L1063" s="41">
        <v>10000000</v>
      </c>
      <c r="M1063" s="41">
        <v>0</v>
      </c>
      <c r="N1063" s="41">
        <v>86037500.000000343</v>
      </c>
      <c r="O1063" s="41">
        <v>79166.666666666672</v>
      </c>
      <c r="P1063" s="41">
        <v>75000000</v>
      </c>
      <c r="Q1063" s="41">
        <v>0</v>
      </c>
      <c r="R1063" s="41">
        <v>50000000</v>
      </c>
      <c r="S1063" s="41">
        <v>0</v>
      </c>
      <c r="T1063" s="41">
        <v>35000000</v>
      </c>
      <c r="U1063" s="41">
        <v>0</v>
      </c>
      <c r="V1063" s="41">
        <v>466037500.00000042</v>
      </c>
      <c r="W1063" s="41">
        <v>79166.666666666672</v>
      </c>
      <c r="X1063" s="38">
        <f t="shared" si="96"/>
        <v>0.93207500000000088</v>
      </c>
      <c r="Y1063" s="39">
        <f t="shared" si="97"/>
        <v>1.5833333333333335E-4</v>
      </c>
      <c r="Z1063" s="39">
        <f t="shared" si="101"/>
        <v>1.6990074219797898E-4</v>
      </c>
      <c r="AA1063" s="41">
        <f t="shared" si="98"/>
        <v>33962499.999999583</v>
      </c>
      <c r="AB1063" s="39">
        <f t="shared" si="99"/>
        <v>2.3310023310023596E-3</v>
      </c>
      <c r="AC1063" s="38">
        <f t="shared" si="100"/>
        <v>0.19179746188025423</v>
      </c>
      <c r="AD1063" s="3"/>
    </row>
    <row r="1064" spans="1:30" x14ac:dyDescent="0.25">
      <c r="A1064" s="37">
        <v>46700</v>
      </c>
      <c r="B1064" s="41">
        <v>20000000</v>
      </c>
      <c r="C1064" s="41">
        <v>0</v>
      </c>
      <c r="D1064" s="41">
        <v>50000000</v>
      </c>
      <c r="E1064" s="41">
        <v>0</v>
      </c>
      <c r="F1064" s="41">
        <v>50000000</v>
      </c>
      <c r="G1064" s="41">
        <v>0</v>
      </c>
      <c r="H1064" s="41">
        <v>50000000</v>
      </c>
      <c r="I1064" s="41">
        <v>0</v>
      </c>
      <c r="J1064" s="41">
        <v>40000000</v>
      </c>
      <c r="K1064" s="41">
        <v>0</v>
      </c>
      <c r="L1064" s="41">
        <v>10000000</v>
      </c>
      <c r="M1064" s="41">
        <v>0</v>
      </c>
      <c r="N1064" s="41">
        <v>86116666.666667014</v>
      </c>
      <c r="O1064" s="41">
        <v>79166.666666666672</v>
      </c>
      <c r="P1064" s="41">
        <v>75000000</v>
      </c>
      <c r="Q1064" s="41">
        <v>0</v>
      </c>
      <c r="R1064" s="41">
        <v>50000000</v>
      </c>
      <c r="S1064" s="41">
        <v>0</v>
      </c>
      <c r="T1064" s="41">
        <v>35000000</v>
      </c>
      <c r="U1064" s="41">
        <v>0</v>
      </c>
      <c r="V1064" s="41">
        <v>466116666.66666698</v>
      </c>
      <c r="W1064" s="41">
        <v>79166.666666666672</v>
      </c>
      <c r="X1064" s="38">
        <f t="shared" si="96"/>
        <v>0.93223333333333402</v>
      </c>
      <c r="Y1064" s="39">
        <f t="shared" si="97"/>
        <v>1.5833333333333335E-4</v>
      </c>
      <c r="Z1064" s="39">
        <f t="shared" si="101"/>
        <v>1.6987188083934576E-4</v>
      </c>
      <c r="AA1064" s="41">
        <f t="shared" si="98"/>
        <v>33883333.333333015</v>
      </c>
      <c r="AB1064" s="39">
        <f t="shared" si="99"/>
        <v>2.3364485981308631E-3</v>
      </c>
      <c r="AC1064" s="38">
        <f t="shared" si="100"/>
        <v>0.19175863979204824</v>
      </c>
      <c r="AD1064" s="3"/>
    </row>
    <row r="1065" spans="1:30" x14ac:dyDescent="0.25">
      <c r="A1065" s="37">
        <v>46701</v>
      </c>
      <c r="B1065" s="41">
        <v>20000000</v>
      </c>
      <c r="C1065" s="41">
        <v>0</v>
      </c>
      <c r="D1065" s="41">
        <v>50000000</v>
      </c>
      <c r="E1065" s="41">
        <v>0</v>
      </c>
      <c r="F1065" s="41">
        <v>50000000</v>
      </c>
      <c r="G1065" s="41">
        <v>0</v>
      </c>
      <c r="H1065" s="41">
        <v>50000000</v>
      </c>
      <c r="I1065" s="41">
        <v>0</v>
      </c>
      <c r="J1065" s="41">
        <v>40000000</v>
      </c>
      <c r="K1065" s="41">
        <v>0</v>
      </c>
      <c r="L1065" s="41">
        <v>10000000</v>
      </c>
      <c r="M1065" s="41">
        <v>0</v>
      </c>
      <c r="N1065" s="41">
        <v>86195833.333333686</v>
      </c>
      <c r="O1065" s="41">
        <v>79166.666666666672</v>
      </c>
      <c r="P1065" s="41">
        <v>75000000</v>
      </c>
      <c r="Q1065" s="41">
        <v>0</v>
      </c>
      <c r="R1065" s="41">
        <v>50000000</v>
      </c>
      <c r="S1065" s="41">
        <v>0</v>
      </c>
      <c r="T1065" s="41">
        <v>35000000</v>
      </c>
      <c r="U1065" s="41">
        <v>0</v>
      </c>
      <c r="V1065" s="41">
        <v>466195833.33333367</v>
      </c>
      <c r="W1065" s="41">
        <v>79166.666666666672</v>
      </c>
      <c r="X1065" s="38">
        <f t="shared" si="96"/>
        <v>0.9323916666666674</v>
      </c>
      <c r="Y1065" s="39">
        <f t="shared" si="97"/>
        <v>1.5833333333333335E-4</v>
      </c>
      <c r="Z1065" s="39">
        <f t="shared" si="101"/>
        <v>1.6984302928451379E-4</v>
      </c>
      <c r="AA1065" s="41">
        <f t="shared" si="98"/>
        <v>33804166.666666329</v>
      </c>
      <c r="AB1065" s="39">
        <f t="shared" si="99"/>
        <v>2.3419203747072834E-3</v>
      </c>
      <c r="AC1065" s="38">
        <f t="shared" si="100"/>
        <v>0.19171983341676679</v>
      </c>
      <c r="AD1065" s="3"/>
    </row>
    <row r="1066" spans="1:30" x14ac:dyDescent="0.25">
      <c r="A1066" s="37">
        <v>46702</v>
      </c>
      <c r="B1066" s="41">
        <v>20000000</v>
      </c>
      <c r="C1066" s="41">
        <v>0</v>
      </c>
      <c r="D1066" s="41">
        <v>50000000</v>
      </c>
      <c r="E1066" s="41">
        <v>0</v>
      </c>
      <c r="F1066" s="41">
        <v>50000000</v>
      </c>
      <c r="G1066" s="41">
        <v>0</v>
      </c>
      <c r="H1066" s="41">
        <v>50000000</v>
      </c>
      <c r="I1066" s="41">
        <v>0</v>
      </c>
      <c r="J1066" s="41">
        <v>40000000</v>
      </c>
      <c r="K1066" s="41">
        <v>0</v>
      </c>
      <c r="L1066" s="41">
        <v>10000000</v>
      </c>
      <c r="M1066" s="41">
        <v>0</v>
      </c>
      <c r="N1066" s="41">
        <v>86275000.000000358</v>
      </c>
      <c r="O1066" s="41">
        <v>79166.666666666672</v>
      </c>
      <c r="P1066" s="41">
        <v>75000000</v>
      </c>
      <c r="Q1066" s="41">
        <v>0</v>
      </c>
      <c r="R1066" s="41">
        <v>50000000</v>
      </c>
      <c r="S1066" s="41">
        <v>0</v>
      </c>
      <c r="T1066" s="41">
        <v>35000000</v>
      </c>
      <c r="U1066" s="41">
        <v>0</v>
      </c>
      <c r="V1066" s="41">
        <v>466275000.00000042</v>
      </c>
      <c r="W1066" s="41">
        <v>79166.666666666672</v>
      </c>
      <c r="X1066" s="38">
        <f t="shared" si="96"/>
        <v>0.93255000000000088</v>
      </c>
      <c r="Y1066" s="39">
        <f t="shared" si="97"/>
        <v>1.5833333333333335E-4</v>
      </c>
      <c r="Z1066" s="39">
        <f t="shared" si="101"/>
        <v>1.6981418752848846E-4</v>
      </c>
      <c r="AA1066" s="41">
        <f t="shared" si="98"/>
        <v>33724999.999999583</v>
      </c>
      <c r="AB1066" s="39">
        <f t="shared" si="99"/>
        <v>2.347417840375616E-3</v>
      </c>
      <c r="AC1066" s="38">
        <f t="shared" si="100"/>
        <v>0.19168104274487233</v>
      </c>
      <c r="AD1066" s="3"/>
    </row>
    <row r="1067" spans="1:30" x14ac:dyDescent="0.25">
      <c r="A1067" s="37">
        <v>46703</v>
      </c>
      <c r="B1067" s="41">
        <v>20000000</v>
      </c>
      <c r="C1067" s="41">
        <v>0</v>
      </c>
      <c r="D1067" s="41">
        <v>50000000</v>
      </c>
      <c r="E1067" s="41">
        <v>0</v>
      </c>
      <c r="F1067" s="41">
        <v>50000000</v>
      </c>
      <c r="G1067" s="41">
        <v>0</v>
      </c>
      <c r="H1067" s="41">
        <v>50000000</v>
      </c>
      <c r="I1067" s="41">
        <v>0</v>
      </c>
      <c r="J1067" s="41">
        <v>40000000</v>
      </c>
      <c r="K1067" s="41">
        <v>0</v>
      </c>
      <c r="L1067" s="41">
        <v>10000000</v>
      </c>
      <c r="M1067" s="41">
        <v>0</v>
      </c>
      <c r="N1067" s="41">
        <v>86354166.666667029</v>
      </c>
      <c r="O1067" s="41">
        <v>79166.666666666672</v>
      </c>
      <c r="P1067" s="41">
        <v>75000000</v>
      </c>
      <c r="Q1067" s="41">
        <v>0</v>
      </c>
      <c r="R1067" s="41">
        <v>50000000</v>
      </c>
      <c r="S1067" s="41">
        <v>0</v>
      </c>
      <c r="T1067" s="41">
        <v>35000000</v>
      </c>
      <c r="U1067" s="41">
        <v>0</v>
      </c>
      <c r="V1067" s="41">
        <v>466354166.66666698</v>
      </c>
      <c r="W1067" s="41">
        <v>79166.666666666672</v>
      </c>
      <c r="X1067" s="38">
        <f t="shared" si="96"/>
        <v>0.93270833333333392</v>
      </c>
      <c r="Y1067" s="39">
        <f t="shared" si="97"/>
        <v>1.5833333333333335E-4</v>
      </c>
      <c r="Z1067" s="39">
        <f t="shared" si="101"/>
        <v>1.6978535556627869E-4</v>
      </c>
      <c r="AA1067" s="41">
        <f t="shared" si="98"/>
        <v>33645833.333333015</v>
      </c>
      <c r="AB1067" s="39">
        <f t="shared" si="99"/>
        <v>2.3529411764706106E-3</v>
      </c>
      <c r="AC1067" s="38">
        <f t="shared" si="100"/>
        <v>0.19164226776683507</v>
      </c>
      <c r="AD1067" s="3"/>
    </row>
    <row r="1068" spans="1:30" x14ac:dyDescent="0.25">
      <c r="A1068" s="37">
        <v>46704</v>
      </c>
      <c r="B1068" s="41">
        <v>20000000</v>
      </c>
      <c r="C1068" s="41">
        <v>0</v>
      </c>
      <c r="D1068" s="41">
        <v>50000000</v>
      </c>
      <c r="E1068" s="41">
        <v>0</v>
      </c>
      <c r="F1068" s="41">
        <v>50000000</v>
      </c>
      <c r="G1068" s="41">
        <v>0</v>
      </c>
      <c r="H1068" s="41">
        <v>50000000</v>
      </c>
      <c r="I1068" s="41">
        <v>0</v>
      </c>
      <c r="J1068" s="41">
        <v>40000000</v>
      </c>
      <c r="K1068" s="41">
        <v>0</v>
      </c>
      <c r="L1068" s="41">
        <v>10000000</v>
      </c>
      <c r="M1068" s="41">
        <v>0</v>
      </c>
      <c r="N1068" s="41">
        <v>86433333.333333701</v>
      </c>
      <c r="O1068" s="41">
        <v>79166.666666666672</v>
      </c>
      <c r="P1068" s="41">
        <v>75000000</v>
      </c>
      <c r="Q1068" s="41">
        <v>0</v>
      </c>
      <c r="R1068" s="41">
        <v>50000000</v>
      </c>
      <c r="S1068" s="41">
        <v>0</v>
      </c>
      <c r="T1068" s="41">
        <v>35000000</v>
      </c>
      <c r="U1068" s="41">
        <v>0</v>
      </c>
      <c r="V1068" s="41">
        <v>466433333.33333367</v>
      </c>
      <c r="W1068" s="41">
        <v>79166.666666666672</v>
      </c>
      <c r="X1068" s="38">
        <f t="shared" si="96"/>
        <v>0.93286666666666729</v>
      </c>
      <c r="Y1068" s="39">
        <f t="shared" si="97"/>
        <v>1.5833333333333335E-4</v>
      </c>
      <c r="Z1068" s="39">
        <f t="shared" si="101"/>
        <v>1.6975653339289693E-4</v>
      </c>
      <c r="AA1068" s="41">
        <f t="shared" si="98"/>
        <v>33566666.666666329</v>
      </c>
      <c r="AB1068" s="39">
        <f t="shared" si="99"/>
        <v>2.3584905660377596E-3</v>
      </c>
      <c r="AC1068" s="38">
        <f t="shared" si="100"/>
        <v>0.19160350847313276</v>
      </c>
      <c r="AD1068" s="3"/>
    </row>
    <row r="1069" spans="1:30" x14ac:dyDescent="0.25">
      <c r="A1069" s="37">
        <v>46705</v>
      </c>
      <c r="B1069" s="41">
        <v>20000000</v>
      </c>
      <c r="C1069" s="41">
        <v>0</v>
      </c>
      <c r="D1069" s="41">
        <v>50000000</v>
      </c>
      <c r="E1069" s="41">
        <v>0</v>
      </c>
      <c r="F1069" s="41">
        <v>50000000</v>
      </c>
      <c r="G1069" s="41">
        <v>0</v>
      </c>
      <c r="H1069" s="41">
        <v>50000000</v>
      </c>
      <c r="I1069" s="41">
        <v>0</v>
      </c>
      <c r="J1069" s="41">
        <v>40000000</v>
      </c>
      <c r="K1069" s="41">
        <v>0</v>
      </c>
      <c r="L1069" s="41">
        <v>10000000</v>
      </c>
      <c r="M1069" s="41">
        <v>0</v>
      </c>
      <c r="N1069" s="41">
        <v>86512500.000000373</v>
      </c>
      <c r="O1069" s="41">
        <v>79166.666666666672</v>
      </c>
      <c r="P1069" s="41">
        <v>75000000</v>
      </c>
      <c r="Q1069" s="41">
        <v>0</v>
      </c>
      <c r="R1069" s="41">
        <v>50000000</v>
      </c>
      <c r="S1069" s="41">
        <v>0</v>
      </c>
      <c r="T1069" s="41">
        <v>35000000</v>
      </c>
      <c r="U1069" s="41">
        <v>0</v>
      </c>
      <c r="V1069" s="41">
        <v>466512500.00000042</v>
      </c>
      <c r="W1069" s="41">
        <v>79166.666666666672</v>
      </c>
      <c r="X1069" s="38">
        <f t="shared" si="96"/>
        <v>0.93302500000000088</v>
      </c>
      <c r="Y1069" s="39">
        <f t="shared" si="97"/>
        <v>1.5833333333333335E-4</v>
      </c>
      <c r="Z1069" s="39">
        <f t="shared" si="101"/>
        <v>1.6972772100335871E-4</v>
      </c>
      <c r="AA1069" s="41">
        <f t="shared" si="98"/>
        <v>33487499.999999583</v>
      </c>
      <c r="AB1069" s="39">
        <f t="shared" si="99"/>
        <v>2.3640661938534573E-3</v>
      </c>
      <c r="AC1069" s="38">
        <f t="shared" si="100"/>
        <v>0.19156476485425095</v>
      </c>
      <c r="AD1069" s="3"/>
    </row>
    <row r="1070" spans="1:30" x14ac:dyDescent="0.25">
      <c r="A1070" s="37">
        <v>46706</v>
      </c>
      <c r="B1070" s="41">
        <v>20000000</v>
      </c>
      <c r="C1070" s="41">
        <v>0</v>
      </c>
      <c r="D1070" s="41">
        <v>50000000</v>
      </c>
      <c r="E1070" s="41">
        <v>0</v>
      </c>
      <c r="F1070" s="41">
        <v>50000000</v>
      </c>
      <c r="G1070" s="41">
        <v>0</v>
      </c>
      <c r="H1070" s="41">
        <v>50000000</v>
      </c>
      <c r="I1070" s="41">
        <v>0</v>
      </c>
      <c r="J1070" s="41">
        <v>40000000</v>
      </c>
      <c r="K1070" s="41">
        <v>0</v>
      </c>
      <c r="L1070" s="41">
        <v>10000000</v>
      </c>
      <c r="M1070" s="41">
        <v>0</v>
      </c>
      <c r="N1070" s="41">
        <v>86591666.666667044</v>
      </c>
      <c r="O1070" s="41">
        <v>79166.666666666672</v>
      </c>
      <c r="P1070" s="41">
        <v>75000000</v>
      </c>
      <c r="Q1070" s="41">
        <v>0</v>
      </c>
      <c r="R1070" s="41">
        <v>50000000</v>
      </c>
      <c r="S1070" s="41">
        <v>0</v>
      </c>
      <c r="T1070" s="41">
        <v>35000000</v>
      </c>
      <c r="U1070" s="41">
        <v>0</v>
      </c>
      <c r="V1070" s="41">
        <v>466591666.66666698</v>
      </c>
      <c r="W1070" s="41">
        <v>79166.666666666672</v>
      </c>
      <c r="X1070" s="38">
        <f t="shared" si="96"/>
        <v>0.93318333333333392</v>
      </c>
      <c r="Y1070" s="39">
        <f t="shared" si="97"/>
        <v>1.5833333333333335E-4</v>
      </c>
      <c r="Z1070" s="39">
        <f t="shared" si="101"/>
        <v>1.6969891839268316E-4</v>
      </c>
      <c r="AA1070" s="41">
        <f t="shared" si="98"/>
        <v>33408333.333333015</v>
      </c>
      <c r="AB1070" s="39">
        <f t="shared" si="99"/>
        <v>2.3696682464455204E-3</v>
      </c>
      <c r="AC1070" s="38">
        <f t="shared" si="100"/>
        <v>0.19152603690068296</v>
      </c>
      <c r="AD1070" s="3"/>
    </row>
    <row r="1071" spans="1:30" x14ac:dyDescent="0.25">
      <c r="A1071" s="37">
        <v>46707</v>
      </c>
      <c r="B1071" s="41">
        <v>20000000</v>
      </c>
      <c r="C1071" s="41">
        <v>0</v>
      </c>
      <c r="D1071" s="41">
        <v>50000000</v>
      </c>
      <c r="E1071" s="41">
        <v>0</v>
      </c>
      <c r="F1071" s="41">
        <v>50000000</v>
      </c>
      <c r="G1071" s="41">
        <v>0</v>
      </c>
      <c r="H1071" s="41">
        <v>50000000</v>
      </c>
      <c r="I1071" s="41">
        <v>0</v>
      </c>
      <c r="J1071" s="41">
        <v>40000000</v>
      </c>
      <c r="K1071" s="41">
        <v>0</v>
      </c>
      <c r="L1071" s="41">
        <v>10000000</v>
      </c>
      <c r="M1071" s="41">
        <v>0</v>
      </c>
      <c r="N1071" s="41">
        <v>86670833.333333716</v>
      </c>
      <c r="O1071" s="41">
        <v>79166.666666666672</v>
      </c>
      <c r="P1071" s="41">
        <v>75000000</v>
      </c>
      <c r="Q1071" s="41">
        <v>0</v>
      </c>
      <c r="R1071" s="41">
        <v>50000000</v>
      </c>
      <c r="S1071" s="41">
        <v>0</v>
      </c>
      <c r="T1071" s="41">
        <v>35000000</v>
      </c>
      <c r="U1071" s="41">
        <v>0</v>
      </c>
      <c r="V1071" s="41">
        <v>466670833.33333367</v>
      </c>
      <c r="W1071" s="41">
        <v>79166.666666666672</v>
      </c>
      <c r="X1071" s="38">
        <f t="shared" si="96"/>
        <v>0.93334166666666729</v>
      </c>
      <c r="Y1071" s="39">
        <f t="shared" si="97"/>
        <v>1.5833333333333335E-4</v>
      </c>
      <c r="Z1071" s="39">
        <f t="shared" si="101"/>
        <v>1.696701255558928E-4</v>
      </c>
      <c r="AA1071" s="41">
        <f t="shared" si="98"/>
        <v>33329166.666666329</v>
      </c>
      <c r="AB1071" s="39">
        <f t="shared" si="99"/>
        <v>2.3752969121140386E-3</v>
      </c>
      <c r="AC1071" s="38">
        <f t="shared" si="100"/>
        <v>0.19148732460292958</v>
      </c>
      <c r="AD1071" s="3"/>
    </row>
    <row r="1072" spans="1:30" x14ac:dyDescent="0.25">
      <c r="A1072" s="37">
        <v>46708</v>
      </c>
      <c r="B1072" s="41">
        <v>20000000</v>
      </c>
      <c r="C1072" s="41">
        <v>0</v>
      </c>
      <c r="D1072" s="41">
        <v>50000000</v>
      </c>
      <c r="E1072" s="41">
        <v>0</v>
      </c>
      <c r="F1072" s="41">
        <v>50000000</v>
      </c>
      <c r="G1072" s="41">
        <v>0</v>
      </c>
      <c r="H1072" s="41">
        <v>50000000</v>
      </c>
      <c r="I1072" s="41">
        <v>0</v>
      </c>
      <c r="J1072" s="41">
        <v>40000000</v>
      </c>
      <c r="K1072" s="41">
        <v>0</v>
      </c>
      <c r="L1072" s="41">
        <v>10000000</v>
      </c>
      <c r="M1072" s="41">
        <v>0</v>
      </c>
      <c r="N1072" s="41">
        <v>86750000.000000387</v>
      </c>
      <c r="O1072" s="41">
        <v>79166.666666666672</v>
      </c>
      <c r="P1072" s="41">
        <v>75000000</v>
      </c>
      <c r="Q1072" s="41">
        <v>0</v>
      </c>
      <c r="R1072" s="41">
        <v>50000000</v>
      </c>
      <c r="S1072" s="41">
        <v>0</v>
      </c>
      <c r="T1072" s="41">
        <v>35000000</v>
      </c>
      <c r="U1072" s="41">
        <v>0</v>
      </c>
      <c r="V1072" s="41">
        <v>466750000.00000042</v>
      </c>
      <c r="W1072" s="41">
        <v>79166.666666666672</v>
      </c>
      <c r="X1072" s="38">
        <f t="shared" si="96"/>
        <v>0.93350000000000088</v>
      </c>
      <c r="Y1072" s="39">
        <f t="shared" si="97"/>
        <v>1.5833333333333335E-4</v>
      </c>
      <c r="Z1072" s="39">
        <f t="shared" si="101"/>
        <v>1.696413424880134E-4</v>
      </c>
      <c r="AA1072" s="41">
        <f t="shared" si="98"/>
        <v>33249999.999999583</v>
      </c>
      <c r="AB1072" s="39">
        <f t="shared" si="99"/>
        <v>2.3809523809524111E-3</v>
      </c>
      <c r="AC1072" s="38">
        <f t="shared" si="100"/>
        <v>0.19144862795149947</v>
      </c>
      <c r="AD1072" s="3"/>
    </row>
    <row r="1073" spans="1:30" x14ac:dyDescent="0.25">
      <c r="A1073" s="37">
        <v>46709</v>
      </c>
      <c r="B1073" s="41">
        <v>20000000</v>
      </c>
      <c r="C1073" s="41">
        <v>0</v>
      </c>
      <c r="D1073" s="41">
        <v>50000000</v>
      </c>
      <c r="E1073" s="41">
        <v>0</v>
      </c>
      <c r="F1073" s="41">
        <v>50000000</v>
      </c>
      <c r="G1073" s="41">
        <v>0</v>
      </c>
      <c r="H1073" s="41">
        <v>50000000</v>
      </c>
      <c r="I1073" s="41">
        <v>0</v>
      </c>
      <c r="J1073" s="41">
        <v>40000000</v>
      </c>
      <c r="K1073" s="41">
        <v>0</v>
      </c>
      <c r="L1073" s="41">
        <v>10000000</v>
      </c>
      <c r="M1073" s="41">
        <v>0</v>
      </c>
      <c r="N1073" s="41">
        <v>86829166.666667059</v>
      </c>
      <c r="O1073" s="41">
        <v>79166.666666666672</v>
      </c>
      <c r="P1073" s="41">
        <v>75000000</v>
      </c>
      <c r="Q1073" s="41">
        <v>0</v>
      </c>
      <c r="R1073" s="41">
        <v>50000000</v>
      </c>
      <c r="S1073" s="41">
        <v>0</v>
      </c>
      <c r="T1073" s="41">
        <v>35000000</v>
      </c>
      <c r="U1073" s="41">
        <v>0</v>
      </c>
      <c r="V1073" s="41">
        <v>466829166.66666698</v>
      </c>
      <c r="W1073" s="41">
        <v>79166.666666666672</v>
      </c>
      <c r="X1073" s="38">
        <f t="shared" si="96"/>
        <v>0.93365833333333392</v>
      </c>
      <c r="Y1073" s="39">
        <f t="shared" si="97"/>
        <v>1.5833333333333335E-4</v>
      </c>
      <c r="Z1073" s="39">
        <f t="shared" si="101"/>
        <v>1.6961256918407414E-4</v>
      </c>
      <c r="AA1073" s="41">
        <f t="shared" si="98"/>
        <v>33170833.333333015</v>
      </c>
      <c r="AB1073" s="39">
        <f t="shared" si="99"/>
        <v>2.3866348448687582E-3</v>
      </c>
      <c r="AC1073" s="38">
        <f t="shared" si="100"/>
        <v>0.19140994693690899</v>
      </c>
      <c r="AD1073" s="3"/>
    </row>
    <row r="1074" spans="1:30" x14ac:dyDescent="0.25">
      <c r="A1074" s="37">
        <v>46710</v>
      </c>
      <c r="B1074" s="41">
        <v>20000000</v>
      </c>
      <c r="C1074" s="41">
        <v>0</v>
      </c>
      <c r="D1074" s="41">
        <v>50000000</v>
      </c>
      <c r="E1074" s="41">
        <v>0</v>
      </c>
      <c r="F1074" s="41">
        <v>50000000</v>
      </c>
      <c r="G1074" s="41">
        <v>0</v>
      </c>
      <c r="H1074" s="41">
        <v>50000000</v>
      </c>
      <c r="I1074" s="41">
        <v>0</v>
      </c>
      <c r="J1074" s="41">
        <v>40000000</v>
      </c>
      <c r="K1074" s="41">
        <v>0</v>
      </c>
      <c r="L1074" s="41">
        <v>10000000</v>
      </c>
      <c r="M1074" s="41">
        <v>0</v>
      </c>
      <c r="N1074" s="41">
        <v>86908333.333333731</v>
      </c>
      <c r="O1074" s="41">
        <v>79166.666666666672</v>
      </c>
      <c r="P1074" s="41">
        <v>75000000</v>
      </c>
      <c r="Q1074" s="41">
        <v>0</v>
      </c>
      <c r="R1074" s="41">
        <v>50000000</v>
      </c>
      <c r="S1074" s="41">
        <v>0</v>
      </c>
      <c r="T1074" s="41">
        <v>35000000</v>
      </c>
      <c r="U1074" s="41">
        <v>0</v>
      </c>
      <c r="V1074" s="41">
        <v>466908333.33333367</v>
      </c>
      <c r="W1074" s="41">
        <v>79166.666666666672</v>
      </c>
      <c r="X1074" s="38">
        <f t="shared" si="96"/>
        <v>0.93381666666666729</v>
      </c>
      <c r="Y1074" s="39">
        <f t="shared" si="97"/>
        <v>1.5833333333333335E-4</v>
      </c>
      <c r="Z1074" s="39">
        <f t="shared" si="101"/>
        <v>1.6958380563910771E-4</v>
      </c>
      <c r="AA1074" s="41">
        <f t="shared" si="98"/>
        <v>33091666.666666329</v>
      </c>
      <c r="AB1074" s="39">
        <f t="shared" si="99"/>
        <v>2.3923444976076801E-3</v>
      </c>
      <c r="AC1074" s="38">
        <f t="shared" si="100"/>
        <v>0.19137128154968194</v>
      </c>
      <c r="AD1074" s="3"/>
    </row>
    <row r="1075" spans="1:30" x14ac:dyDescent="0.25">
      <c r="A1075" s="37">
        <v>46711</v>
      </c>
      <c r="B1075" s="41">
        <v>20000000</v>
      </c>
      <c r="C1075" s="41">
        <v>0</v>
      </c>
      <c r="D1075" s="41">
        <v>50000000</v>
      </c>
      <c r="E1075" s="41">
        <v>0</v>
      </c>
      <c r="F1075" s="41">
        <v>50000000</v>
      </c>
      <c r="G1075" s="41">
        <v>0</v>
      </c>
      <c r="H1075" s="41">
        <v>50000000</v>
      </c>
      <c r="I1075" s="41">
        <v>0</v>
      </c>
      <c r="J1075" s="41">
        <v>40000000</v>
      </c>
      <c r="K1075" s="41">
        <v>0</v>
      </c>
      <c r="L1075" s="41">
        <v>10000000</v>
      </c>
      <c r="M1075" s="41">
        <v>0</v>
      </c>
      <c r="N1075" s="41">
        <v>86987500.000000402</v>
      </c>
      <c r="O1075" s="41">
        <v>79166.666666666672</v>
      </c>
      <c r="P1075" s="41">
        <v>75000000</v>
      </c>
      <c r="Q1075" s="41">
        <v>0</v>
      </c>
      <c r="R1075" s="41">
        <v>50000000</v>
      </c>
      <c r="S1075" s="41">
        <v>0</v>
      </c>
      <c r="T1075" s="41">
        <v>35000000</v>
      </c>
      <c r="U1075" s="41">
        <v>0</v>
      </c>
      <c r="V1075" s="41">
        <v>466987500.00000042</v>
      </c>
      <c r="W1075" s="41">
        <v>79166.666666666672</v>
      </c>
      <c r="X1075" s="38">
        <f t="shared" si="96"/>
        <v>0.93397500000000089</v>
      </c>
      <c r="Y1075" s="39">
        <f t="shared" si="97"/>
        <v>1.5833333333333335E-4</v>
      </c>
      <c r="Z1075" s="39">
        <f t="shared" si="101"/>
        <v>1.6955505184814996E-4</v>
      </c>
      <c r="AA1075" s="41">
        <f t="shared" si="98"/>
        <v>33012499.999999583</v>
      </c>
      <c r="AB1075" s="39">
        <f t="shared" si="99"/>
        <v>2.3980815347722129E-3</v>
      </c>
      <c r="AC1075" s="38">
        <f t="shared" si="100"/>
        <v>0.19133263178034993</v>
      </c>
      <c r="AD1075" s="3"/>
    </row>
    <row r="1076" spans="1:30" x14ac:dyDescent="0.25">
      <c r="A1076" s="37">
        <v>46712</v>
      </c>
      <c r="B1076" s="41">
        <v>20000000</v>
      </c>
      <c r="C1076" s="41">
        <v>0</v>
      </c>
      <c r="D1076" s="41">
        <v>50000000</v>
      </c>
      <c r="E1076" s="41">
        <v>0</v>
      </c>
      <c r="F1076" s="41">
        <v>50000000</v>
      </c>
      <c r="G1076" s="41">
        <v>0</v>
      </c>
      <c r="H1076" s="41">
        <v>50000000</v>
      </c>
      <c r="I1076" s="41">
        <v>0</v>
      </c>
      <c r="J1076" s="41">
        <v>40000000</v>
      </c>
      <c r="K1076" s="41">
        <v>0</v>
      </c>
      <c r="L1076" s="41">
        <v>10000000</v>
      </c>
      <c r="M1076" s="41">
        <v>0</v>
      </c>
      <c r="N1076" s="41">
        <v>87066666.666667074</v>
      </c>
      <c r="O1076" s="41">
        <v>79166.666666666672</v>
      </c>
      <c r="P1076" s="41">
        <v>75000000</v>
      </c>
      <c r="Q1076" s="41">
        <v>0</v>
      </c>
      <c r="R1076" s="41">
        <v>50000000</v>
      </c>
      <c r="S1076" s="41">
        <v>0</v>
      </c>
      <c r="T1076" s="41">
        <v>35000000</v>
      </c>
      <c r="U1076" s="41">
        <v>0</v>
      </c>
      <c r="V1076" s="41">
        <v>467066666.6666671</v>
      </c>
      <c r="W1076" s="41">
        <v>79166.666666666672</v>
      </c>
      <c r="X1076" s="38">
        <f t="shared" si="96"/>
        <v>0.93413333333333426</v>
      </c>
      <c r="Y1076" s="39">
        <f t="shared" si="97"/>
        <v>1.5833333333333335E-4</v>
      </c>
      <c r="Z1076" s="39">
        <f t="shared" si="101"/>
        <v>1.6952630780624022E-4</v>
      </c>
      <c r="AA1076" s="41">
        <f t="shared" si="98"/>
        <v>32933333.333332896</v>
      </c>
      <c r="AB1076" s="39">
        <f t="shared" si="99"/>
        <v>2.4038461538461861E-3</v>
      </c>
      <c r="AC1076" s="38">
        <f t="shared" si="100"/>
        <v>0.19129399761945226</v>
      </c>
      <c r="AD1076" s="3"/>
    </row>
    <row r="1077" spans="1:30" x14ac:dyDescent="0.25">
      <c r="A1077" s="37">
        <v>46713</v>
      </c>
      <c r="B1077" s="41">
        <v>20000000</v>
      </c>
      <c r="C1077" s="41">
        <v>0</v>
      </c>
      <c r="D1077" s="41">
        <v>50000000</v>
      </c>
      <c r="E1077" s="41">
        <v>0</v>
      </c>
      <c r="F1077" s="41">
        <v>50000000</v>
      </c>
      <c r="G1077" s="41">
        <v>0</v>
      </c>
      <c r="H1077" s="41">
        <v>50000000</v>
      </c>
      <c r="I1077" s="41">
        <v>0</v>
      </c>
      <c r="J1077" s="41">
        <v>40000000</v>
      </c>
      <c r="K1077" s="41">
        <v>0</v>
      </c>
      <c r="L1077" s="41">
        <v>10000000</v>
      </c>
      <c r="M1077" s="41">
        <v>0</v>
      </c>
      <c r="N1077" s="41">
        <v>87145833.333333746</v>
      </c>
      <c r="O1077" s="41">
        <v>79166.666666666672</v>
      </c>
      <c r="P1077" s="41">
        <v>75000000</v>
      </c>
      <c r="Q1077" s="41">
        <v>0</v>
      </c>
      <c r="R1077" s="41">
        <v>50000000</v>
      </c>
      <c r="S1077" s="41">
        <v>0</v>
      </c>
      <c r="T1077" s="41">
        <v>35000000</v>
      </c>
      <c r="U1077" s="41">
        <v>0</v>
      </c>
      <c r="V1077" s="41">
        <v>467145833.33333367</v>
      </c>
      <c r="W1077" s="41">
        <v>79166.666666666672</v>
      </c>
      <c r="X1077" s="38">
        <f t="shared" si="96"/>
        <v>0.9342916666666673</v>
      </c>
      <c r="Y1077" s="39">
        <f t="shared" si="97"/>
        <v>1.5833333333333335E-4</v>
      </c>
      <c r="Z1077" s="39">
        <f t="shared" si="101"/>
        <v>1.6949757350842121E-4</v>
      </c>
      <c r="AA1077" s="41">
        <f t="shared" si="98"/>
        <v>32854166.666666329</v>
      </c>
      <c r="AB1077" s="39">
        <f t="shared" si="99"/>
        <v>2.4096385542168924E-3</v>
      </c>
      <c r="AC1077" s="38">
        <f t="shared" si="100"/>
        <v>0.19125537905753584</v>
      </c>
      <c r="AD1077" s="3"/>
    </row>
    <row r="1078" spans="1:30" x14ac:dyDescent="0.25">
      <c r="A1078" s="37">
        <v>46714</v>
      </c>
      <c r="B1078" s="41">
        <v>20000000</v>
      </c>
      <c r="C1078" s="41">
        <v>0</v>
      </c>
      <c r="D1078" s="41">
        <v>50000000</v>
      </c>
      <c r="E1078" s="41">
        <v>0</v>
      </c>
      <c r="F1078" s="41">
        <v>50000000</v>
      </c>
      <c r="G1078" s="41">
        <v>0</v>
      </c>
      <c r="H1078" s="41">
        <v>50000000</v>
      </c>
      <c r="I1078" s="41">
        <v>0</v>
      </c>
      <c r="J1078" s="41">
        <v>40000000</v>
      </c>
      <c r="K1078" s="41">
        <v>0</v>
      </c>
      <c r="L1078" s="41">
        <v>10000000</v>
      </c>
      <c r="M1078" s="41">
        <v>0</v>
      </c>
      <c r="N1078" s="41">
        <v>87225000.000000417</v>
      </c>
      <c r="O1078" s="41">
        <v>79166.666666666672</v>
      </c>
      <c r="P1078" s="41">
        <v>75000000</v>
      </c>
      <c r="Q1078" s="41">
        <v>0</v>
      </c>
      <c r="R1078" s="41">
        <v>50000000</v>
      </c>
      <c r="S1078" s="41">
        <v>0</v>
      </c>
      <c r="T1078" s="41">
        <v>35000000</v>
      </c>
      <c r="U1078" s="41">
        <v>0</v>
      </c>
      <c r="V1078" s="41">
        <v>467225000.00000042</v>
      </c>
      <c r="W1078" s="41">
        <v>79166.666666666672</v>
      </c>
      <c r="X1078" s="38">
        <f t="shared" si="96"/>
        <v>0.93445000000000078</v>
      </c>
      <c r="Y1078" s="39">
        <f t="shared" si="97"/>
        <v>1.5833333333333335E-4</v>
      </c>
      <c r="Z1078" s="39">
        <f t="shared" si="101"/>
        <v>1.69468848949739E-4</v>
      </c>
      <c r="AA1078" s="41">
        <f t="shared" si="98"/>
        <v>32774999.999999583</v>
      </c>
      <c r="AB1078" s="39">
        <f t="shared" si="99"/>
        <v>2.4154589371980987E-3</v>
      </c>
      <c r="AC1078" s="38">
        <f t="shared" si="100"/>
        <v>0.191216776085155</v>
      </c>
      <c r="AD1078" s="3"/>
    </row>
    <row r="1079" spans="1:30" x14ac:dyDescent="0.25">
      <c r="A1079" s="37">
        <v>46715</v>
      </c>
      <c r="B1079" s="41">
        <v>20000000</v>
      </c>
      <c r="C1079" s="41">
        <v>0</v>
      </c>
      <c r="D1079" s="41">
        <v>50000000</v>
      </c>
      <c r="E1079" s="41">
        <v>0</v>
      </c>
      <c r="F1079" s="41">
        <v>50000000</v>
      </c>
      <c r="G1079" s="41">
        <v>0</v>
      </c>
      <c r="H1079" s="41">
        <v>50000000</v>
      </c>
      <c r="I1079" s="41">
        <v>0</v>
      </c>
      <c r="J1079" s="41">
        <v>40000000</v>
      </c>
      <c r="K1079" s="41">
        <v>0</v>
      </c>
      <c r="L1079" s="41">
        <v>10000000</v>
      </c>
      <c r="M1079" s="41">
        <v>0</v>
      </c>
      <c r="N1079" s="41">
        <v>87304166.666667089</v>
      </c>
      <c r="O1079" s="41">
        <v>79166.666666666672</v>
      </c>
      <c r="P1079" s="41">
        <v>75000000</v>
      </c>
      <c r="Q1079" s="41">
        <v>0</v>
      </c>
      <c r="R1079" s="41">
        <v>50000000</v>
      </c>
      <c r="S1079" s="41">
        <v>0</v>
      </c>
      <c r="T1079" s="41">
        <v>35000000</v>
      </c>
      <c r="U1079" s="41">
        <v>0</v>
      </c>
      <c r="V1079" s="41">
        <v>467304166.6666671</v>
      </c>
      <c r="W1079" s="41">
        <v>79166.666666666672</v>
      </c>
      <c r="X1079" s="38">
        <f t="shared" si="96"/>
        <v>0.93460833333333426</v>
      </c>
      <c r="Y1079" s="39">
        <f t="shared" si="97"/>
        <v>1.5833333333333335E-4</v>
      </c>
      <c r="Z1079" s="39">
        <f t="shared" si="101"/>
        <v>1.6944013412524287E-4</v>
      </c>
      <c r="AA1079" s="41">
        <f t="shared" si="98"/>
        <v>32695833.333332896</v>
      </c>
      <c r="AB1079" s="39">
        <f t="shared" si="99"/>
        <v>2.4213075060533014E-3</v>
      </c>
      <c r="AC1079" s="38">
        <f t="shared" si="100"/>
        <v>0.19117818869287204</v>
      </c>
      <c r="AD1079" s="3"/>
    </row>
    <row r="1080" spans="1:30" x14ac:dyDescent="0.25">
      <c r="A1080" s="37">
        <v>46716</v>
      </c>
      <c r="B1080" s="41">
        <v>20000000</v>
      </c>
      <c r="C1080" s="41">
        <v>0</v>
      </c>
      <c r="D1080" s="41">
        <v>50000000</v>
      </c>
      <c r="E1080" s="41">
        <v>0</v>
      </c>
      <c r="F1080" s="41">
        <v>50000000</v>
      </c>
      <c r="G1080" s="41">
        <v>0</v>
      </c>
      <c r="H1080" s="41">
        <v>50000000</v>
      </c>
      <c r="I1080" s="41">
        <v>0</v>
      </c>
      <c r="J1080" s="41">
        <v>40000000</v>
      </c>
      <c r="K1080" s="41">
        <v>0</v>
      </c>
      <c r="L1080" s="41">
        <v>10000000</v>
      </c>
      <c r="M1080" s="41">
        <v>0</v>
      </c>
      <c r="N1080" s="41">
        <v>87383333.33333376</v>
      </c>
      <c r="O1080" s="41">
        <v>79166.666666666672</v>
      </c>
      <c r="P1080" s="41">
        <v>75000000</v>
      </c>
      <c r="Q1080" s="41">
        <v>0</v>
      </c>
      <c r="R1080" s="41">
        <v>50000000</v>
      </c>
      <c r="S1080" s="41">
        <v>0</v>
      </c>
      <c r="T1080" s="41">
        <v>35000000</v>
      </c>
      <c r="U1080" s="41">
        <v>0</v>
      </c>
      <c r="V1080" s="41">
        <v>467383333.33333367</v>
      </c>
      <c r="W1080" s="41">
        <v>79166.666666666672</v>
      </c>
      <c r="X1080" s="38">
        <f t="shared" si="96"/>
        <v>0.9347666666666673</v>
      </c>
      <c r="Y1080" s="39">
        <f t="shared" si="97"/>
        <v>1.5833333333333335E-4</v>
      </c>
      <c r="Z1080" s="39">
        <f t="shared" si="101"/>
        <v>1.6941142902998567E-4</v>
      </c>
      <c r="AA1080" s="41">
        <f t="shared" si="98"/>
        <v>32616666.666666329</v>
      </c>
      <c r="AB1080" s="39">
        <f t="shared" si="99"/>
        <v>2.4271844660194429E-3</v>
      </c>
      <c r="AC1080" s="38">
        <f t="shared" si="100"/>
        <v>0.19113961687125669</v>
      </c>
      <c r="AD1080" s="3"/>
    </row>
    <row r="1081" spans="1:30" x14ac:dyDescent="0.25">
      <c r="A1081" s="37">
        <v>46717</v>
      </c>
      <c r="B1081" s="41">
        <v>20000000</v>
      </c>
      <c r="C1081" s="41">
        <v>0</v>
      </c>
      <c r="D1081" s="41">
        <v>50000000</v>
      </c>
      <c r="E1081" s="41">
        <v>0</v>
      </c>
      <c r="F1081" s="41">
        <v>50000000</v>
      </c>
      <c r="G1081" s="41">
        <v>0</v>
      </c>
      <c r="H1081" s="41">
        <v>50000000</v>
      </c>
      <c r="I1081" s="41">
        <v>0</v>
      </c>
      <c r="J1081" s="41">
        <v>40000000</v>
      </c>
      <c r="K1081" s="41">
        <v>0</v>
      </c>
      <c r="L1081" s="41">
        <v>10000000</v>
      </c>
      <c r="M1081" s="41">
        <v>0</v>
      </c>
      <c r="N1081" s="41">
        <v>87462500.000000432</v>
      </c>
      <c r="O1081" s="41">
        <v>79166.666666666672</v>
      </c>
      <c r="P1081" s="41">
        <v>75000000</v>
      </c>
      <c r="Q1081" s="41">
        <v>0</v>
      </c>
      <c r="R1081" s="41">
        <v>50000000</v>
      </c>
      <c r="S1081" s="41">
        <v>0</v>
      </c>
      <c r="T1081" s="41">
        <v>35000000</v>
      </c>
      <c r="U1081" s="41">
        <v>0</v>
      </c>
      <c r="V1081" s="41">
        <v>467462500.00000042</v>
      </c>
      <c r="W1081" s="41">
        <v>79166.666666666672</v>
      </c>
      <c r="X1081" s="38">
        <f t="shared" si="96"/>
        <v>0.93492500000000078</v>
      </c>
      <c r="Y1081" s="39">
        <f t="shared" si="97"/>
        <v>1.5833333333333335E-4</v>
      </c>
      <c r="Z1081" s="39">
        <f t="shared" si="101"/>
        <v>1.6938273365902352E-4</v>
      </c>
      <c r="AA1081" s="41">
        <f t="shared" si="98"/>
        <v>32537499.999999583</v>
      </c>
      <c r="AB1081" s="39">
        <f t="shared" si="99"/>
        <v>2.4330900243309315E-3</v>
      </c>
      <c r="AC1081" s="38">
        <f t="shared" si="100"/>
        <v>0.19110106061088619</v>
      </c>
      <c r="AD1081" s="3"/>
    </row>
    <row r="1082" spans="1:30" x14ac:dyDescent="0.25">
      <c r="A1082" s="37">
        <v>46718</v>
      </c>
      <c r="B1082" s="41">
        <v>20000000</v>
      </c>
      <c r="C1082" s="41">
        <v>0</v>
      </c>
      <c r="D1082" s="41">
        <v>50000000</v>
      </c>
      <c r="E1082" s="41">
        <v>0</v>
      </c>
      <c r="F1082" s="41">
        <v>50000000</v>
      </c>
      <c r="G1082" s="41">
        <v>0</v>
      </c>
      <c r="H1082" s="41">
        <v>50000000</v>
      </c>
      <c r="I1082" s="41">
        <v>0</v>
      </c>
      <c r="J1082" s="41">
        <v>40000000</v>
      </c>
      <c r="K1082" s="41">
        <v>0</v>
      </c>
      <c r="L1082" s="41">
        <v>10000000</v>
      </c>
      <c r="M1082" s="41">
        <v>0</v>
      </c>
      <c r="N1082" s="41">
        <v>87541666.666667104</v>
      </c>
      <c r="O1082" s="41">
        <v>79166.666666666672</v>
      </c>
      <c r="P1082" s="41">
        <v>75000000</v>
      </c>
      <c r="Q1082" s="41">
        <v>0</v>
      </c>
      <c r="R1082" s="41">
        <v>50000000</v>
      </c>
      <c r="S1082" s="41">
        <v>0</v>
      </c>
      <c r="T1082" s="41">
        <v>35000000</v>
      </c>
      <c r="U1082" s="41">
        <v>0</v>
      </c>
      <c r="V1082" s="41">
        <v>467541666.6666671</v>
      </c>
      <c r="W1082" s="41">
        <v>79166.666666666672</v>
      </c>
      <c r="X1082" s="38">
        <f t="shared" si="96"/>
        <v>0.93508333333333415</v>
      </c>
      <c r="Y1082" s="39">
        <f t="shared" si="97"/>
        <v>1.5833333333333335E-4</v>
      </c>
      <c r="Z1082" s="39">
        <f t="shared" si="101"/>
        <v>1.6935404800741578E-4</v>
      </c>
      <c r="AA1082" s="41">
        <f t="shared" si="98"/>
        <v>32458333.333332896</v>
      </c>
      <c r="AB1082" s="39">
        <f t="shared" si="99"/>
        <v>2.4390243902439354E-3</v>
      </c>
      <c r="AC1082" s="38">
        <f t="shared" si="100"/>
        <v>0.1910625199023456</v>
      </c>
      <c r="AD1082" s="3"/>
    </row>
    <row r="1083" spans="1:30" x14ac:dyDescent="0.25">
      <c r="A1083" s="37">
        <v>46719</v>
      </c>
      <c r="B1083" s="41">
        <v>20000000</v>
      </c>
      <c r="C1083" s="41">
        <v>0</v>
      </c>
      <c r="D1083" s="41">
        <v>50000000</v>
      </c>
      <c r="E1083" s="41">
        <v>0</v>
      </c>
      <c r="F1083" s="41">
        <v>50000000</v>
      </c>
      <c r="G1083" s="41">
        <v>0</v>
      </c>
      <c r="H1083" s="41">
        <v>50000000</v>
      </c>
      <c r="I1083" s="41">
        <v>0</v>
      </c>
      <c r="J1083" s="41">
        <v>40000000</v>
      </c>
      <c r="K1083" s="41">
        <v>0</v>
      </c>
      <c r="L1083" s="41">
        <v>10000000</v>
      </c>
      <c r="M1083" s="41">
        <v>0</v>
      </c>
      <c r="N1083" s="41">
        <v>87620833.333333775</v>
      </c>
      <c r="O1083" s="41">
        <v>79166.666666666672</v>
      </c>
      <c r="P1083" s="41">
        <v>75000000</v>
      </c>
      <c r="Q1083" s="41">
        <v>0</v>
      </c>
      <c r="R1083" s="41">
        <v>50000000</v>
      </c>
      <c r="S1083" s="41">
        <v>0</v>
      </c>
      <c r="T1083" s="41">
        <v>35000000</v>
      </c>
      <c r="U1083" s="41">
        <v>0</v>
      </c>
      <c r="V1083" s="41">
        <v>467620833.33333379</v>
      </c>
      <c r="W1083" s="41">
        <v>79166.666666666672</v>
      </c>
      <c r="X1083" s="38">
        <f t="shared" si="96"/>
        <v>0.93524166666666753</v>
      </c>
      <c r="Y1083" s="39">
        <f t="shared" si="97"/>
        <v>1.5833333333333335E-4</v>
      </c>
      <c r="Z1083" s="39">
        <f t="shared" si="101"/>
        <v>1.6932537207022533E-4</v>
      </c>
      <c r="AA1083" s="41">
        <f t="shared" si="98"/>
        <v>32379166.66666621</v>
      </c>
      <c r="AB1083" s="39">
        <f t="shared" si="99"/>
        <v>2.4449877750611594E-3</v>
      </c>
      <c r="AC1083" s="38">
        <f t="shared" si="100"/>
        <v>0.19102399473622747</v>
      </c>
      <c r="AD1083" s="3"/>
    </row>
    <row r="1084" spans="1:30" x14ac:dyDescent="0.25">
      <c r="A1084" s="37">
        <v>46720</v>
      </c>
      <c r="B1084" s="41">
        <v>20000000</v>
      </c>
      <c r="C1084" s="41">
        <v>0</v>
      </c>
      <c r="D1084" s="41">
        <v>50000000</v>
      </c>
      <c r="E1084" s="41">
        <v>0</v>
      </c>
      <c r="F1084" s="41">
        <v>50000000</v>
      </c>
      <c r="G1084" s="41">
        <v>0</v>
      </c>
      <c r="H1084" s="41">
        <v>50000000</v>
      </c>
      <c r="I1084" s="41">
        <v>0</v>
      </c>
      <c r="J1084" s="41">
        <v>40000000</v>
      </c>
      <c r="K1084" s="41">
        <v>0</v>
      </c>
      <c r="L1084" s="41">
        <v>10000000</v>
      </c>
      <c r="M1084" s="41">
        <v>0</v>
      </c>
      <c r="N1084" s="41">
        <v>87700000.000000447</v>
      </c>
      <c r="O1084" s="41">
        <v>79166.666666666672</v>
      </c>
      <c r="P1084" s="41">
        <v>75000000</v>
      </c>
      <c r="Q1084" s="41">
        <v>0</v>
      </c>
      <c r="R1084" s="41">
        <v>50000000</v>
      </c>
      <c r="S1084" s="41">
        <v>0</v>
      </c>
      <c r="T1084" s="41">
        <v>35000000</v>
      </c>
      <c r="U1084" s="41">
        <v>0</v>
      </c>
      <c r="V1084" s="41">
        <v>467700000.00000048</v>
      </c>
      <c r="W1084" s="41">
        <v>79166.666666666672</v>
      </c>
      <c r="X1084" s="38">
        <f t="shared" si="96"/>
        <v>0.93540000000000101</v>
      </c>
      <c r="Y1084" s="39">
        <f t="shared" si="97"/>
        <v>1.5833333333333335E-4</v>
      </c>
      <c r="Z1084" s="39">
        <f t="shared" si="101"/>
        <v>1.6929670584251826E-4</v>
      </c>
      <c r="AA1084" s="41">
        <f t="shared" si="98"/>
        <v>32299999.999999523</v>
      </c>
      <c r="AB1084" s="39">
        <f t="shared" si="99"/>
        <v>2.4509803921568991E-3</v>
      </c>
      <c r="AC1084" s="38">
        <f t="shared" si="100"/>
        <v>0.19098548510313193</v>
      </c>
      <c r="AD1084" s="3"/>
    </row>
    <row r="1085" spans="1:30" x14ac:dyDescent="0.25">
      <c r="A1085" s="37">
        <v>46721</v>
      </c>
      <c r="B1085" s="41">
        <v>20000000</v>
      </c>
      <c r="C1085" s="41">
        <v>0</v>
      </c>
      <c r="D1085" s="41">
        <v>50000000</v>
      </c>
      <c r="E1085" s="41">
        <v>0</v>
      </c>
      <c r="F1085" s="41">
        <v>50000000</v>
      </c>
      <c r="G1085" s="41">
        <v>0</v>
      </c>
      <c r="H1085" s="41">
        <v>50000000</v>
      </c>
      <c r="I1085" s="41">
        <v>0</v>
      </c>
      <c r="J1085" s="41">
        <v>40000000</v>
      </c>
      <c r="K1085" s="41">
        <v>0</v>
      </c>
      <c r="L1085" s="41">
        <v>10000000</v>
      </c>
      <c r="M1085" s="41">
        <v>0</v>
      </c>
      <c r="N1085" s="41">
        <v>87779166.666667119</v>
      </c>
      <c r="O1085" s="41">
        <v>79166.666666666672</v>
      </c>
      <c r="P1085" s="41">
        <v>75000000</v>
      </c>
      <c r="Q1085" s="41">
        <v>0</v>
      </c>
      <c r="R1085" s="41">
        <v>50000000</v>
      </c>
      <c r="S1085" s="41">
        <v>0</v>
      </c>
      <c r="T1085" s="41">
        <v>35000000</v>
      </c>
      <c r="U1085" s="41">
        <v>0</v>
      </c>
      <c r="V1085" s="41">
        <v>467779166.6666671</v>
      </c>
      <c r="W1085" s="41">
        <v>79166.666666666672</v>
      </c>
      <c r="X1085" s="38">
        <f t="shared" si="96"/>
        <v>0.93555833333333416</v>
      </c>
      <c r="Y1085" s="39">
        <f t="shared" si="97"/>
        <v>1.5833333333333335E-4</v>
      </c>
      <c r="Z1085" s="39">
        <f t="shared" si="101"/>
        <v>1.6926804931936411E-4</v>
      </c>
      <c r="AA1085" s="41">
        <f t="shared" si="98"/>
        <v>32220833.333332896</v>
      </c>
      <c r="AB1085" s="39">
        <f t="shared" si="99"/>
        <v>2.4570024570024903E-3</v>
      </c>
      <c r="AC1085" s="38">
        <f t="shared" si="100"/>
        <v>0.19094699099366672</v>
      </c>
      <c r="AD1085" s="3"/>
    </row>
    <row r="1086" spans="1:30" x14ac:dyDescent="0.25">
      <c r="A1086" s="37">
        <v>46722</v>
      </c>
      <c r="B1086" s="41">
        <v>20000000</v>
      </c>
      <c r="C1086" s="41">
        <v>0</v>
      </c>
      <c r="D1086" s="41">
        <v>50000000</v>
      </c>
      <c r="E1086" s="41">
        <v>0</v>
      </c>
      <c r="F1086" s="41">
        <v>50000000</v>
      </c>
      <c r="G1086" s="41">
        <v>0</v>
      </c>
      <c r="H1086" s="41">
        <v>50000000</v>
      </c>
      <c r="I1086" s="41">
        <v>0</v>
      </c>
      <c r="J1086" s="41">
        <v>40000000</v>
      </c>
      <c r="K1086" s="41">
        <v>0</v>
      </c>
      <c r="L1086" s="41">
        <v>10000000</v>
      </c>
      <c r="M1086" s="41">
        <v>0</v>
      </c>
      <c r="N1086" s="41">
        <v>87858333.33333379</v>
      </c>
      <c r="O1086" s="41">
        <v>79166.666666666672</v>
      </c>
      <c r="P1086" s="41">
        <v>75000000</v>
      </c>
      <c r="Q1086" s="41">
        <v>0</v>
      </c>
      <c r="R1086" s="41">
        <v>50000000</v>
      </c>
      <c r="S1086" s="41">
        <v>0</v>
      </c>
      <c r="T1086" s="41">
        <v>35000000</v>
      </c>
      <c r="U1086" s="41">
        <v>0</v>
      </c>
      <c r="V1086" s="41">
        <v>467858333.33333379</v>
      </c>
      <c r="W1086" s="41">
        <v>79166.666666666672</v>
      </c>
      <c r="X1086" s="38">
        <f t="shared" si="96"/>
        <v>0.93571666666666753</v>
      </c>
      <c r="Y1086" s="39">
        <f t="shared" si="97"/>
        <v>1.5833333333333335E-4</v>
      </c>
      <c r="Z1086" s="39">
        <f t="shared" si="101"/>
        <v>1.6923940249583566E-4</v>
      </c>
      <c r="AA1086" s="41">
        <f t="shared" si="98"/>
        <v>32141666.66666621</v>
      </c>
      <c r="AB1086" s="39">
        <f t="shared" si="99"/>
        <v>2.4630541871921534E-3</v>
      </c>
      <c r="AC1086" s="38">
        <f t="shared" si="100"/>
        <v>0.19090851239844706</v>
      </c>
      <c r="AD1086" s="3"/>
    </row>
    <row r="1087" spans="1:30" x14ac:dyDescent="0.25">
      <c r="A1087" s="37">
        <v>46723</v>
      </c>
      <c r="B1087" s="41">
        <v>20000000</v>
      </c>
      <c r="C1087" s="41">
        <v>0</v>
      </c>
      <c r="D1087" s="41">
        <v>50000000</v>
      </c>
      <c r="E1087" s="41">
        <v>0</v>
      </c>
      <c r="F1087" s="41">
        <v>50000000</v>
      </c>
      <c r="G1087" s="41">
        <v>0</v>
      </c>
      <c r="H1087" s="41">
        <v>50000000</v>
      </c>
      <c r="I1087" s="41">
        <v>0</v>
      </c>
      <c r="J1087" s="41">
        <v>40000000</v>
      </c>
      <c r="K1087" s="41">
        <v>0</v>
      </c>
      <c r="L1087" s="41">
        <v>10000000</v>
      </c>
      <c r="M1087" s="41">
        <v>0</v>
      </c>
      <c r="N1087" s="41">
        <v>87937500.000000462</v>
      </c>
      <c r="O1087" s="41">
        <v>79166.666666666672</v>
      </c>
      <c r="P1087" s="41">
        <v>75000000</v>
      </c>
      <c r="Q1087" s="41">
        <v>0</v>
      </c>
      <c r="R1087" s="41">
        <v>50000000</v>
      </c>
      <c r="S1087" s="41">
        <v>0</v>
      </c>
      <c r="T1087" s="41">
        <v>35000000</v>
      </c>
      <c r="U1087" s="41">
        <v>0</v>
      </c>
      <c r="V1087" s="41">
        <v>467937500.00000048</v>
      </c>
      <c r="W1087" s="41">
        <v>79166.666666666672</v>
      </c>
      <c r="X1087" s="38">
        <f t="shared" si="96"/>
        <v>0.9358750000000009</v>
      </c>
      <c r="Y1087" s="39">
        <f t="shared" si="97"/>
        <v>1.5833333333333335E-4</v>
      </c>
      <c r="Z1087" s="39">
        <f t="shared" si="101"/>
        <v>1.692107653670091E-4</v>
      </c>
      <c r="AA1087" s="41">
        <f t="shared" si="98"/>
        <v>32062499.999999523</v>
      </c>
      <c r="AB1087" s="39">
        <f t="shared" si="99"/>
        <v>2.4691358024691726E-3</v>
      </c>
      <c r="AC1087" s="38">
        <f t="shared" si="100"/>
        <v>0.19087004930809584</v>
      </c>
      <c r="AD1087" s="3"/>
    </row>
    <row r="1088" spans="1:30" x14ac:dyDescent="0.25">
      <c r="A1088" s="37">
        <v>46724</v>
      </c>
      <c r="B1088" s="41">
        <v>20000000</v>
      </c>
      <c r="C1088" s="41">
        <v>0</v>
      </c>
      <c r="D1088" s="41">
        <v>50000000</v>
      </c>
      <c r="E1088" s="41">
        <v>0</v>
      </c>
      <c r="F1088" s="41">
        <v>50000000</v>
      </c>
      <c r="G1088" s="41">
        <v>0</v>
      </c>
      <c r="H1088" s="41">
        <v>50000000</v>
      </c>
      <c r="I1088" s="41">
        <v>0</v>
      </c>
      <c r="J1088" s="41">
        <v>40000000</v>
      </c>
      <c r="K1088" s="41">
        <v>0</v>
      </c>
      <c r="L1088" s="41">
        <v>10000000</v>
      </c>
      <c r="M1088" s="41">
        <v>0</v>
      </c>
      <c r="N1088" s="41">
        <v>88016666.666667134</v>
      </c>
      <c r="O1088" s="41">
        <v>79166.666666666672</v>
      </c>
      <c r="P1088" s="41">
        <v>75000000</v>
      </c>
      <c r="Q1088" s="41">
        <v>0</v>
      </c>
      <c r="R1088" s="41">
        <v>50000000</v>
      </c>
      <c r="S1088" s="41">
        <v>0</v>
      </c>
      <c r="T1088" s="41">
        <v>35000000</v>
      </c>
      <c r="U1088" s="41">
        <v>0</v>
      </c>
      <c r="V1088" s="41">
        <v>468016666.6666671</v>
      </c>
      <c r="W1088" s="41">
        <v>79166.666666666672</v>
      </c>
      <c r="X1088" s="38">
        <f t="shared" si="96"/>
        <v>0.93603333333333416</v>
      </c>
      <c r="Y1088" s="39">
        <f t="shared" si="97"/>
        <v>1.5833333333333335E-4</v>
      </c>
      <c r="Z1088" s="39">
        <f t="shared" si="101"/>
        <v>1.6918213792796387E-4</v>
      </c>
      <c r="AA1088" s="41">
        <f t="shared" si="98"/>
        <v>31983333.333332896</v>
      </c>
      <c r="AB1088" s="39">
        <f t="shared" si="99"/>
        <v>2.4752475247525091E-3</v>
      </c>
      <c r="AC1088" s="38">
        <f t="shared" si="100"/>
        <v>0.19083160171324351</v>
      </c>
      <c r="AD1088" s="3"/>
    </row>
    <row r="1089" spans="1:30" x14ac:dyDescent="0.25">
      <c r="A1089" s="37">
        <v>46725</v>
      </c>
      <c r="B1089" s="41">
        <v>20000000</v>
      </c>
      <c r="C1089" s="41">
        <v>0</v>
      </c>
      <c r="D1089" s="41">
        <v>50000000</v>
      </c>
      <c r="E1089" s="41">
        <v>0</v>
      </c>
      <c r="F1089" s="41">
        <v>50000000</v>
      </c>
      <c r="G1089" s="41">
        <v>0</v>
      </c>
      <c r="H1089" s="41">
        <v>50000000</v>
      </c>
      <c r="I1089" s="41">
        <v>0</v>
      </c>
      <c r="J1089" s="41">
        <v>40000000</v>
      </c>
      <c r="K1089" s="41">
        <v>0</v>
      </c>
      <c r="L1089" s="41">
        <v>10000000</v>
      </c>
      <c r="M1089" s="41">
        <v>0</v>
      </c>
      <c r="N1089" s="41">
        <v>88095833.333333805</v>
      </c>
      <c r="O1089" s="41">
        <v>79166.666666666672</v>
      </c>
      <c r="P1089" s="41">
        <v>75000000</v>
      </c>
      <c r="Q1089" s="41">
        <v>0</v>
      </c>
      <c r="R1089" s="41">
        <v>50000000</v>
      </c>
      <c r="S1089" s="41">
        <v>0</v>
      </c>
      <c r="T1089" s="41">
        <v>35000000</v>
      </c>
      <c r="U1089" s="41">
        <v>0</v>
      </c>
      <c r="V1089" s="41">
        <v>468095833.33333379</v>
      </c>
      <c r="W1089" s="41">
        <v>79166.666666666672</v>
      </c>
      <c r="X1089" s="38">
        <f t="shared" si="96"/>
        <v>0.93619166666666753</v>
      </c>
      <c r="Y1089" s="39">
        <f t="shared" si="97"/>
        <v>1.5833333333333335E-4</v>
      </c>
      <c r="Z1089" s="39">
        <f t="shared" si="101"/>
        <v>1.6915352017378283E-4</v>
      </c>
      <c r="AA1089" s="41">
        <f t="shared" si="98"/>
        <v>31904166.66666621</v>
      </c>
      <c r="AB1089" s="39">
        <f t="shared" si="99"/>
        <v>2.4813895781638073E-3</v>
      </c>
      <c r="AC1089" s="38">
        <f t="shared" si="100"/>
        <v>0.19079316960452794</v>
      </c>
      <c r="AD1089" s="3"/>
    </row>
    <row r="1090" spans="1:30" x14ac:dyDescent="0.25">
      <c r="A1090" s="37">
        <v>46726</v>
      </c>
      <c r="B1090" s="41">
        <v>20000000</v>
      </c>
      <c r="C1090" s="41">
        <v>0</v>
      </c>
      <c r="D1090" s="41">
        <v>50000000</v>
      </c>
      <c r="E1090" s="41">
        <v>0</v>
      </c>
      <c r="F1090" s="41">
        <v>50000000</v>
      </c>
      <c r="G1090" s="41">
        <v>0</v>
      </c>
      <c r="H1090" s="41">
        <v>50000000</v>
      </c>
      <c r="I1090" s="41">
        <v>0</v>
      </c>
      <c r="J1090" s="41">
        <v>40000000</v>
      </c>
      <c r="K1090" s="41">
        <v>0</v>
      </c>
      <c r="L1090" s="41">
        <v>10000000</v>
      </c>
      <c r="M1090" s="41">
        <v>0</v>
      </c>
      <c r="N1090" s="41">
        <v>88175000.000000477</v>
      </c>
      <c r="O1090" s="41">
        <v>79166.666666666672</v>
      </c>
      <c r="P1090" s="41">
        <v>75000000</v>
      </c>
      <c r="Q1090" s="41">
        <v>0</v>
      </c>
      <c r="R1090" s="41">
        <v>50000000</v>
      </c>
      <c r="S1090" s="41">
        <v>0</v>
      </c>
      <c r="T1090" s="41">
        <v>35000000</v>
      </c>
      <c r="U1090" s="41">
        <v>0</v>
      </c>
      <c r="V1090" s="41">
        <v>468175000.00000048</v>
      </c>
      <c r="W1090" s="41">
        <v>79166.666666666672</v>
      </c>
      <c r="X1090" s="38">
        <f t="shared" si="96"/>
        <v>0.9363500000000009</v>
      </c>
      <c r="Y1090" s="39">
        <f t="shared" si="97"/>
        <v>1.5833333333333335E-4</v>
      </c>
      <c r="Z1090" s="39">
        <f t="shared" si="101"/>
        <v>1.691249120995521E-4</v>
      </c>
      <c r="AA1090" s="41">
        <f t="shared" si="98"/>
        <v>31824999.999999523</v>
      </c>
      <c r="AB1090" s="39">
        <f t="shared" si="99"/>
        <v>2.4875621890547636E-3</v>
      </c>
      <c r="AC1090" s="38">
        <f t="shared" si="100"/>
        <v>0.19075475297259467</v>
      </c>
      <c r="AD1090" s="3"/>
    </row>
    <row r="1091" spans="1:30" x14ac:dyDescent="0.25">
      <c r="A1091" s="37">
        <v>46727</v>
      </c>
      <c r="B1091" s="41">
        <v>20000000</v>
      </c>
      <c r="C1091" s="41">
        <v>0</v>
      </c>
      <c r="D1091" s="41">
        <v>50000000</v>
      </c>
      <c r="E1091" s="41">
        <v>0</v>
      </c>
      <c r="F1091" s="41">
        <v>50000000</v>
      </c>
      <c r="G1091" s="41">
        <v>0</v>
      </c>
      <c r="H1091" s="41">
        <v>50000000</v>
      </c>
      <c r="I1091" s="41">
        <v>0</v>
      </c>
      <c r="J1091" s="41">
        <v>40000000</v>
      </c>
      <c r="K1091" s="41">
        <v>0</v>
      </c>
      <c r="L1091" s="41">
        <v>10000000</v>
      </c>
      <c r="M1091" s="41">
        <v>0</v>
      </c>
      <c r="N1091" s="41">
        <v>88254166.666667148</v>
      </c>
      <c r="O1091" s="41">
        <v>79166.666666666672</v>
      </c>
      <c r="P1091" s="41">
        <v>75000000</v>
      </c>
      <c r="Q1091" s="41">
        <v>0</v>
      </c>
      <c r="R1091" s="41">
        <v>50000000</v>
      </c>
      <c r="S1091" s="41">
        <v>0</v>
      </c>
      <c r="T1091" s="41">
        <v>35000000</v>
      </c>
      <c r="U1091" s="41">
        <v>0</v>
      </c>
      <c r="V1091" s="41">
        <v>468254166.66666722</v>
      </c>
      <c r="W1091" s="41">
        <v>79166.666666666672</v>
      </c>
      <c r="X1091" s="38">
        <f t="shared" si="96"/>
        <v>0.9365083333333345</v>
      </c>
      <c r="Y1091" s="39">
        <f t="shared" si="97"/>
        <v>1.5833333333333335E-4</v>
      </c>
      <c r="Z1091" s="39">
        <f t="shared" si="101"/>
        <v>1.6909631370036116E-4</v>
      </c>
      <c r="AA1091" s="41">
        <f t="shared" si="98"/>
        <v>31745833.333332777</v>
      </c>
      <c r="AB1091" s="39">
        <f t="shared" si="99"/>
        <v>2.4937655860349565E-3</v>
      </c>
      <c r="AC1091" s="38">
        <f t="shared" si="100"/>
        <v>0.19071635180809671</v>
      </c>
      <c r="AD1091" s="3"/>
    </row>
    <row r="1092" spans="1:30" x14ac:dyDescent="0.25">
      <c r="A1092" s="37">
        <v>46728</v>
      </c>
      <c r="B1092" s="41">
        <v>20000000</v>
      </c>
      <c r="C1092" s="41">
        <v>0</v>
      </c>
      <c r="D1092" s="41">
        <v>50000000</v>
      </c>
      <c r="E1092" s="41">
        <v>0</v>
      </c>
      <c r="F1092" s="41">
        <v>50000000</v>
      </c>
      <c r="G1092" s="41">
        <v>0</v>
      </c>
      <c r="H1092" s="41">
        <v>50000000</v>
      </c>
      <c r="I1092" s="41">
        <v>0</v>
      </c>
      <c r="J1092" s="41">
        <v>40000000</v>
      </c>
      <c r="K1092" s="41">
        <v>0</v>
      </c>
      <c r="L1092" s="41">
        <v>10000000</v>
      </c>
      <c r="M1092" s="41">
        <v>0</v>
      </c>
      <c r="N1092" s="41">
        <v>88333333.33333382</v>
      </c>
      <c r="O1092" s="41">
        <v>79166.666666666672</v>
      </c>
      <c r="P1092" s="41">
        <v>75000000</v>
      </c>
      <c r="Q1092" s="41">
        <v>0</v>
      </c>
      <c r="R1092" s="41">
        <v>50000000</v>
      </c>
      <c r="S1092" s="41">
        <v>0</v>
      </c>
      <c r="T1092" s="41">
        <v>35000000</v>
      </c>
      <c r="U1092" s="41">
        <v>0</v>
      </c>
      <c r="V1092" s="41">
        <v>468333333.33333379</v>
      </c>
      <c r="W1092" s="41">
        <v>79166.666666666672</v>
      </c>
      <c r="X1092" s="38">
        <f t="shared" si="96"/>
        <v>0.93666666666666754</v>
      </c>
      <c r="Y1092" s="39">
        <f t="shared" si="97"/>
        <v>1.5833333333333335E-4</v>
      </c>
      <c r="Z1092" s="39">
        <f t="shared" si="101"/>
        <v>1.6906772497130278E-4</v>
      </c>
      <c r="AA1092" s="41">
        <f t="shared" si="98"/>
        <v>31666666.66666621</v>
      </c>
      <c r="AB1092" s="39">
        <f t="shared" si="99"/>
        <v>2.500000000000036E-3</v>
      </c>
      <c r="AC1092" s="38">
        <f t="shared" si="100"/>
        <v>0.19067796610169468</v>
      </c>
      <c r="AD1092" s="3"/>
    </row>
    <row r="1093" spans="1:30" x14ac:dyDescent="0.25">
      <c r="A1093" s="37">
        <v>46729</v>
      </c>
      <c r="B1093" s="41">
        <v>20000000</v>
      </c>
      <c r="C1093" s="41">
        <v>0</v>
      </c>
      <c r="D1093" s="41">
        <v>50000000</v>
      </c>
      <c r="E1093" s="41">
        <v>0</v>
      </c>
      <c r="F1093" s="41">
        <v>50000000</v>
      </c>
      <c r="G1093" s="41">
        <v>0</v>
      </c>
      <c r="H1093" s="41">
        <v>50000000</v>
      </c>
      <c r="I1093" s="41">
        <v>0</v>
      </c>
      <c r="J1093" s="41">
        <v>40000000</v>
      </c>
      <c r="K1093" s="41">
        <v>0</v>
      </c>
      <c r="L1093" s="41">
        <v>10000000</v>
      </c>
      <c r="M1093" s="41">
        <v>0</v>
      </c>
      <c r="N1093" s="41">
        <v>88412500.000000492</v>
      </c>
      <c r="O1093" s="41">
        <v>79166.666666666672</v>
      </c>
      <c r="P1093" s="41">
        <v>75000000</v>
      </c>
      <c r="Q1093" s="41">
        <v>0</v>
      </c>
      <c r="R1093" s="41">
        <v>50000000</v>
      </c>
      <c r="S1093" s="41">
        <v>0</v>
      </c>
      <c r="T1093" s="41">
        <v>35000000</v>
      </c>
      <c r="U1093" s="41">
        <v>0</v>
      </c>
      <c r="V1093" s="41">
        <v>468412500.00000048</v>
      </c>
      <c r="W1093" s="41">
        <v>79166.666666666672</v>
      </c>
      <c r="X1093" s="38">
        <f t="shared" si="96"/>
        <v>0.93682500000000091</v>
      </c>
      <c r="Y1093" s="39">
        <f t="shared" si="97"/>
        <v>1.5833333333333335E-4</v>
      </c>
      <c r="Z1093" s="39">
        <f t="shared" si="101"/>
        <v>1.6903914590747315E-4</v>
      </c>
      <c r="AA1093" s="41">
        <f t="shared" si="98"/>
        <v>31587499.999999523</v>
      </c>
      <c r="AB1093" s="39">
        <f t="shared" si="99"/>
        <v>2.506265664160439E-3</v>
      </c>
      <c r="AC1093" s="38">
        <f t="shared" si="100"/>
        <v>0.19063959584405657</v>
      </c>
      <c r="AD1093" s="3"/>
    </row>
    <row r="1094" spans="1:30" x14ac:dyDescent="0.25">
      <c r="A1094" s="37">
        <v>46730</v>
      </c>
      <c r="B1094" s="41">
        <v>20000000</v>
      </c>
      <c r="C1094" s="41">
        <v>0</v>
      </c>
      <c r="D1094" s="41">
        <v>50000000</v>
      </c>
      <c r="E1094" s="41">
        <v>0</v>
      </c>
      <c r="F1094" s="41">
        <v>50000000</v>
      </c>
      <c r="G1094" s="41">
        <v>0</v>
      </c>
      <c r="H1094" s="41">
        <v>50000000</v>
      </c>
      <c r="I1094" s="41">
        <v>0</v>
      </c>
      <c r="J1094" s="41">
        <v>40000000</v>
      </c>
      <c r="K1094" s="41">
        <v>0</v>
      </c>
      <c r="L1094" s="41">
        <v>10000000</v>
      </c>
      <c r="M1094" s="41">
        <v>0</v>
      </c>
      <c r="N1094" s="41">
        <v>88491666.666667163</v>
      </c>
      <c r="O1094" s="41">
        <v>79166.666666666672</v>
      </c>
      <c r="P1094" s="41">
        <v>75000000</v>
      </c>
      <c r="Q1094" s="41">
        <v>0</v>
      </c>
      <c r="R1094" s="41">
        <v>50000000</v>
      </c>
      <c r="S1094" s="41">
        <v>0</v>
      </c>
      <c r="T1094" s="41">
        <v>35000000</v>
      </c>
      <c r="U1094" s="41">
        <v>0</v>
      </c>
      <c r="V1094" s="41">
        <v>468491666.66666722</v>
      </c>
      <c r="W1094" s="41">
        <v>79166.666666666672</v>
      </c>
      <c r="X1094" s="38">
        <f t="shared" si="96"/>
        <v>0.9369833333333345</v>
      </c>
      <c r="Y1094" s="39">
        <f t="shared" si="97"/>
        <v>1.5833333333333335E-4</v>
      </c>
      <c r="Z1094" s="39">
        <f t="shared" si="101"/>
        <v>1.6901057650397158E-4</v>
      </c>
      <c r="AA1094" s="41">
        <f t="shared" si="98"/>
        <v>31508333.333332777</v>
      </c>
      <c r="AB1094" s="39">
        <f t="shared" si="99"/>
        <v>2.5125628140703965E-3</v>
      </c>
      <c r="AC1094" s="38">
        <f t="shared" si="100"/>
        <v>0.19060124102585796</v>
      </c>
      <c r="AD1094" s="3"/>
    </row>
    <row r="1095" spans="1:30" x14ac:dyDescent="0.25">
      <c r="A1095" s="37">
        <v>46731</v>
      </c>
      <c r="B1095" s="41">
        <v>20000000</v>
      </c>
      <c r="C1095" s="41">
        <v>0</v>
      </c>
      <c r="D1095" s="41">
        <v>50000000</v>
      </c>
      <c r="E1095" s="41">
        <v>0</v>
      </c>
      <c r="F1095" s="41">
        <v>50000000</v>
      </c>
      <c r="G1095" s="41">
        <v>0</v>
      </c>
      <c r="H1095" s="41">
        <v>50000000</v>
      </c>
      <c r="I1095" s="41">
        <v>0</v>
      </c>
      <c r="J1095" s="41">
        <v>40000000</v>
      </c>
      <c r="K1095" s="41">
        <v>0</v>
      </c>
      <c r="L1095" s="41">
        <v>10000000</v>
      </c>
      <c r="M1095" s="41">
        <v>0</v>
      </c>
      <c r="N1095" s="41">
        <v>88570833.333333835</v>
      </c>
      <c r="O1095" s="41">
        <v>79166.666666666672</v>
      </c>
      <c r="P1095" s="41">
        <v>75000000</v>
      </c>
      <c r="Q1095" s="41">
        <v>0</v>
      </c>
      <c r="R1095" s="41">
        <v>50000000</v>
      </c>
      <c r="S1095" s="41">
        <v>0</v>
      </c>
      <c r="T1095" s="41">
        <v>35000000</v>
      </c>
      <c r="U1095" s="41">
        <v>0</v>
      </c>
      <c r="V1095" s="41">
        <v>468570833.33333379</v>
      </c>
      <c r="W1095" s="41">
        <v>79166.666666666672</v>
      </c>
      <c r="X1095" s="38">
        <f t="shared" si="96"/>
        <v>0.93714166666666754</v>
      </c>
      <c r="Y1095" s="39">
        <f t="shared" si="97"/>
        <v>1.5833333333333335E-4</v>
      </c>
      <c r="Z1095" s="39">
        <f t="shared" si="101"/>
        <v>1.6898201675590084E-4</v>
      </c>
      <c r="AA1095" s="41">
        <f t="shared" si="98"/>
        <v>31429166.66666621</v>
      </c>
      <c r="AB1095" s="39">
        <f t="shared" si="99"/>
        <v>2.5188916876574675E-3</v>
      </c>
      <c r="AC1095" s="38">
        <f t="shared" si="100"/>
        <v>0.19056290163778206</v>
      </c>
      <c r="AD1095" s="3"/>
    </row>
    <row r="1096" spans="1:30" x14ac:dyDescent="0.25">
      <c r="A1096" s="37">
        <v>46732</v>
      </c>
      <c r="B1096" s="41">
        <v>20000000</v>
      </c>
      <c r="C1096" s="41">
        <v>0</v>
      </c>
      <c r="D1096" s="41">
        <v>50000000</v>
      </c>
      <c r="E1096" s="41">
        <v>0</v>
      </c>
      <c r="F1096" s="41">
        <v>50000000</v>
      </c>
      <c r="G1096" s="41">
        <v>0</v>
      </c>
      <c r="H1096" s="41">
        <v>50000000</v>
      </c>
      <c r="I1096" s="41">
        <v>0</v>
      </c>
      <c r="J1096" s="41">
        <v>40000000</v>
      </c>
      <c r="K1096" s="41">
        <v>0</v>
      </c>
      <c r="L1096" s="41">
        <v>10000000</v>
      </c>
      <c r="M1096" s="41">
        <v>0</v>
      </c>
      <c r="N1096" s="41">
        <v>88650000.000000507</v>
      </c>
      <c r="O1096" s="41">
        <v>79166.666666666672</v>
      </c>
      <c r="P1096" s="41">
        <v>75000000</v>
      </c>
      <c r="Q1096" s="41">
        <v>0</v>
      </c>
      <c r="R1096" s="41">
        <v>50000000</v>
      </c>
      <c r="S1096" s="41">
        <v>0</v>
      </c>
      <c r="T1096" s="41">
        <v>35000000</v>
      </c>
      <c r="U1096" s="41">
        <v>0</v>
      </c>
      <c r="V1096" s="41">
        <v>468650000.00000048</v>
      </c>
      <c r="W1096" s="41">
        <v>79166.666666666672</v>
      </c>
      <c r="X1096" s="38">
        <f t="shared" si="96"/>
        <v>0.93730000000000091</v>
      </c>
      <c r="Y1096" s="39">
        <f t="shared" si="97"/>
        <v>1.5833333333333335E-4</v>
      </c>
      <c r="Z1096" s="39">
        <f t="shared" si="101"/>
        <v>1.6895346665836704E-4</v>
      </c>
      <c r="AA1096" s="41">
        <f t="shared" si="98"/>
        <v>31349999.999999523</v>
      </c>
      <c r="AB1096" s="39">
        <f t="shared" si="99"/>
        <v>2.5252525252525636E-3</v>
      </c>
      <c r="AC1096" s="38">
        <f t="shared" si="100"/>
        <v>0.19052457767051928</v>
      </c>
      <c r="AD1096" s="3"/>
    </row>
    <row r="1097" spans="1:30" x14ac:dyDescent="0.25">
      <c r="A1097" s="37">
        <v>46733</v>
      </c>
      <c r="B1097" s="41">
        <v>20000000</v>
      </c>
      <c r="C1097" s="41">
        <v>0</v>
      </c>
      <c r="D1097" s="41">
        <v>50000000</v>
      </c>
      <c r="E1097" s="41">
        <v>0</v>
      </c>
      <c r="F1097" s="41">
        <v>50000000</v>
      </c>
      <c r="G1097" s="41">
        <v>0</v>
      </c>
      <c r="H1097" s="41">
        <v>50000000</v>
      </c>
      <c r="I1097" s="41">
        <v>0</v>
      </c>
      <c r="J1097" s="41">
        <v>40000000</v>
      </c>
      <c r="K1097" s="41">
        <v>0</v>
      </c>
      <c r="L1097" s="41">
        <v>10000000</v>
      </c>
      <c r="M1097" s="41">
        <v>0</v>
      </c>
      <c r="N1097" s="41">
        <v>88729166.666667178</v>
      </c>
      <c r="O1097" s="41">
        <v>79166.666666666672</v>
      </c>
      <c r="P1097" s="41">
        <v>75000000</v>
      </c>
      <c r="Q1097" s="41">
        <v>0</v>
      </c>
      <c r="R1097" s="41">
        <v>50000000</v>
      </c>
      <c r="S1097" s="41">
        <v>0</v>
      </c>
      <c r="T1097" s="41">
        <v>35000000</v>
      </c>
      <c r="U1097" s="41">
        <v>0</v>
      </c>
      <c r="V1097" s="41">
        <v>468729166.66666722</v>
      </c>
      <c r="W1097" s="41">
        <v>79166.666666666672</v>
      </c>
      <c r="X1097" s="38">
        <f t="shared" si="96"/>
        <v>0.93745833333333439</v>
      </c>
      <c r="Y1097" s="39">
        <f t="shared" si="97"/>
        <v>1.5833333333333335E-4</v>
      </c>
      <c r="Z1097" s="39">
        <f t="shared" si="101"/>
        <v>1.6892492620647944E-4</v>
      </c>
      <c r="AA1097" s="41">
        <f t="shared" si="98"/>
        <v>31270833.333332777</v>
      </c>
      <c r="AB1097" s="39">
        <f t="shared" si="99"/>
        <v>2.5316455696202983E-3</v>
      </c>
      <c r="AC1097" s="38">
        <f t="shared" si="100"/>
        <v>0.19048626911476771</v>
      </c>
      <c r="AD1097" s="3"/>
    </row>
    <row r="1098" spans="1:30" x14ac:dyDescent="0.25">
      <c r="A1098" s="37">
        <v>46734</v>
      </c>
      <c r="B1098" s="41">
        <v>20000000</v>
      </c>
      <c r="C1098" s="41">
        <v>0</v>
      </c>
      <c r="D1098" s="41">
        <v>50000000</v>
      </c>
      <c r="E1098" s="41">
        <v>0</v>
      </c>
      <c r="F1098" s="41">
        <v>50000000</v>
      </c>
      <c r="G1098" s="41">
        <v>0</v>
      </c>
      <c r="H1098" s="41">
        <v>50000000</v>
      </c>
      <c r="I1098" s="41">
        <v>0</v>
      </c>
      <c r="J1098" s="41">
        <v>40000000</v>
      </c>
      <c r="K1098" s="41">
        <v>0</v>
      </c>
      <c r="L1098" s="41">
        <v>10000000</v>
      </c>
      <c r="M1098" s="41">
        <v>0</v>
      </c>
      <c r="N1098" s="41">
        <v>88808333.33333385</v>
      </c>
      <c r="O1098" s="41">
        <v>79166.666666666672</v>
      </c>
      <c r="P1098" s="41">
        <v>75000000</v>
      </c>
      <c r="Q1098" s="41">
        <v>0</v>
      </c>
      <c r="R1098" s="41">
        <v>50000000</v>
      </c>
      <c r="S1098" s="41">
        <v>0</v>
      </c>
      <c r="T1098" s="41">
        <v>35000000</v>
      </c>
      <c r="U1098" s="41">
        <v>0</v>
      </c>
      <c r="V1098" s="41">
        <v>468808333.33333379</v>
      </c>
      <c r="W1098" s="41">
        <v>79166.666666666672</v>
      </c>
      <c r="X1098" s="38">
        <f t="shared" si="96"/>
        <v>0.93761666666666754</v>
      </c>
      <c r="Y1098" s="39">
        <f t="shared" si="97"/>
        <v>1.5833333333333335E-4</v>
      </c>
      <c r="Z1098" s="39">
        <f t="shared" si="101"/>
        <v>1.6889639539535071E-4</v>
      </c>
      <c r="AA1098" s="41">
        <f t="shared" si="98"/>
        <v>31191666.66666621</v>
      </c>
      <c r="AB1098" s="39">
        <f t="shared" si="99"/>
        <v>2.5380710659898852E-3</v>
      </c>
      <c r="AC1098" s="38">
        <f t="shared" si="100"/>
        <v>0.19044797596123303</v>
      </c>
      <c r="AD1098" s="3"/>
    </row>
    <row r="1099" spans="1:30" x14ac:dyDescent="0.25">
      <c r="A1099" s="37">
        <v>46735</v>
      </c>
      <c r="B1099" s="41">
        <v>20000000</v>
      </c>
      <c r="C1099" s="41">
        <v>0</v>
      </c>
      <c r="D1099" s="41">
        <v>50000000</v>
      </c>
      <c r="E1099" s="41">
        <v>0</v>
      </c>
      <c r="F1099" s="41">
        <v>50000000</v>
      </c>
      <c r="G1099" s="41">
        <v>0</v>
      </c>
      <c r="H1099" s="41">
        <v>50000000</v>
      </c>
      <c r="I1099" s="41">
        <v>0</v>
      </c>
      <c r="J1099" s="41">
        <v>40000000</v>
      </c>
      <c r="K1099" s="41">
        <v>0</v>
      </c>
      <c r="L1099" s="41">
        <v>10000000</v>
      </c>
      <c r="M1099" s="41">
        <v>0</v>
      </c>
      <c r="N1099" s="41">
        <v>88887500.000000522</v>
      </c>
      <c r="O1099" s="41">
        <v>79166.666666666672</v>
      </c>
      <c r="P1099" s="41">
        <v>75000000</v>
      </c>
      <c r="Q1099" s="41">
        <v>0</v>
      </c>
      <c r="R1099" s="41">
        <v>50000000</v>
      </c>
      <c r="S1099" s="41">
        <v>0</v>
      </c>
      <c r="T1099" s="41">
        <v>35000000</v>
      </c>
      <c r="U1099" s="41">
        <v>0</v>
      </c>
      <c r="V1099" s="41">
        <v>468887500.00000048</v>
      </c>
      <c r="W1099" s="41">
        <v>79166.666666666672</v>
      </c>
      <c r="X1099" s="38">
        <f t="shared" si="96"/>
        <v>0.93777500000000091</v>
      </c>
      <c r="Y1099" s="39">
        <f t="shared" si="97"/>
        <v>1.5833333333333335E-4</v>
      </c>
      <c r="Z1099" s="39">
        <f t="shared" si="101"/>
        <v>1.688678742200969E-4</v>
      </c>
      <c r="AA1099" s="41">
        <f t="shared" si="98"/>
        <v>31112499.999999523</v>
      </c>
      <c r="AB1099" s="39">
        <f t="shared" si="99"/>
        <v>2.5445292620865532E-3</v>
      </c>
      <c r="AC1099" s="38">
        <f t="shared" si="100"/>
        <v>0.19040969820062811</v>
      </c>
      <c r="AD1099" s="3"/>
    </row>
    <row r="1100" spans="1:30" x14ac:dyDescent="0.25">
      <c r="A1100" s="37">
        <v>46736</v>
      </c>
      <c r="B1100" s="41">
        <v>20000000</v>
      </c>
      <c r="C1100" s="41">
        <v>0</v>
      </c>
      <c r="D1100" s="41">
        <v>50000000</v>
      </c>
      <c r="E1100" s="41">
        <v>0</v>
      </c>
      <c r="F1100" s="41">
        <v>50000000</v>
      </c>
      <c r="G1100" s="41">
        <v>0</v>
      </c>
      <c r="H1100" s="41">
        <v>50000000</v>
      </c>
      <c r="I1100" s="41">
        <v>0</v>
      </c>
      <c r="J1100" s="41">
        <v>40000000</v>
      </c>
      <c r="K1100" s="41">
        <v>0</v>
      </c>
      <c r="L1100" s="41">
        <v>10000000</v>
      </c>
      <c r="M1100" s="41">
        <v>0</v>
      </c>
      <c r="N1100" s="41">
        <v>88966666.666667193</v>
      </c>
      <c r="O1100" s="41">
        <v>79166.666666666672</v>
      </c>
      <c r="P1100" s="41">
        <v>75000000</v>
      </c>
      <c r="Q1100" s="41">
        <v>0</v>
      </c>
      <c r="R1100" s="41">
        <v>50000000</v>
      </c>
      <c r="S1100" s="41">
        <v>0</v>
      </c>
      <c r="T1100" s="41">
        <v>35000000</v>
      </c>
      <c r="U1100" s="41">
        <v>0</v>
      </c>
      <c r="V1100" s="41">
        <v>468966666.66666722</v>
      </c>
      <c r="W1100" s="41">
        <v>79166.666666666672</v>
      </c>
      <c r="X1100" s="38">
        <f t="shared" si="96"/>
        <v>0.9379333333333344</v>
      </c>
      <c r="Y1100" s="39">
        <f t="shared" si="97"/>
        <v>1.5833333333333335E-4</v>
      </c>
      <c r="Z1100" s="39">
        <f t="shared" si="101"/>
        <v>1.6883936267583714E-4</v>
      </c>
      <c r="AA1100" s="41">
        <f t="shared" si="98"/>
        <v>31033333.333332777</v>
      </c>
      <c r="AB1100" s="39">
        <f t="shared" si="99"/>
        <v>2.5510204081633111E-3</v>
      </c>
      <c r="AC1100" s="38">
        <f t="shared" si="100"/>
        <v>0.19037143582367347</v>
      </c>
      <c r="AD1100" s="3"/>
    </row>
    <row r="1101" spans="1:30" x14ac:dyDescent="0.25">
      <c r="A1101" s="37">
        <v>46737</v>
      </c>
      <c r="B1101" s="41">
        <v>20000000</v>
      </c>
      <c r="C1101" s="41">
        <v>0</v>
      </c>
      <c r="D1101" s="41">
        <v>50000000</v>
      </c>
      <c r="E1101" s="41">
        <v>0</v>
      </c>
      <c r="F1101" s="41">
        <v>50000000</v>
      </c>
      <c r="G1101" s="41">
        <v>0</v>
      </c>
      <c r="H1101" s="41">
        <v>50000000</v>
      </c>
      <c r="I1101" s="41">
        <v>0</v>
      </c>
      <c r="J1101" s="41">
        <v>40000000</v>
      </c>
      <c r="K1101" s="41">
        <v>0</v>
      </c>
      <c r="L1101" s="41">
        <v>10000000</v>
      </c>
      <c r="M1101" s="41">
        <v>0</v>
      </c>
      <c r="N1101" s="41">
        <v>89045833.333333865</v>
      </c>
      <c r="O1101" s="41">
        <v>79166.666666666672</v>
      </c>
      <c r="P1101" s="41">
        <v>75000000</v>
      </c>
      <c r="Q1101" s="41">
        <v>0</v>
      </c>
      <c r="R1101" s="41">
        <v>50000000</v>
      </c>
      <c r="S1101" s="41">
        <v>0</v>
      </c>
      <c r="T1101" s="41">
        <v>35000000</v>
      </c>
      <c r="U1101" s="41">
        <v>0</v>
      </c>
      <c r="V1101" s="41">
        <v>469045833.33333379</v>
      </c>
      <c r="W1101" s="41">
        <v>79166.666666666672</v>
      </c>
      <c r="X1101" s="38">
        <f t="shared" si="96"/>
        <v>0.93809166666666755</v>
      </c>
      <c r="Y1101" s="39">
        <f t="shared" si="97"/>
        <v>1.5833333333333335E-4</v>
      </c>
      <c r="Z1101" s="39">
        <f t="shared" si="101"/>
        <v>1.6881086075769402E-4</v>
      </c>
      <c r="AA1101" s="41">
        <f t="shared" si="98"/>
        <v>30954166.66666621</v>
      </c>
      <c r="AB1101" s="39">
        <f t="shared" si="99"/>
        <v>2.557544757033286E-3</v>
      </c>
      <c r="AC1101" s="38">
        <f t="shared" si="100"/>
        <v>0.19033318882109715</v>
      </c>
      <c r="AD1101" s="3"/>
    </row>
    <row r="1102" spans="1:30" x14ac:dyDescent="0.25">
      <c r="A1102" s="37">
        <v>46738</v>
      </c>
      <c r="B1102" s="41">
        <v>20000000</v>
      </c>
      <c r="C1102" s="41">
        <v>0</v>
      </c>
      <c r="D1102" s="41">
        <v>50000000</v>
      </c>
      <c r="E1102" s="41">
        <v>0</v>
      </c>
      <c r="F1102" s="41">
        <v>50000000</v>
      </c>
      <c r="G1102" s="41">
        <v>0</v>
      </c>
      <c r="H1102" s="41">
        <v>50000000</v>
      </c>
      <c r="I1102" s="41">
        <v>0</v>
      </c>
      <c r="J1102" s="41">
        <v>40000000</v>
      </c>
      <c r="K1102" s="41">
        <v>0</v>
      </c>
      <c r="L1102" s="41">
        <v>10000000</v>
      </c>
      <c r="M1102" s="41">
        <v>0</v>
      </c>
      <c r="N1102" s="41">
        <v>89125000.000000536</v>
      </c>
      <c r="O1102" s="41">
        <v>79166.666666666672</v>
      </c>
      <c r="P1102" s="41">
        <v>75000000</v>
      </c>
      <c r="Q1102" s="41">
        <v>0</v>
      </c>
      <c r="R1102" s="41">
        <v>50000000</v>
      </c>
      <c r="S1102" s="41">
        <v>0</v>
      </c>
      <c r="T1102" s="41">
        <v>35000000</v>
      </c>
      <c r="U1102" s="41">
        <v>0</v>
      </c>
      <c r="V1102" s="41">
        <v>469125000.00000048</v>
      </c>
      <c r="W1102" s="41">
        <v>79166.666666666672</v>
      </c>
      <c r="X1102" s="38">
        <f t="shared" si="96"/>
        <v>0.93825000000000092</v>
      </c>
      <c r="Y1102" s="39">
        <f t="shared" si="97"/>
        <v>1.5833333333333335E-4</v>
      </c>
      <c r="Z1102" s="39">
        <f t="shared" si="101"/>
        <v>1.6878236846079348E-4</v>
      </c>
      <c r="AA1102" s="41">
        <f t="shared" si="98"/>
        <v>30874999.999999523</v>
      </c>
      <c r="AB1102" s="39">
        <f t="shared" si="99"/>
        <v>2.564102564102604E-3</v>
      </c>
      <c r="AC1102" s="38">
        <f t="shared" si="100"/>
        <v>0.1902949571836344</v>
      </c>
      <c r="AD1102" s="3"/>
    </row>
    <row r="1103" spans="1:30" x14ac:dyDescent="0.25">
      <c r="A1103" s="37">
        <v>46739</v>
      </c>
      <c r="B1103" s="41">
        <v>20000000</v>
      </c>
      <c r="C1103" s="41">
        <v>0</v>
      </c>
      <c r="D1103" s="41">
        <v>50000000</v>
      </c>
      <c r="E1103" s="41">
        <v>0</v>
      </c>
      <c r="F1103" s="41">
        <v>50000000</v>
      </c>
      <c r="G1103" s="41">
        <v>0</v>
      </c>
      <c r="H1103" s="41">
        <v>50000000</v>
      </c>
      <c r="I1103" s="41">
        <v>0</v>
      </c>
      <c r="J1103" s="41">
        <v>40000000</v>
      </c>
      <c r="K1103" s="41">
        <v>0</v>
      </c>
      <c r="L1103" s="41">
        <v>10000000</v>
      </c>
      <c r="M1103" s="41">
        <v>0</v>
      </c>
      <c r="N1103" s="41">
        <v>89204166.666667208</v>
      </c>
      <c r="O1103" s="41">
        <v>79166.666666666672</v>
      </c>
      <c r="P1103" s="41">
        <v>75000000</v>
      </c>
      <c r="Q1103" s="41">
        <v>0</v>
      </c>
      <c r="R1103" s="41">
        <v>50000000</v>
      </c>
      <c r="S1103" s="41">
        <v>0</v>
      </c>
      <c r="T1103" s="41">
        <v>35000000</v>
      </c>
      <c r="U1103" s="41">
        <v>0</v>
      </c>
      <c r="V1103" s="41">
        <v>469204166.66666722</v>
      </c>
      <c r="W1103" s="41">
        <v>79166.666666666672</v>
      </c>
      <c r="X1103" s="38">
        <f t="shared" si="96"/>
        <v>0.9384083333333344</v>
      </c>
      <c r="Y1103" s="39">
        <f t="shared" si="97"/>
        <v>1.5833333333333335E-4</v>
      </c>
      <c r="Z1103" s="39">
        <f t="shared" si="101"/>
        <v>1.6875388578026451E-4</v>
      </c>
      <c r="AA1103" s="41">
        <f t="shared" si="98"/>
        <v>30795833.333332777</v>
      </c>
      <c r="AB1103" s="39">
        <f t="shared" si="99"/>
        <v>2.5706940874036456E-3</v>
      </c>
      <c r="AC1103" s="38">
        <f t="shared" si="100"/>
        <v>0.19025674090202807</v>
      </c>
      <c r="AD1103" s="3"/>
    </row>
    <row r="1104" spans="1:30" x14ac:dyDescent="0.25">
      <c r="A1104" s="37">
        <v>46740</v>
      </c>
      <c r="B1104" s="41">
        <v>20000000</v>
      </c>
      <c r="C1104" s="41">
        <v>0</v>
      </c>
      <c r="D1104" s="41">
        <v>50000000</v>
      </c>
      <c r="E1104" s="41">
        <v>0</v>
      </c>
      <c r="F1104" s="41">
        <v>50000000</v>
      </c>
      <c r="G1104" s="41">
        <v>0</v>
      </c>
      <c r="H1104" s="41">
        <v>50000000</v>
      </c>
      <c r="I1104" s="41">
        <v>0</v>
      </c>
      <c r="J1104" s="41">
        <v>40000000</v>
      </c>
      <c r="K1104" s="41">
        <v>0</v>
      </c>
      <c r="L1104" s="41">
        <v>10000000</v>
      </c>
      <c r="M1104" s="41">
        <v>0</v>
      </c>
      <c r="N1104" s="41">
        <v>89283333.33333388</v>
      </c>
      <c r="O1104" s="41">
        <v>79166.666666666672</v>
      </c>
      <c r="P1104" s="41">
        <v>75000000</v>
      </c>
      <c r="Q1104" s="41">
        <v>0</v>
      </c>
      <c r="R1104" s="41">
        <v>50000000</v>
      </c>
      <c r="S1104" s="41">
        <v>0</v>
      </c>
      <c r="T1104" s="41">
        <v>35000000</v>
      </c>
      <c r="U1104" s="41">
        <v>0</v>
      </c>
      <c r="V1104" s="41">
        <v>469283333.33333379</v>
      </c>
      <c r="W1104" s="41">
        <v>79166.666666666672</v>
      </c>
      <c r="X1104" s="38">
        <f t="shared" si="96"/>
        <v>0.93856666666666755</v>
      </c>
      <c r="Y1104" s="39">
        <f t="shared" si="97"/>
        <v>1.5833333333333335E-4</v>
      </c>
      <c r="Z1104" s="39">
        <f t="shared" si="101"/>
        <v>1.6872541271123958E-4</v>
      </c>
      <c r="AA1104" s="41">
        <f t="shared" si="98"/>
        <v>30716666.66666621</v>
      </c>
      <c r="AB1104" s="39">
        <f t="shared" si="99"/>
        <v>2.5773195876289045E-3</v>
      </c>
      <c r="AC1104" s="38">
        <f t="shared" si="100"/>
        <v>0.19021853996702856</v>
      </c>
      <c r="AD1104" s="3"/>
    </row>
    <row r="1105" spans="1:30" x14ac:dyDescent="0.25">
      <c r="A1105" s="37">
        <v>46741</v>
      </c>
      <c r="B1105" s="41">
        <v>20000000</v>
      </c>
      <c r="C1105" s="41">
        <v>0</v>
      </c>
      <c r="D1105" s="41">
        <v>50000000</v>
      </c>
      <c r="E1105" s="41">
        <v>0</v>
      </c>
      <c r="F1105" s="41">
        <v>50000000</v>
      </c>
      <c r="G1105" s="41">
        <v>0</v>
      </c>
      <c r="H1105" s="41">
        <v>50000000</v>
      </c>
      <c r="I1105" s="41">
        <v>0</v>
      </c>
      <c r="J1105" s="41">
        <v>40000000</v>
      </c>
      <c r="K1105" s="41">
        <v>0</v>
      </c>
      <c r="L1105" s="41">
        <v>10000000</v>
      </c>
      <c r="M1105" s="41">
        <v>0</v>
      </c>
      <c r="N1105" s="41">
        <v>89362500.000000551</v>
      </c>
      <c r="O1105" s="41">
        <v>79166.666666666672</v>
      </c>
      <c r="P1105" s="41">
        <v>75000000</v>
      </c>
      <c r="Q1105" s="41">
        <v>0</v>
      </c>
      <c r="R1105" s="41">
        <v>50000000</v>
      </c>
      <c r="S1105" s="41">
        <v>0</v>
      </c>
      <c r="T1105" s="41">
        <v>35000000</v>
      </c>
      <c r="U1105" s="41">
        <v>0</v>
      </c>
      <c r="V1105" s="41">
        <v>469362500.00000048</v>
      </c>
      <c r="W1105" s="41">
        <v>79166.666666666672</v>
      </c>
      <c r="X1105" s="38">
        <f t="shared" si="96"/>
        <v>0.93872500000000092</v>
      </c>
      <c r="Y1105" s="39">
        <f t="shared" si="97"/>
        <v>1.5833333333333335E-4</v>
      </c>
      <c r="Z1105" s="39">
        <f t="shared" si="101"/>
        <v>1.6869694924885449E-4</v>
      </c>
      <c r="AA1105" s="41">
        <f t="shared" si="98"/>
        <v>30637499.999999523</v>
      </c>
      <c r="AB1105" s="39">
        <f t="shared" si="99"/>
        <v>2.5839793281654151E-3</v>
      </c>
      <c r="AC1105" s="38">
        <f t="shared" si="100"/>
        <v>0.1901803543693934</v>
      </c>
      <c r="AD1105" s="3"/>
    </row>
    <row r="1106" spans="1:30" x14ac:dyDescent="0.25">
      <c r="A1106" s="37">
        <v>46742</v>
      </c>
      <c r="B1106" s="41">
        <v>20000000</v>
      </c>
      <c r="C1106" s="41">
        <v>0</v>
      </c>
      <c r="D1106" s="41">
        <v>50000000</v>
      </c>
      <c r="E1106" s="41">
        <v>0</v>
      </c>
      <c r="F1106" s="41">
        <v>50000000</v>
      </c>
      <c r="G1106" s="41">
        <v>0</v>
      </c>
      <c r="H1106" s="41">
        <v>50000000</v>
      </c>
      <c r="I1106" s="41">
        <v>0</v>
      </c>
      <c r="J1106" s="41">
        <v>40000000</v>
      </c>
      <c r="K1106" s="41">
        <v>0</v>
      </c>
      <c r="L1106" s="41">
        <v>10000000</v>
      </c>
      <c r="M1106" s="41">
        <v>0</v>
      </c>
      <c r="N1106" s="41">
        <v>89441666.666667223</v>
      </c>
      <c r="O1106" s="41">
        <v>79166.666666666672</v>
      </c>
      <c r="P1106" s="41">
        <v>75000000</v>
      </c>
      <c r="Q1106" s="41">
        <v>0</v>
      </c>
      <c r="R1106" s="41">
        <v>50000000</v>
      </c>
      <c r="S1106" s="41">
        <v>0</v>
      </c>
      <c r="T1106" s="41">
        <v>35000000</v>
      </c>
      <c r="U1106" s="41">
        <v>0</v>
      </c>
      <c r="V1106" s="41">
        <v>469441666.66666722</v>
      </c>
      <c r="W1106" s="41">
        <v>79166.666666666672</v>
      </c>
      <c r="X1106" s="38">
        <f t="shared" si="96"/>
        <v>0.9388833333333344</v>
      </c>
      <c r="Y1106" s="39">
        <f t="shared" si="97"/>
        <v>1.5833333333333335E-4</v>
      </c>
      <c r="Z1106" s="39">
        <f t="shared" si="101"/>
        <v>1.6866849538824807E-4</v>
      </c>
      <c r="AA1106" s="41">
        <f t="shared" si="98"/>
        <v>30558333.333332777</v>
      </c>
      <c r="AB1106" s="39">
        <f t="shared" si="99"/>
        <v>2.590673575129581E-3</v>
      </c>
      <c r="AC1106" s="38">
        <f t="shared" si="100"/>
        <v>0.19014218409988776</v>
      </c>
      <c r="AD1106" s="3"/>
    </row>
    <row r="1107" spans="1:30" x14ac:dyDescent="0.25">
      <c r="A1107" s="37">
        <v>46743</v>
      </c>
      <c r="B1107" s="41">
        <v>20000000</v>
      </c>
      <c r="C1107" s="41">
        <v>0</v>
      </c>
      <c r="D1107" s="41">
        <v>50000000</v>
      </c>
      <c r="E1107" s="41">
        <v>0</v>
      </c>
      <c r="F1107" s="41">
        <v>50000000</v>
      </c>
      <c r="G1107" s="41">
        <v>0</v>
      </c>
      <c r="H1107" s="41">
        <v>50000000</v>
      </c>
      <c r="I1107" s="41">
        <v>0</v>
      </c>
      <c r="J1107" s="41">
        <v>40000000</v>
      </c>
      <c r="K1107" s="41">
        <v>0</v>
      </c>
      <c r="L1107" s="41">
        <v>10000000</v>
      </c>
      <c r="M1107" s="41">
        <v>0</v>
      </c>
      <c r="N1107" s="41">
        <v>89520833.333333895</v>
      </c>
      <c r="O1107" s="41">
        <v>79166.666666666672</v>
      </c>
      <c r="P1107" s="41">
        <v>75000000</v>
      </c>
      <c r="Q1107" s="41">
        <v>0</v>
      </c>
      <c r="R1107" s="41">
        <v>50000000</v>
      </c>
      <c r="S1107" s="41">
        <v>0</v>
      </c>
      <c r="T1107" s="41">
        <v>35000000</v>
      </c>
      <c r="U1107" s="41">
        <v>0</v>
      </c>
      <c r="V1107" s="41">
        <v>469520833.33333391</v>
      </c>
      <c r="W1107" s="41">
        <v>79166.666666666672</v>
      </c>
      <c r="X1107" s="38">
        <f t="shared" si="96"/>
        <v>0.93904166666666777</v>
      </c>
      <c r="Y1107" s="39">
        <f t="shared" si="97"/>
        <v>1.5833333333333335E-4</v>
      </c>
      <c r="Z1107" s="39">
        <f t="shared" si="101"/>
        <v>1.6864005112456268E-4</v>
      </c>
      <c r="AA1107" s="41">
        <f t="shared" si="98"/>
        <v>30479166.66666609</v>
      </c>
      <c r="AB1107" s="39">
        <f t="shared" si="99"/>
        <v>2.5974025974026468E-3</v>
      </c>
      <c r="AC1107" s="38">
        <f t="shared" si="100"/>
        <v>0.1901040291492842</v>
      </c>
      <c r="AD1107" s="3"/>
    </row>
    <row r="1108" spans="1:30" x14ac:dyDescent="0.25">
      <c r="A1108" s="37">
        <v>46744</v>
      </c>
      <c r="B1108" s="41">
        <v>20000000</v>
      </c>
      <c r="C1108" s="41">
        <v>0</v>
      </c>
      <c r="D1108" s="41">
        <v>50000000</v>
      </c>
      <c r="E1108" s="41">
        <v>0</v>
      </c>
      <c r="F1108" s="41">
        <v>50000000</v>
      </c>
      <c r="G1108" s="41">
        <v>0</v>
      </c>
      <c r="H1108" s="41">
        <v>50000000</v>
      </c>
      <c r="I1108" s="41">
        <v>0</v>
      </c>
      <c r="J1108" s="41">
        <v>40000000</v>
      </c>
      <c r="K1108" s="41">
        <v>0</v>
      </c>
      <c r="L1108" s="41">
        <v>10000000</v>
      </c>
      <c r="M1108" s="41">
        <v>0</v>
      </c>
      <c r="N1108" s="41">
        <v>89600000.000000566</v>
      </c>
      <c r="O1108" s="41">
        <v>79166.666666666672</v>
      </c>
      <c r="P1108" s="41">
        <v>75000000</v>
      </c>
      <c r="Q1108" s="41">
        <v>0</v>
      </c>
      <c r="R1108" s="41">
        <v>50000000</v>
      </c>
      <c r="S1108" s="41">
        <v>0</v>
      </c>
      <c r="T1108" s="41">
        <v>35000000</v>
      </c>
      <c r="U1108" s="41">
        <v>0</v>
      </c>
      <c r="V1108" s="41">
        <v>469600000.0000006</v>
      </c>
      <c r="W1108" s="41">
        <v>79166.666666666672</v>
      </c>
      <c r="X1108" s="38">
        <f t="shared" si="96"/>
        <v>0.93920000000000115</v>
      </c>
      <c r="Y1108" s="39">
        <f t="shared" si="97"/>
        <v>1.5833333333333335E-4</v>
      </c>
      <c r="Z1108" s="39">
        <f t="shared" si="101"/>
        <v>1.6861161645294386E-4</v>
      </c>
      <c r="AA1108" s="41">
        <f t="shared" si="98"/>
        <v>30399999.999999404</v>
      </c>
      <c r="AB1108" s="39">
        <f t="shared" si="99"/>
        <v>2.6041666666667177E-3</v>
      </c>
      <c r="AC1108" s="38">
        <f t="shared" si="100"/>
        <v>0.19006588950836262</v>
      </c>
      <c r="AD1108" s="3"/>
    </row>
    <row r="1109" spans="1:30" x14ac:dyDescent="0.25">
      <c r="A1109" s="37">
        <v>46745</v>
      </c>
      <c r="B1109" s="41">
        <v>20000000</v>
      </c>
      <c r="C1109" s="41">
        <v>0</v>
      </c>
      <c r="D1109" s="41">
        <v>50000000</v>
      </c>
      <c r="E1109" s="41">
        <v>0</v>
      </c>
      <c r="F1109" s="41">
        <v>50000000</v>
      </c>
      <c r="G1109" s="41">
        <v>0</v>
      </c>
      <c r="H1109" s="41">
        <v>50000000</v>
      </c>
      <c r="I1109" s="41">
        <v>0</v>
      </c>
      <c r="J1109" s="41">
        <v>40000000</v>
      </c>
      <c r="K1109" s="41">
        <v>0</v>
      </c>
      <c r="L1109" s="41">
        <v>10000000</v>
      </c>
      <c r="M1109" s="41">
        <v>0</v>
      </c>
      <c r="N1109" s="41">
        <v>89679166.666667238</v>
      </c>
      <c r="O1109" s="41">
        <v>79166.666666666672</v>
      </c>
      <c r="P1109" s="41">
        <v>75000000</v>
      </c>
      <c r="Q1109" s="41">
        <v>0</v>
      </c>
      <c r="R1109" s="41">
        <v>50000000</v>
      </c>
      <c r="S1109" s="41">
        <v>0</v>
      </c>
      <c r="T1109" s="41">
        <v>35000000</v>
      </c>
      <c r="U1109" s="41">
        <v>0</v>
      </c>
      <c r="V1109" s="41">
        <v>469679166.66666722</v>
      </c>
      <c r="W1109" s="41">
        <v>79166.666666666672</v>
      </c>
      <c r="X1109" s="38">
        <f t="shared" si="96"/>
        <v>0.93935833333333441</v>
      </c>
      <c r="Y1109" s="39">
        <f t="shared" si="97"/>
        <v>1.5833333333333335E-4</v>
      </c>
      <c r="Z1109" s="39">
        <f t="shared" si="101"/>
        <v>1.6858319136854041E-4</v>
      </c>
      <c r="AA1109" s="41">
        <f t="shared" si="98"/>
        <v>30320833.333332777</v>
      </c>
      <c r="AB1109" s="39">
        <f t="shared" si="99"/>
        <v>2.6109660574413014E-3</v>
      </c>
      <c r="AC1109" s="38">
        <f t="shared" si="100"/>
        <v>0.19002776516791037</v>
      </c>
      <c r="AD1109" s="3"/>
    </row>
    <row r="1110" spans="1:30" x14ac:dyDescent="0.25">
      <c r="A1110" s="37">
        <v>46746</v>
      </c>
      <c r="B1110" s="41">
        <v>20000000</v>
      </c>
      <c r="C1110" s="41">
        <v>0</v>
      </c>
      <c r="D1110" s="41">
        <v>50000000</v>
      </c>
      <c r="E1110" s="41">
        <v>0</v>
      </c>
      <c r="F1110" s="41">
        <v>50000000</v>
      </c>
      <c r="G1110" s="41">
        <v>0</v>
      </c>
      <c r="H1110" s="41">
        <v>50000000</v>
      </c>
      <c r="I1110" s="41">
        <v>0</v>
      </c>
      <c r="J1110" s="41">
        <v>40000000</v>
      </c>
      <c r="K1110" s="41">
        <v>0</v>
      </c>
      <c r="L1110" s="41">
        <v>10000000</v>
      </c>
      <c r="M1110" s="41">
        <v>0</v>
      </c>
      <c r="N1110" s="41">
        <v>89758333.33333391</v>
      </c>
      <c r="O1110" s="41">
        <v>79166.666666666672</v>
      </c>
      <c r="P1110" s="41">
        <v>75000000</v>
      </c>
      <c r="Q1110" s="41">
        <v>0</v>
      </c>
      <c r="R1110" s="41">
        <v>50000000</v>
      </c>
      <c r="S1110" s="41">
        <v>0</v>
      </c>
      <c r="T1110" s="41">
        <v>35000000</v>
      </c>
      <c r="U1110" s="41">
        <v>0</v>
      </c>
      <c r="V1110" s="41">
        <v>469758333.33333391</v>
      </c>
      <c r="W1110" s="41">
        <v>79166.666666666672</v>
      </c>
      <c r="X1110" s="38">
        <f t="shared" si="96"/>
        <v>0.93951666666666778</v>
      </c>
      <c r="Y1110" s="39">
        <f t="shared" si="97"/>
        <v>1.5833333333333335E-4</v>
      </c>
      <c r="Z1110" s="39">
        <f t="shared" si="101"/>
        <v>1.6855477586650444E-4</v>
      </c>
      <c r="AA1110" s="41">
        <f t="shared" si="98"/>
        <v>30241666.66666609</v>
      </c>
      <c r="AB1110" s="39">
        <f t="shared" si="99"/>
        <v>2.6178010471204689E-3</v>
      </c>
      <c r="AC1110" s="38">
        <f t="shared" si="100"/>
        <v>0.18998965611872215</v>
      </c>
      <c r="AD1110" s="3"/>
    </row>
    <row r="1111" spans="1:30" x14ac:dyDescent="0.25">
      <c r="A1111" s="37">
        <v>46747</v>
      </c>
      <c r="B1111" s="41">
        <v>20000000</v>
      </c>
      <c r="C1111" s="41">
        <v>0</v>
      </c>
      <c r="D1111" s="41">
        <v>50000000</v>
      </c>
      <c r="E1111" s="41">
        <v>0</v>
      </c>
      <c r="F1111" s="41">
        <v>50000000</v>
      </c>
      <c r="G1111" s="41">
        <v>0</v>
      </c>
      <c r="H1111" s="41">
        <v>50000000</v>
      </c>
      <c r="I1111" s="41">
        <v>0</v>
      </c>
      <c r="J1111" s="41">
        <v>40000000</v>
      </c>
      <c r="K1111" s="41">
        <v>0</v>
      </c>
      <c r="L1111" s="41">
        <v>10000000</v>
      </c>
      <c r="M1111" s="41">
        <v>0</v>
      </c>
      <c r="N1111" s="41">
        <v>89837500.000000581</v>
      </c>
      <c r="O1111" s="41">
        <v>79166.666666666672</v>
      </c>
      <c r="P1111" s="41">
        <v>75000000</v>
      </c>
      <c r="Q1111" s="41">
        <v>0</v>
      </c>
      <c r="R1111" s="41">
        <v>50000000</v>
      </c>
      <c r="S1111" s="41">
        <v>0</v>
      </c>
      <c r="T1111" s="41">
        <v>35000000</v>
      </c>
      <c r="U1111" s="41">
        <v>0</v>
      </c>
      <c r="V1111" s="41">
        <v>469837500.0000006</v>
      </c>
      <c r="W1111" s="41">
        <v>79166.666666666672</v>
      </c>
      <c r="X1111" s="38">
        <f t="shared" ref="X1111:X1174" si="102">V1111/$B$6</f>
        <v>0.93967500000000115</v>
      </c>
      <c r="Y1111" s="39">
        <f t="shared" ref="Y1111:Y1174" si="103">W1111/$B$6</f>
        <v>1.5833333333333335E-4</v>
      </c>
      <c r="Z1111" s="39">
        <f t="shared" si="101"/>
        <v>1.6852636994199124E-4</v>
      </c>
      <c r="AA1111" s="41">
        <f t="shared" ref="AA1111:AA1174" si="104">$B$6-V1111</f>
        <v>30162499.999999404</v>
      </c>
      <c r="AB1111" s="39">
        <f t="shared" ref="AB1111:AB1174" si="105">W1111/AA1111</f>
        <v>2.6246719160105507E-3</v>
      </c>
      <c r="AC1111" s="38">
        <f t="shared" ref="AC1111:AC1174" si="106" xml:space="preserve"> P1111/(V1111-P1111)</f>
        <v>0.18995156235160005</v>
      </c>
      <c r="AD1111" s="3"/>
    </row>
    <row r="1112" spans="1:30" x14ac:dyDescent="0.25">
      <c r="A1112" s="37">
        <v>46748</v>
      </c>
      <c r="B1112" s="41">
        <v>20000000</v>
      </c>
      <c r="C1112" s="41">
        <v>0</v>
      </c>
      <c r="D1112" s="41">
        <v>50000000</v>
      </c>
      <c r="E1112" s="41">
        <v>0</v>
      </c>
      <c r="F1112" s="41">
        <v>50000000</v>
      </c>
      <c r="G1112" s="41">
        <v>0</v>
      </c>
      <c r="H1112" s="41">
        <v>50000000</v>
      </c>
      <c r="I1112" s="41">
        <v>0</v>
      </c>
      <c r="J1112" s="41">
        <v>40000000</v>
      </c>
      <c r="K1112" s="41">
        <v>0</v>
      </c>
      <c r="L1112" s="41">
        <v>10000000</v>
      </c>
      <c r="M1112" s="41">
        <v>0</v>
      </c>
      <c r="N1112" s="41">
        <v>89916666.666667253</v>
      </c>
      <c r="O1112" s="41">
        <v>79166.666666666672</v>
      </c>
      <c r="P1112" s="41">
        <v>75000000</v>
      </c>
      <c r="Q1112" s="41">
        <v>0</v>
      </c>
      <c r="R1112" s="41">
        <v>50000000</v>
      </c>
      <c r="S1112" s="41">
        <v>0</v>
      </c>
      <c r="T1112" s="41">
        <v>35000000</v>
      </c>
      <c r="U1112" s="41">
        <v>0</v>
      </c>
      <c r="V1112" s="41">
        <v>469916666.66666722</v>
      </c>
      <c r="W1112" s="41">
        <v>79166.666666666672</v>
      </c>
      <c r="X1112" s="38">
        <f t="shared" si="102"/>
        <v>0.93983333333333441</v>
      </c>
      <c r="Y1112" s="39">
        <f t="shared" si="103"/>
        <v>1.5833333333333335E-4</v>
      </c>
      <c r="Z1112" s="39">
        <f t="shared" ref="Z1112:Z1175" si="107">W1112/V1111</f>
        <v>1.6849797359015951E-4</v>
      </c>
      <c r="AA1112" s="41">
        <f t="shared" si="104"/>
        <v>30083333.333332777</v>
      </c>
      <c r="AB1112" s="39">
        <f t="shared" si="105"/>
        <v>2.63157894736847E-3</v>
      </c>
      <c r="AC1112" s="38">
        <f t="shared" si="106"/>
        <v>0.1899134838573536</v>
      </c>
      <c r="AD1112" s="3"/>
    </row>
    <row r="1113" spans="1:30" x14ac:dyDescent="0.25">
      <c r="A1113" s="37">
        <v>46749</v>
      </c>
      <c r="B1113" s="41">
        <v>20000000</v>
      </c>
      <c r="C1113" s="41">
        <v>0</v>
      </c>
      <c r="D1113" s="41">
        <v>50000000</v>
      </c>
      <c r="E1113" s="41">
        <v>0</v>
      </c>
      <c r="F1113" s="41">
        <v>50000000</v>
      </c>
      <c r="G1113" s="41">
        <v>0</v>
      </c>
      <c r="H1113" s="41">
        <v>50000000</v>
      </c>
      <c r="I1113" s="41">
        <v>0</v>
      </c>
      <c r="J1113" s="41">
        <v>40000000</v>
      </c>
      <c r="K1113" s="41">
        <v>0</v>
      </c>
      <c r="L1113" s="41">
        <v>10000000</v>
      </c>
      <c r="M1113" s="41">
        <v>0</v>
      </c>
      <c r="N1113" s="41">
        <v>89995833.333333924</v>
      </c>
      <c r="O1113" s="41">
        <v>79166.666666666672</v>
      </c>
      <c r="P1113" s="41">
        <v>75000000</v>
      </c>
      <c r="Q1113" s="41">
        <v>0</v>
      </c>
      <c r="R1113" s="41">
        <v>50000000</v>
      </c>
      <c r="S1113" s="41">
        <v>0</v>
      </c>
      <c r="T1113" s="41">
        <v>35000000</v>
      </c>
      <c r="U1113" s="41">
        <v>0</v>
      </c>
      <c r="V1113" s="41">
        <v>469995833.33333391</v>
      </c>
      <c r="W1113" s="41">
        <v>79166.666666666672</v>
      </c>
      <c r="X1113" s="38">
        <f t="shared" si="102"/>
        <v>0.93999166666666778</v>
      </c>
      <c r="Y1113" s="39">
        <f t="shared" si="103"/>
        <v>1.5833333333333335E-4</v>
      </c>
      <c r="Z1113" s="39">
        <f t="shared" si="107"/>
        <v>1.6846958680617112E-4</v>
      </c>
      <c r="AA1113" s="41">
        <f t="shared" si="104"/>
        <v>30004166.66666609</v>
      </c>
      <c r="AB1113" s="39">
        <f t="shared" si="105"/>
        <v>2.6385224274406839E-3</v>
      </c>
      <c r="AC1113" s="38">
        <f t="shared" si="106"/>
        <v>0.18987542062679957</v>
      </c>
      <c r="AD1113" s="3"/>
    </row>
    <row r="1114" spans="1:30" x14ac:dyDescent="0.25">
      <c r="A1114" s="37">
        <v>46750</v>
      </c>
      <c r="B1114" s="41">
        <v>20000000</v>
      </c>
      <c r="C1114" s="41">
        <v>0</v>
      </c>
      <c r="D1114" s="41">
        <v>50000000</v>
      </c>
      <c r="E1114" s="41">
        <v>0</v>
      </c>
      <c r="F1114" s="41">
        <v>50000000</v>
      </c>
      <c r="G1114" s="41">
        <v>0</v>
      </c>
      <c r="H1114" s="41">
        <v>50000000</v>
      </c>
      <c r="I1114" s="41">
        <v>0</v>
      </c>
      <c r="J1114" s="41">
        <v>40000000</v>
      </c>
      <c r="K1114" s="41">
        <v>0</v>
      </c>
      <c r="L1114" s="41">
        <v>10000000</v>
      </c>
      <c r="M1114" s="41">
        <v>0</v>
      </c>
      <c r="N1114" s="41">
        <v>90075000.000000596</v>
      </c>
      <c r="O1114" s="41">
        <v>79166.666666666672</v>
      </c>
      <c r="P1114" s="41">
        <v>75000000</v>
      </c>
      <c r="Q1114" s="41">
        <v>0</v>
      </c>
      <c r="R1114" s="41">
        <v>50000000</v>
      </c>
      <c r="S1114" s="41">
        <v>0</v>
      </c>
      <c r="T1114" s="41">
        <v>35000000</v>
      </c>
      <c r="U1114" s="41">
        <v>0</v>
      </c>
      <c r="V1114" s="41">
        <v>470075000.0000006</v>
      </c>
      <c r="W1114" s="41">
        <v>79166.666666666672</v>
      </c>
      <c r="X1114" s="38">
        <f t="shared" si="102"/>
        <v>0.94015000000000115</v>
      </c>
      <c r="Y1114" s="39">
        <f t="shared" si="103"/>
        <v>1.5833333333333335E-4</v>
      </c>
      <c r="Z1114" s="39">
        <f t="shared" si="107"/>
        <v>1.6844120958519116E-4</v>
      </c>
      <c r="AA1114" s="41">
        <f t="shared" si="104"/>
        <v>29924999.999999404</v>
      </c>
      <c r="AB1114" s="39">
        <f t="shared" si="105"/>
        <v>2.6455026455026983E-3</v>
      </c>
      <c r="AC1114" s="38">
        <f t="shared" si="106"/>
        <v>0.18983737265076223</v>
      </c>
      <c r="AD1114" s="3"/>
    </row>
    <row r="1115" spans="1:30" x14ac:dyDescent="0.25">
      <c r="A1115" s="37">
        <v>46751</v>
      </c>
      <c r="B1115" s="41">
        <v>20000000</v>
      </c>
      <c r="C1115" s="41">
        <v>0</v>
      </c>
      <c r="D1115" s="41">
        <v>50000000</v>
      </c>
      <c r="E1115" s="41">
        <v>0</v>
      </c>
      <c r="F1115" s="41">
        <v>50000000</v>
      </c>
      <c r="G1115" s="41">
        <v>0</v>
      </c>
      <c r="H1115" s="41">
        <v>50000000</v>
      </c>
      <c r="I1115" s="41">
        <v>0</v>
      </c>
      <c r="J1115" s="41">
        <v>40000000</v>
      </c>
      <c r="K1115" s="41">
        <v>0</v>
      </c>
      <c r="L1115" s="41">
        <v>10000000</v>
      </c>
      <c r="M1115" s="41">
        <v>0</v>
      </c>
      <c r="N1115" s="41">
        <v>90154166.666667268</v>
      </c>
      <c r="O1115" s="41">
        <v>79166.666666666672</v>
      </c>
      <c r="P1115" s="41">
        <v>75000000</v>
      </c>
      <c r="Q1115" s="41">
        <v>0</v>
      </c>
      <c r="R1115" s="41">
        <v>50000000</v>
      </c>
      <c r="S1115" s="41">
        <v>0</v>
      </c>
      <c r="T1115" s="41">
        <v>35000000</v>
      </c>
      <c r="U1115" s="41">
        <v>0</v>
      </c>
      <c r="V1115" s="41">
        <v>470154166.66666728</v>
      </c>
      <c r="W1115" s="41">
        <v>79166.666666666672</v>
      </c>
      <c r="X1115" s="38">
        <f t="shared" si="102"/>
        <v>0.94030833333333452</v>
      </c>
      <c r="Y1115" s="39">
        <f t="shared" si="103"/>
        <v>1.5833333333333335E-4</v>
      </c>
      <c r="Z1115" s="39">
        <f t="shared" si="107"/>
        <v>1.6841284192238806E-4</v>
      </c>
      <c r="AA1115" s="41">
        <f t="shared" si="104"/>
        <v>29845833.333332717</v>
      </c>
      <c r="AB1115" s="39">
        <f t="shared" si="105"/>
        <v>2.6525198938992592E-3</v>
      </c>
      <c r="AC1115" s="38">
        <f t="shared" si="106"/>
        <v>0.18979933992007308</v>
      </c>
      <c r="AD1115" s="3"/>
    </row>
    <row r="1116" spans="1:30" x14ac:dyDescent="0.25">
      <c r="A1116" s="37">
        <v>46752</v>
      </c>
      <c r="B1116" s="41">
        <v>20000000</v>
      </c>
      <c r="C1116" s="41">
        <v>0</v>
      </c>
      <c r="D1116" s="41">
        <v>50000000</v>
      </c>
      <c r="E1116" s="41">
        <v>0</v>
      </c>
      <c r="F1116" s="41">
        <v>50000000</v>
      </c>
      <c r="G1116" s="41">
        <v>0</v>
      </c>
      <c r="H1116" s="41">
        <v>50000000</v>
      </c>
      <c r="I1116" s="41">
        <v>0</v>
      </c>
      <c r="J1116" s="41">
        <v>40000000</v>
      </c>
      <c r="K1116" s="41">
        <v>0</v>
      </c>
      <c r="L1116" s="41">
        <v>10000000</v>
      </c>
      <c r="M1116" s="41">
        <v>0</v>
      </c>
      <c r="N1116" s="41">
        <v>90233333.333333939</v>
      </c>
      <c r="O1116" s="41">
        <v>79166.666666666672</v>
      </c>
      <c r="P1116" s="41">
        <v>75000000</v>
      </c>
      <c r="Q1116" s="41">
        <v>0</v>
      </c>
      <c r="R1116" s="41">
        <v>50000000</v>
      </c>
      <c r="S1116" s="41">
        <v>0</v>
      </c>
      <c r="T1116" s="41">
        <v>35000000</v>
      </c>
      <c r="U1116" s="41">
        <v>0</v>
      </c>
      <c r="V1116" s="41">
        <v>470233333.33333403</v>
      </c>
      <c r="W1116" s="41">
        <v>79166.666666666672</v>
      </c>
      <c r="X1116" s="38">
        <f t="shared" si="102"/>
        <v>0.94046666666666801</v>
      </c>
      <c r="Y1116" s="39">
        <f t="shared" si="103"/>
        <v>1.5833333333333335E-4</v>
      </c>
      <c r="Z1116" s="39">
        <f t="shared" si="107"/>
        <v>1.683844838129335E-4</v>
      </c>
      <c r="AA1116" s="41">
        <f t="shared" si="104"/>
        <v>29766666.666665971</v>
      </c>
      <c r="AB1116" s="39">
        <f t="shared" si="105"/>
        <v>2.6595744680851688E-3</v>
      </c>
      <c r="AC1116" s="38">
        <f t="shared" si="106"/>
        <v>0.18976132242557106</v>
      </c>
      <c r="AD1116" s="3"/>
    </row>
    <row r="1117" spans="1:30" x14ac:dyDescent="0.25">
      <c r="A1117" s="37">
        <v>46753</v>
      </c>
      <c r="B1117" s="41">
        <v>20000000</v>
      </c>
      <c r="C1117" s="41">
        <v>0</v>
      </c>
      <c r="D1117" s="41">
        <v>50000000</v>
      </c>
      <c r="E1117" s="41">
        <v>0</v>
      </c>
      <c r="F1117" s="41">
        <v>50000000</v>
      </c>
      <c r="G1117" s="41">
        <v>0</v>
      </c>
      <c r="H1117" s="41">
        <v>50000000</v>
      </c>
      <c r="I1117" s="41">
        <v>0</v>
      </c>
      <c r="J1117" s="41">
        <v>40000000</v>
      </c>
      <c r="K1117" s="41">
        <v>0</v>
      </c>
      <c r="L1117" s="41">
        <v>10000000</v>
      </c>
      <c r="M1117" s="41">
        <v>0</v>
      </c>
      <c r="N1117" s="41">
        <v>90312500.000000611</v>
      </c>
      <c r="O1117" s="41">
        <v>79166.666666666672</v>
      </c>
      <c r="P1117" s="41">
        <v>75000000</v>
      </c>
      <c r="Q1117" s="41">
        <v>0</v>
      </c>
      <c r="R1117" s="41">
        <v>50000000</v>
      </c>
      <c r="S1117" s="41">
        <v>0</v>
      </c>
      <c r="T1117" s="41">
        <v>35000000</v>
      </c>
      <c r="U1117" s="41">
        <v>0</v>
      </c>
      <c r="V1117" s="41">
        <v>470312500.0000006</v>
      </c>
      <c r="W1117" s="41">
        <v>79166.666666666672</v>
      </c>
      <c r="X1117" s="38">
        <f t="shared" si="102"/>
        <v>0.94062500000000115</v>
      </c>
      <c r="Y1117" s="39">
        <f t="shared" si="103"/>
        <v>1.5833333333333335E-4</v>
      </c>
      <c r="Z1117" s="39">
        <f t="shared" si="107"/>
        <v>1.6835613525200232E-4</v>
      </c>
      <c r="AA1117" s="41">
        <f t="shared" si="104"/>
        <v>29687499.999999404</v>
      </c>
      <c r="AB1117" s="39">
        <f t="shared" si="105"/>
        <v>2.6666666666667204E-3</v>
      </c>
      <c r="AC1117" s="38">
        <f t="shared" si="106"/>
        <v>0.18972332015810248</v>
      </c>
      <c r="AD1117" s="3"/>
    </row>
    <row r="1118" spans="1:30" x14ac:dyDescent="0.25">
      <c r="A1118" s="37">
        <v>46754</v>
      </c>
      <c r="B1118" s="41">
        <v>20000000</v>
      </c>
      <c r="C1118" s="41">
        <v>0</v>
      </c>
      <c r="D1118" s="41">
        <v>50000000</v>
      </c>
      <c r="E1118" s="41">
        <v>0</v>
      </c>
      <c r="F1118" s="41">
        <v>50000000</v>
      </c>
      <c r="G1118" s="41">
        <v>0</v>
      </c>
      <c r="H1118" s="41">
        <v>50000000</v>
      </c>
      <c r="I1118" s="41">
        <v>0</v>
      </c>
      <c r="J1118" s="41">
        <v>40000000</v>
      </c>
      <c r="K1118" s="41">
        <v>0</v>
      </c>
      <c r="L1118" s="41">
        <v>10000000</v>
      </c>
      <c r="M1118" s="41">
        <v>0</v>
      </c>
      <c r="N1118" s="41">
        <v>90391666.666667283</v>
      </c>
      <c r="O1118" s="41">
        <v>79166.666666666672</v>
      </c>
      <c r="P1118" s="41">
        <v>75000000</v>
      </c>
      <c r="Q1118" s="41">
        <v>0</v>
      </c>
      <c r="R1118" s="41">
        <v>50000000</v>
      </c>
      <c r="S1118" s="41">
        <v>0</v>
      </c>
      <c r="T1118" s="41">
        <v>35000000</v>
      </c>
      <c r="U1118" s="41">
        <v>0</v>
      </c>
      <c r="V1118" s="41">
        <v>470391666.66666728</v>
      </c>
      <c r="W1118" s="41">
        <v>79166.666666666672</v>
      </c>
      <c r="X1118" s="38">
        <f t="shared" si="102"/>
        <v>0.94078333333333453</v>
      </c>
      <c r="Y1118" s="39">
        <f t="shared" si="103"/>
        <v>1.5833333333333335E-4</v>
      </c>
      <c r="Z1118" s="39">
        <f t="shared" si="107"/>
        <v>1.6832779623477277E-4</v>
      </c>
      <c r="AA1118" s="41">
        <f t="shared" si="104"/>
        <v>29608333.333332717</v>
      </c>
      <c r="AB1118" s="39">
        <f t="shared" si="105"/>
        <v>2.6737967914439061E-3</v>
      </c>
      <c r="AC1118" s="38">
        <f t="shared" si="106"/>
        <v>0.18968533310852079</v>
      </c>
      <c r="AD1118" s="3"/>
    </row>
    <row r="1119" spans="1:30" x14ac:dyDescent="0.25">
      <c r="A1119" s="37">
        <v>46755</v>
      </c>
      <c r="B1119" s="41">
        <v>20000000</v>
      </c>
      <c r="C1119" s="41">
        <v>0</v>
      </c>
      <c r="D1119" s="41">
        <v>50000000</v>
      </c>
      <c r="E1119" s="41">
        <v>0</v>
      </c>
      <c r="F1119" s="41">
        <v>50000000</v>
      </c>
      <c r="G1119" s="41">
        <v>0</v>
      </c>
      <c r="H1119" s="41">
        <v>50000000</v>
      </c>
      <c r="I1119" s="41">
        <v>0</v>
      </c>
      <c r="J1119" s="41">
        <v>40000000</v>
      </c>
      <c r="K1119" s="41">
        <v>0</v>
      </c>
      <c r="L1119" s="41">
        <v>10000000</v>
      </c>
      <c r="M1119" s="41">
        <v>0</v>
      </c>
      <c r="N1119" s="41">
        <v>90470833.333333954</v>
      </c>
      <c r="O1119" s="41">
        <v>79166.666666666672</v>
      </c>
      <c r="P1119" s="41">
        <v>75000000</v>
      </c>
      <c r="Q1119" s="41">
        <v>0</v>
      </c>
      <c r="R1119" s="41">
        <v>50000000</v>
      </c>
      <c r="S1119" s="41">
        <v>0</v>
      </c>
      <c r="T1119" s="41">
        <v>35000000</v>
      </c>
      <c r="U1119" s="41">
        <v>0</v>
      </c>
      <c r="V1119" s="41">
        <v>470470833.33333403</v>
      </c>
      <c r="W1119" s="41">
        <v>79166.666666666672</v>
      </c>
      <c r="X1119" s="38">
        <f t="shared" si="102"/>
        <v>0.94094166666666801</v>
      </c>
      <c r="Y1119" s="39">
        <f t="shared" si="103"/>
        <v>1.5833333333333335E-4</v>
      </c>
      <c r="Z1119" s="39">
        <f t="shared" si="107"/>
        <v>1.6829946675642616E-4</v>
      </c>
      <c r="AA1119" s="41">
        <f t="shared" si="104"/>
        <v>29529166.666665971</v>
      </c>
      <c r="AB1119" s="39">
        <f t="shared" si="105"/>
        <v>2.6809651474531465E-3</v>
      </c>
      <c r="AC1119" s="38">
        <f t="shared" si="106"/>
        <v>0.18964736126768691</v>
      </c>
      <c r="AD1119" s="3"/>
    </row>
    <row r="1120" spans="1:30" x14ac:dyDescent="0.25">
      <c r="A1120" s="37">
        <v>46756</v>
      </c>
      <c r="B1120" s="41">
        <v>20000000</v>
      </c>
      <c r="C1120" s="41">
        <v>0</v>
      </c>
      <c r="D1120" s="41">
        <v>50000000</v>
      </c>
      <c r="E1120" s="41">
        <v>0</v>
      </c>
      <c r="F1120" s="41">
        <v>50000000</v>
      </c>
      <c r="G1120" s="41">
        <v>0</v>
      </c>
      <c r="H1120" s="41">
        <v>50000000</v>
      </c>
      <c r="I1120" s="41">
        <v>0</v>
      </c>
      <c r="J1120" s="41">
        <v>40000000</v>
      </c>
      <c r="K1120" s="41">
        <v>0</v>
      </c>
      <c r="L1120" s="41">
        <v>10000000</v>
      </c>
      <c r="M1120" s="41">
        <v>0</v>
      </c>
      <c r="N1120" s="41">
        <v>90550000.000000626</v>
      </c>
      <c r="O1120" s="41">
        <v>79166.666666666672</v>
      </c>
      <c r="P1120" s="41">
        <v>75000000</v>
      </c>
      <c r="Q1120" s="41">
        <v>0</v>
      </c>
      <c r="R1120" s="41">
        <v>50000000</v>
      </c>
      <c r="S1120" s="41">
        <v>0</v>
      </c>
      <c r="T1120" s="41">
        <v>35000000</v>
      </c>
      <c r="U1120" s="41">
        <v>0</v>
      </c>
      <c r="V1120" s="41">
        <v>470550000.0000006</v>
      </c>
      <c r="W1120" s="41">
        <v>79166.666666666672</v>
      </c>
      <c r="X1120" s="38">
        <f t="shared" si="102"/>
        <v>0.94110000000000116</v>
      </c>
      <c r="Y1120" s="39">
        <f t="shared" si="103"/>
        <v>1.5833333333333335E-4</v>
      </c>
      <c r="Z1120" s="39">
        <f t="shared" si="107"/>
        <v>1.6827114681214716E-4</v>
      </c>
      <c r="AA1120" s="41">
        <f t="shared" si="104"/>
        <v>29449999.999999404</v>
      </c>
      <c r="AB1120" s="39">
        <f t="shared" si="105"/>
        <v>2.6881720430108071E-3</v>
      </c>
      <c r="AC1120" s="38">
        <f t="shared" si="106"/>
        <v>0.18960940462646919</v>
      </c>
      <c r="AD1120" s="3"/>
    </row>
    <row r="1121" spans="1:30" x14ac:dyDescent="0.25">
      <c r="A1121" s="37">
        <v>46757</v>
      </c>
      <c r="B1121" s="41">
        <v>20000000</v>
      </c>
      <c r="C1121" s="41">
        <v>0</v>
      </c>
      <c r="D1121" s="41">
        <v>50000000</v>
      </c>
      <c r="E1121" s="41">
        <v>0</v>
      </c>
      <c r="F1121" s="41">
        <v>50000000</v>
      </c>
      <c r="G1121" s="41">
        <v>0</v>
      </c>
      <c r="H1121" s="41">
        <v>50000000</v>
      </c>
      <c r="I1121" s="41">
        <v>0</v>
      </c>
      <c r="J1121" s="41">
        <v>40000000</v>
      </c>
      <c r="K1121" s="41">
        <v>0</v>
      </c>
      <c r="L1121" s="41">
        <v>10000000</v>
      </c>
      <c r="M1121" s="41">
        <v>0</v>
      </c>
      <c r="N1121" s="41">
        <v>90629166.666667297</v>
      </c>
      <c r="O1121" s="41">
        <v>79166.666666666672</v>
      </c>
      <c r="P1121" s="41">
        <v>75000000</v>
      </c>
      <c r="Q1121" s="41">
        <v>0</v>
      </c>
      <c r="R1121" s="41">
        <v>50000000</v>
      </c>
      <c r="S1121" s="41">
        <v>0</v>
      </c>
      <c r="T1121" s="41">
        <v>35000000</v>
      </c>
      <c r="U1121" s="41">
        <v>0</v>
      </c>
      <c r="V1121" s="41">
        <v>470629166.66666728</v>
      </c>
      <c r="W1121" s="41">
        <v>79166.666666666672</v>
      </c>
      <c r="X1121" s="38">
        <f t="shared" si="102"/>
        <v>0.94125833333333453</v>
      </c>
      <c r="Y1121" s="39">
        <f t="shared" si="103"/>
        <v>1.5833333333333335E-4</v>
      </c>
      <c r="Z1121" s="39">
        <f t="shared" si="107"/>
        <v>1.6824283639712374E-4</v>
      </c>
      <c r="AA1121" s="41">
        <f t="shared" si="104"/>
        <v>29370833.333332717</v>
      </c>
      <c r="AB1121" s="39">
        <f t="shared" si="105"/>
        <v>2.6954177897574689E-3</v>
      </c>
      <c r="AC1121" s="38">
        <f t="shared" si="106"/>
        <v>0.18957146317574297</v>
      </c>
      <c r="AD1121" s="3"/>
    </row>
    <row r="1122" spans="1:30" x14ac:dyDescent="0.25">
      <c r="A1122" s="37">
        <v>46758</v>
      </c>
      <c r="B1122" s="41">
        <v>20000000</v>
      </c>
      <c r="C1122" s="41">
        <v>0</v>
      </c>
      <c r="D1122" s="41">
        <v>50000000</v>
      </c>
      <c r="E1122" s="41">
        <v>0</v>
      </c>
      <c r="F1122" s="41">
        <v>50000000</v>
      </c>
      <c r="G1122" s="41">
        <v>0</v>
      </c>
      <c r="H1122" s="41">
        <v>50000000</v>
      </c>
      <c r="I1122" s="41">
        <v>0</v>
      </c>
      <c r="J1122" s="41">
        <v>40000000</v>
      </c>
      <c r="K1122" s="41">
        <v>0</v>
      </c>
      <c r="L1122" s="41">
        <v>10000000</v>
      </c>
      <c r="M1122" s="41">
        <v>0</v>
      </c>
      <c r="N1122" s="41">
        <v>90708333.333333969</v>
      </c>
      <c r="O1122" s="41">
        <v>79166.666666666672</v>
      </c>
      <c r="P1122" s="41">
        <v>75000000</v>
      </c>
      <c r="Q1122" s="41">
        <v>0</v>
      </c>
      <c r="R1122" s="41">
        <v>50000000</v>
      </c>
      <c r="S1122" s="41">
        <v>0</v>
      </c>
      <c r="T1122" s="41">
        <v>35000000</v>
      </c>
      <c r="U1122" s="41">
        <v>0</v>
      </c>
      <c r="V1122" s="41">
        <v>470708333.33333403</v>
      </c>
      <c r="W1122" s="41">
        <v>79166.666666666672</v>
      </c>
      <c r="X1122" s="38">
        <f t="shared" si="102"/>
        <v>0.94141666666666801</v>
      </c>
      <c r="Y1122" s="39">
        <f t="shared" si="103"/>
        <v>1.5833333333333335E-4</v>
      </c>
      <c r="Z1122" s="39">
        <f t="shared" si="107"/>
        <v>1.6821453550654687E-4</v>
      </c>
      <c r="AA1122" s="41">
        <f t="shared" si="104"/>
        <v>29291666.666665971</v>
      </c>
      <c r="AB1122" s="39">
        <f t="shared" si="105"/>
        <v>2.702702702702767E-3</v>
      </c>
      <c r="AC1122" s="38">
        <f t="shared" si="106"/>
        <v>0.18953353690639116</v>
      </c>
      <c r="AD1122" s="3"/>
    </row>
    <row r="1123" spans="1:30" x14ac:dyDescent="0.25">
      <c r="A1123" s="37">
        <v>46759</v>
      </c>
      <c r="B1123" s="41">
        <v>20000000</v>
      </c>
      <c r="C1123" s="41">
        <v>0</v>
      </c>
      <c r="D1123" s="41">
        <v>50000000</v>
      </c>
      <c r="E1123" s="41">
        <v>0</v>
      </c>
      <c r="F1123" s="41">
        <v>50000000</v>
      </c>
      <c r="G1123" s="41">
        <v>0</v>
      </c>
      <c r="H1123" s="41">
        <v>50000000</v>
      </c>
      <c r="I1123" s="41">
        <v>0</v>
      </c>
      <c r="J1123" s="41">
        <v>40000000</v>
      </c>
      <c r="K1123" s="41">
        <v>0</v>
      </c>
      <c r="L1123" s="41">
        <v>10000000</v>
      </c>
      <c r="M1123" s="41">
        <v>0</v>
      </c>
      <c r="N1123" s="41">
        <v>90787500.000000641</v>
      </c>
      <c r="O1123" s="41">
        <v>79166.666666666672</v>
      </c>
      <c r="P1123" s="41">
        <v>75000000</v>
      </c>
      <c r="Q1123" s="41">
        <v>0</v>
      </c>
      <c r="R1123" s="41">
        <v>50000000</v>
      </c>
      <c r="S1123" s="41">
        <v>0</v>
      </c>
      <c r="T1123" s="41">
        <v>35000000</v>
      </c>
      <c r="U1123" s="41">
        <v>0</v>
      </c>
      <c r="V1123" s="41">
        <v>470787500.00000072</v>
      </c>
      <c r="W1123" s="41">
        <v>79166.666666666672</v>
      </c>
      <c r="X1123" s="38">
        <f t="shared" si="102"/>
        <v>0.94157500000000138</v>
      </c>
      <c r="Y1123" s="39">
        <f t="shared" si="103"/>
        <v>1.5833333333333335E-4</v>
      </c>
      <c r="Z1123" s="39">
        <f t="shared" si="107"/>
        <v>1.68186244135611E-4</v>
      </c>
      <c r="AA1123" s="41">
        <f t="shared" si="104"/>
        <v>29212499.999999285</v>
      </c>
      <c r="AB1123" s="39">
        <f t="shared" si="105"/>
        <v>2.7100271002710691E-3</v>
      </c>
      <c r="AC1123" s="38">
        <f t="shared" si="106"/>
        <v>0.1894956258093039</v>
      </c>
      <c r="AD1123" s="3"/>
    </row>
    <row r="1124" spans="1:30" x14ac:dyDescent="0.25">
      <c r="A1124" s="37">
        <v>46760</v>
      </c>
      <c r="B1124" s="41">
        <v>20000000</v>
      </c>
      <c r="C1124" s="41">
        <v>0</v>
      </c>
      <c r="D1124" s="41">
        <v>50000000</v>
      </c>
      <c r="E1124" s="41">
        <v>0</v>
      </c>
      <c r="F1124" s="41">
        <v>50000000</v>
      </c>
      <c r="G1124" s="41">
        <v>0</v>
      </c>
      <c r="H1124" s="41">
        <v>50000000</v>
      </c>
      <c r="I1124" s="41">
        <v>0</v>
      </c>
      <c r="J1124" s="41">
        <v>40000000</v>
      </c>
      <c r="K1124" s="41">
        <v>0</v>
      </c>
      <c r="L1124" s="41">
        <v>10000000</v>
      </c>
      <c r="M1124" s="41">
        <v>0</v>
      </c>
      <c r="N1124" s="41">
        <v>90866666.666667312</v>
      </c>
      <c r="O1124" s="41">
        <v>79166.666666666672</v>
      </c>
      <c r="P1124" s="41">
        <v>75000000</v>
      </c>
      <c r="Q1124" s="41">
        <v>0</v>
      </c>
      <c r="R1124" s="41">
        <v>50000000</v>
      </c>
      <c r="S1124" s="41">
        <v>0</v>
      </c>
      <c r="T1124" s="41">
        <v>35000000</v>
      </c>
      <c r="U1124" s="41">
        <v>0</v>
      </c>
      <c r="V1124" s="41">
        <v>470866666.66666728</v>
      </c>
      <c r="W1124" s="41">
        <v>79166.666666666672</v>
      </c>
      <c r="X1124" s="38">
        <f t="shared" si="102"/>
        <v>0.94173333333333453</v>
      </c>
      <c r="Y1124" s="39">
        <f t="shared" si="103"/>
        <v>1.5833333333333335E-4</v>
      </c>
      <c r="Z1124" s="39">
        <f t="shared" si="107"/>
        <v>1.6815796227951369E-4</v>
      </c>
      <c r="AA1124" s="41">
        <f t="shared" si="104"/>
        <v>29133333.333332717</v>
      </c>
      <c r="AB1124" s="39">
        <f t="shared" si="105"/>
        <v>2.7173913043478837E-3</v>
      </c>
      <c r="AC1124" s="38">
        <f t="shared" si="106"/>
        <v>0.18945772987537862</v>
      </c>
      <c r="AD1124" s="3"/>
    </row>
    <row r="1125" spans="1:30" x14ac:dyDescent="0.25">
      <c r="A1125" s="37">
        <v>46761</v>
      </c>
      <c r="B1125" s="41">
        <v>20000000</v>
      </c>
      <c r="C1125" s="41">
        <v>0</v>
      </c>
      <c r="D1125" s="41">
        <v>50000000</v>
      </c>
      <c r="E1125" s="41">
        <v>0</v>
      </c>
      <c r="F1125" s="41">
        <v>50000000</v>
      </c>
      <c r="G1125" s="41">
        <v>0</v>
      </c>
      <c r="H1125" s="41">
        <v>50000000</v>
      </c>
      <c r="I1125" s="41">
        <v>0</v>
      </c>
      <c r="J1125" s="41">
        <v>40000000</v>
      </c>
      <c r="K1125" s="41">
        <v>0</v>
      </c>
      <c r="L1125" s="41">
        <v>10000000</v>
      </c>
      <c r="M1125" s="41">
        <v>0</v>
      </c>
      <c r="N1125" s="41">
        <v>90945833.333333984</v>
      </c>
      <c r="O1125" s="41">
        <v>79166.666666666672</v>
      </c>
      <c r="P1125" s="41">
        <v>75000000</v>
      </c>
      <c r="Q1125" s="41">
        <v>0</v>
      </c>
      <c r="R1125" s="41">
        <v>50000000</v>
      </c>
      <c r="S1125" s="41">
        <v>0</v>
      </c>
      <c r="T1125" s="41">
        <v>35000000</v>
      </c>
      <c r="U1125" s="41">
        <v>0</v>
      </c>
      <c r="V1125" s="41">
        <v>470945833.33333403</v>
      </c>
      <c r="W1125" s="41">
        <v>79166.666666666672</v>
      </c>
      <c r="X1125" s="38">
        <f t="shared" si="102"/>
        <v>0.94189166666666801</v>
      </c>
      <c r="Y1125" s="39">
        <f t="shared" si="103"/>
        <v>1.5833333333333335E-4</v>
      </c>
      <c r="Z1125" s="39">
        <f t="shared" si="107"/>
        <v>1.6812968993345584E-4</v>
      </c>
      <c r="AA1125" s="41">
        <f t="shared" si="104"/>
        <v>29054166.666665971</v>
      </c>
      <c r="AB1125" s="39">
        <f t="shared" si="105"/>
        <v>2.7247956403270409E-3</v>
      </c>
      <c r="AC1125" s="38">
        <f t="shared" si="106"/>
        <v>0.1894198490955199</v>
      </c>
      <c r="AD1125" s="3"/>
    </row>
    <row r="1126" spans="1:30" x14ac:dyDescent="0.25">
      <c r="A1126" s="37">
        <v>46762</v>
      </c>
      <c r="B1126" s="41">
        <v>20000000</v>
      </c>
      <c r="C1126" s="41">
        <v>0</v>
      </c>
      <c r="D1126" s="41">
        <v>50000000</v>
      </c>
      <c r="E1126" s="41">
        <v>0</v>
      </c>
      <c r="F1126" s="41">
        <v>50000000</v>
      </c>
      <c r="G1126" s="41">
        <v>0</v>
      </c>
      <c r="H1126" s="41">
        <v>50000000</v>
      </c>
      <c r="I1126" s="41">
        <v>0</v>
      </c>
      <c r="J1126" s="41">
        <v>40000000</v>
      </c>
      <c r="K1126" s="41">
        <v>0</v>
      </c>
      <c r="L1126" s="41">
        <v>10000000</v>
      </c>
      <c r="M1126" s="41">
        <v>0</v>
      </c>
      <c r="N1126" s="41">
        <v>91025000.000000656</v>
      </c>
      <c r="O1126" s="41">
        <v>79166.666666666672</v>
      </c>
      <c r="P1126" s="41">
        <v>75000000</v>
      </c>
      <c r="Q1126" s="41">
        <v>0</v>
      </c>
      <c r="R1126" s="41">
        <v>50000000</v>
      </c>
      <c r="S1126" s="41">
        <v>0</v>
      </c>
      <c r="T1126" s="41">
        <v>35000000</v>
      </c>
      <c r="U1126" s="41">
        <v>0</v>
      </c>
      <c r="V1126" s="41">
        <v>471025000.00000072</v>
      </c>
      <c r="W1126" s="41">
        <v>79166.666666666672</v>
      </c>
      <c r="X1126" s="38">
        <f t="shared" si="102"/>
        <v>0.94205000000000139</v>
      </c>
      <c r="Y1126" s="39">
        <f t="shared" si="103"/>
        <v>1.5833333333333335E-4</v>
      </c>
      <c r="Z1126" s="39">
        <f t="shared" si="107"/>
        <v>1.6810142709264135E-4</v>
      </c>
      <c r="AA1126" s="41">
        <f t="shared" si="104"/>
        <v>28974999.999999285</v>
      </c>
      <c r="AB1126" s="39">
        <f t="shared" si="105"/>
        <v>2.7322404371585376E-3</v>
      </c>
      <c r="AC1126" s="38">
        <f t="shared" si="106"/>
        <v>0.18938198346063978</v>
      </c>
      <c r="AD1126" s="3"/>
    </row>
    <row r="1127" spans="1:30" x14ac:dyDescent="0.25">
      <c r="A1127" s="37">
        <v>46763</v>
      </c>
      <c r="B1127" s="41">
        <v>20000000</v>
      </c>
      <c r="C1127" s="41">
        <v>0</v>
      </c>
      <c r="D1127" s="41">
        <v>50000000</v>
      </c>
      <c r="E1127" s="41">
        <v>0</v>
      </c>
      <c r="F1127" s="41">
        <v>50000000</v>
      </c>
      <c r="G1127" s="41">
        <v>0</v>
      </c>
      <c r="H1127" s="41">
        <v>50000000</v>
      </c>
      <c r="I1127" s="41">
        <v>0</v>
      </c>
      <c r="J1127" s="41">
        <v>40000000</v>
      </c>
      <c r="K1127" s="41">
        <v>0</v>
      </c>
      <c r="L1127" s="41">
        <v>10000000</v>
      </c>
      <c r="M1127" s="41">
        <v>0</v>
      </c>
      <c r="N1127" s="41">
        <v>91104166.666667327</v>
      </c>
      <c r="O1127" s="41">
        <v>79166.666666666672</v>
      </c>
      <c r="P1127" s="41">
        <v>75000000</v>
      </c>
      <c r="Q1127" s="41">
        <v>0</v>
      </c>
      <c r="R1127" s="41">
        <v>50000000</v>
      </c>
      <c r="S1127" s="41">
        <v>0</v>
      </c>
      <c r="T1127" s="41">
        <v>35000000</v>
      </c>
      <c r="U1127" s="41">
        <v>0</v>
      </c>
      <c r="V1127" s="41">
        <v>471104166.66666728</v>
      </c>
      <c r="W1127" s="41">
        <v>79166.666666666672</v>
      </c>
      <c r="X1127" s="38">
        <f t="shared" si="102"/>
        <v>0.94220833333333454</v>
      </c>
      <c r="Y1127" s="39">
        <f t="shared" si="103"/>
        <v>1.5833333333333335E-4</v>
      </c>
      <c r="Z1127" s="39">
        <f t="shared" si="107"/>
        <v>1.680731737522776E-4</v>
      </c>
      <c r="AA1127" s="41">
        <f t="shared" si="104"/>
        <v>28895833.333332717</v>
      </c>
      <c r="AB1127" s="39">
        <f t="shared" si="105"/>
        <v>2.7397260273973188E-3</v>
      </c>
      <c r="AC1127" s="38">
        <f t="shared" si="106"/>
        <v>0.18934413296165753</v>
      </c>
      <c r="AD1127" s="3"/>
    </row>
    <row r="1128" spans="1:30" x14ac:dyDescent="0.25">
      <c r="A1128" s="37">
        <v>46764</v>
      </c>
      <c r="B1128" s="41">
        <v>20000000</v>
      </c>
      <c r="C1128" s="41">
        <v>0</v>
      </c>
      <c r="D1128" s="41">
        <v>50000000</v>
      </c>
      <c r="E1128" s="41">
        <v>0</v>
      </c>
      <c r="F1128" s="41">
        <v>50000000</v>
      </c>
      <c r="G1128" s="41">
        <v>0</v>
      </c>
      <c r="H1128" s="41">
        <v>50000000</v>
      </c>
      <c r="I1128" s="41">
        <v>0</v>
      </c>
      <c r="J1128" s="41">
        <v>40000000</v>
      </c>
      <c r="K1128" s="41">
        <v>0</v>
      </c>
      <c r="L1128" s="41">
        <v>10000000</v>
      </c>
      <c r="M1128" s="41">
        <v>0</v>
      </c>
      <c r="N1128" s="41">
        <v>91183333.333333999</v>
      </c>
      <c r="O1128" s="41">
        <v>79166.666666666672</v>
      </c>
      <c r="P1128" s="41">
        <v>75000000</v>
      </c>
      <c r="Q1128" s="41">
        <v>0</v>
      </c>
      <c r="R1128" s="41">
        <v>50000000</v>
      </c>
      <c r="S1128" s="41">
        <v>0</v>
      </c>
      <c r="T1128" s="41">
        <v>35000000</v>
      </c>
      <c r="U1128" s="41">
        <v>0</v>
      </c>
      <c r="V1128" s="41">
        <v>471183333.33333403</v>
      </c>
      <c r="W1128" s="41">
        <v>79166.666666666672</v>
      </c>
      <c r="X1128" s="38">
        <f t="shared" si="102"/>
        <v>0.94236666666666802</v>
      </c>
      <c r="Y1128" s="39">
        <f t="shared" si="103"/>
        <v>1.5833333333333335E-4</v>
      </c>
      <c r="Z1128" s="39">
        <f t="shared" si="107"/>
        <v>1.6804492990757507E-4</v>
      </c>
      <c r="AA1128" s="41">
        <f t="shared" si="104"/>
        <v>28816666.666665971</v>
      </c>
      <c r="AB1128" s="39">
        <f t="shared" si="105"/>
        <v>2.7472527472528138E-3</v>
      </c>
      <c r="AC1128" s="38">
        <f t="shared" si="106"/>
        <v>0.18930629758949949</v>
      </c>
      <c r="AD1128" s="3"/>
    </row>
    <row r="1129" spans="1:30" x14ac:dyDescent="0.25">
      <c r="A1129" s="37">
        <v>46765</v>
      </c>
      <c r="B1129" s="41">
        <v>20000000</v>
      </c>
      <c r="C1129" s="41">
        <v>0</v>
      </c>
      <c r="D1129" s="41">
        <v>50000000</v>
      </c>
      <c r="E1129" s="41">
        <v>0</v>
      </c>
      <c r="F1129" s="41">
        <v>50000000</v>
      </c>
      <c r="G1129" s="41">
        <v>0</v>
      </c>
      <c r="H1129" s="41">
        <v>50000000</v>
      </c>
      <c r="I1129" s="41">
        <v>0</v>
      </c>
      <c r="J1129" s="41">
        <v>40000000</v>
      </c>
      <c r="K1129" s="41">
        <v>0</v>
      </c>
      <c r="L1129" s="41">
        <v>10000000</v>
      </c>
      <c r="M1129" s="41">
        <v>0</v>
      </c>
      <c r="N1129" s="41">
        <v>91262500.000000671</v>
      </c>
      <c r="O1129" s="41">
        <v>79166.666666666672</v>
      </c>
      <c r="P1129" s="41">
        <v>75000000</v>
      </c>
      <c r="Q1129" s="41">
        <v>0</v>
      </c>
      <c r="R1129" s="41">
        <v>50000000</v>
      </c>
      <c r="S1129" s="41">
        <v>0</v>
      </c>
      <c r="T1129" s="41">
        <v>35000000</v>
      </c>
      <c r="U1129" s="41">
        <v>0</v>
      </c>
      <c r="V1129" s="41">
        <v>471262500.00000072</v>
      </c>
      <c r="W1129" s="41">
        <v>79166.666666666672</v>
      </c>
      <c r="X1129" s="38">
        <f t="shared" si="102"/>
        <v>0.94252500000000139</v>
      </c>
      <c r="Y1129" s="39">
        <f t="shared" si="103"/>
        <v>1.5833333333333335E-4</v>
      </c>
      <c r="Z1129" s="39">
        <f t="shared" si="107"/>
        <v>1.6801669555374741E-4</v>
      </c>
      <c r="AA1129" s="41">
        <f t="shared" si="104"/>
        <v>28737499.999999285</v>
      </c>
      <c r="AB1129" s="39">
        <f t="shared" si="105"/>
        <v>2.7548209366391871E-3</v>
      </c>
      <c r="AC1129" s="38">
        <f t="shared" si="106"/>
        <v>0.18926847733509949</v>
      </c>
      <c r="AD1129" s="3"/>
    </row>
    <row r="1130" spans="1:30" x14ac:dyDescent="0.25">
      <c r="A1130" s="37">
        <v>46766</v>
      </c>
      <c r="B1130" s="41">
        <v>20000000</v>
      </c>
      <c r="C1130" s="41">
        <v>0</v>
      </c>
      <c r="D1130" s="41">
        <v>50000000</v>
      </c>
      <c r="E1130" s="41">
        <v>0</v>
      </c>
      <c r="F1130" s="41">
        <v>50000000</v>
      </c>
      <c r="G1130" s="41">
        <v>0</v>
      </c>
      <c r="H1130" s="41">
        <v>50000000</v>
      </c>
      <c r="I1130" s="41">
        <v>0</v>
      </c>
      <c r="J1130" s="41">
        <v>40000000</v>
      </c>
      <c r="K1130" s="41">
        <v>0</v>
      </c>
      <c r="L1130" s="41">
        <v>10000000</v>
      </c>
      <c r="M1130" s="41">
        <v>0</v>
      </c>
      <c r="N1130" s="41">
        <v>91341666.666667342</v>
      </c>
      <c r="O1130" s="41">
        <v>79166.666666666672</v>
      </c>
      <c r="P1130" s="41">
        <v>75000000</v>
      </c>
      <c r="Q1130" s="41">
        <v>0</v>
      </c>
      <c r="R1130" s="41">
        <v>50000000</v>
      </c>
      <c r="S1130" s="41">
        <v>0</v>
      </c>
      <c r="T1130" s="41">
        <v>35000000</v>
      </c>
      <c r="U1130" s="41">
        <v>0</v>
      </c>
      <c r="V1130" s="41">
        <v>471341666.66666728</v>
      </c>
      <c r="W1130" s="41">
        <v>79166.666666666672</v>
      </c>
      <c r="X1130" s="38">
        <f t="shared" si="102"/>
        <v>0.94268333333333454</v>
      </c>
      <c r="Y1130" s="39">
        <f t="shared" si="103"/>
        <v>1.5833333333333335E-4</v>
      </c>
      <c r="Z1130" s="39">
        <f t="shared" si="107"/>
        <v>1.6798847068601162E-4</v>
      </c>
      <c r="AA1130" s="41">
        <f t="shared" si="104"/>
        <v>28658333.333332717</v>
      </c>
      <c r="AB1130" s="39">
        <f t="shared" si="105"/>
        <v>2.7624309392265791E-3</v>
      </c>
      <c r="AC1130" s="38">
        <f t="shared" si="106"/>
        <v>0.1892306721893986</v>
      </c>
      <c r="AD1130" s="3"/>
    </row>
    <row r="1131" spans="1:30" x14ac:dyDescent="0.25">
      <c r="A1131" s="37">
        <v>46767</v>
      </c>
      <c r="B1131" s="41">
        <v>20000000</v>
      </c>
      <c r="C1131" s="41">
        <v>0</v>
      </c>
      <c r="D1131" s="41">
        <v>50000000</v>
      </c>
      <c r="E1131" s="41">
        <v>0</v>
      </c>
      <c r="F1131" s="41">
        <v>50000000</v>
      </c>
      <c r="G1131" s="41">
        <v>0</v>
      </c>
      <c r="H1131" s="41">
        <v>50000000</v>
      </c>
      <c r="I1131" s="41">
        <v>0</v>
      </c>
      <c r="J1131" s="41">
        <v>40000000</v>
      </c>
      <c r="K1131" s="41">
        <v>0</v>
      </c>
      <c r="L1131" s="41">
        <v>10000000</v>
      </c>
      <c r="M1131" s="41">
        <v>0</v>
      </c>
      <c r="N1131" s="41">
        <v>91420833.333334014</v>
      </c>
      <c r="O1131" s="41">
        <v>79166.666666666672</v>
      </c>
      <c r="P1131" s="41">
        <v>75000000</v>
      </c>
      <c r="Q1131" s="41">
        <v>0</v>
      </c>
      <c r="R1131" s="41">
        <v>50000000</v>
      </c>
      <c r="S1131" s="41">
        <v>0</v>
      </c>
      <c r="T1131" s="41">
        <v>35000000</v>
      </c>
      <c r="U1131" s="41">
        <v>0</v>
      </c>
      <c r="V1131" s="41">
        <v>471420833.33333403</v>
      </c>
      <c r="W1131" s="41">
        <v>79166.666666666672</v>
      </c>
      <c r="X1131" s="38">
        <f t="shared" si="102"/>
        <v>0.94284166666666802</v>
      </c>
      <c r="Y1131" s="39">
        <f t="shared" si="103"/>
        <v>1.5833333333333335E-4</v>
      </c>
      <c r="Z1131" s="39">
        <f t="shared" si="107"/>
        <v>1.6796025529958785E-4</v>
      </c>
      <c r="AA1131" s="41">
        <f t="shared" si="104"/>
        <v>28579166.666665971</v>
      </c>
      <c r="AB1131" s="39">
        <f t="shared" si="105"/>
        <v>2.7700831024931425E-3</v>
      </c>
      <c r="AC1131" s="38">
        <f t="shared" si="106"/>
        <v>0.18919288214334481</v>
      </c>
      <c r="AD1131" s="3"/>
    </row>
    <row r="1132" spans="1:30" x14ac:dyDescent="0.25">
      <c r="A1132" s="37">
        <v>46768</v>
      </c>
      <c r="B1132" s="41">
        <v>20000000</v>
      </c>
      <c r="C1132" s="41">
        <v>0</v>
      </c>
      <c r="D1132" s="41">
        <v>50000000</v>
      </c>
      <c r="E1132" s="41">
        <v>0</v>
      </c>
      <c r="F1132" s="41">
        <v>50000000</v>
      </c>
      <c r="G1132" s="41">
        <v>0</v>
      </c>
      <c r="H1132" s="41">
        <v>50000000</v>
      </c>
      <c r="I1132" s="41">
        <v>0</v>
      </c>
      <c r="J1132" s="41">
        <v>40000000</v>
      </c>
      <c r="K1132" s="41">
        <v>0</v>
      </c>
      <c r="L1132" s="41">
        <v>10000000</v>
      </c>
      <c r="M1132" s="41">
        <v>0</v>
      </c>
      <c r="N1132" s="41">
        <v>91500000.000000685</v>
      </c>
      <c r="O1132" s="41">
        <v>79166.666666666672</v>
      </c>
      <c r="P1132" s="41">
        <v>75000000</v>
      </c>
      <c r="Q1132" s="41">
        <v>0</v>
      </c>
      <c r="R1132" s="41">
        <v>50000000</v>
      </c>
      <c r="S1132" s="41">
        <v>0</v>
      </c>
      <c r="T1132" s="41">
        <v>35000000</v>
      </c>
      <c r="U1132" s="41">
        <v>0</v>
      </c>
      <c r="V1132" s="41">
        <v>471500000.00000072</v>
      </c>
      <c r="W1132" s="41">
        <v>79166.666666666672</v>
      </c>
      <c r="X1132" s="38">
        <f t="shared" si="102"/>
        <v>0.94300000000000139</v>
      </c>
      <c r="Y1132" s="39">
        <f t="shared" si="103"/>
        <v>1.5833333333333335E-4</v>
      </c>
      <c r="Z1132" s="39">
        <f t="shared" si="107"/>
        <v>1.6793204938969934E-4</v>
      </c>
      <c r="AA1132" s="41">
        <f t="shared" si="104"/>
        <v>28499999.999999285</v>
      </c>
      <c r="AB1132" s="39">
        <f t="shared" si="105"/>
        <v>2.7777777777778477E-3</v>
      </c>
      <c r="AC1132" s="38">
        <f t="shared" si="106"/>
        <v>0.18915510718789375</v>
      </c>
      <c r="AD1132" s="3"/>
    </row>
    <row r="1133" spans="1:30" x14ac:dyDescent="0.25">
      <c r="A1133" s="37">
        <v>46769</v>
      </c>
      <c r="B1133" s="41">
        <v>20000000</v>
      </c>
      <c r="C1133" s="41">
        <v>0</v>
      </c>
      <c r="D1133" s="41">
        <v>50000000</v>
      </c>
      <c r="E1133" s="41">
        <v>0</v>
      </c>
      <c r="F1133" s="41">
        <v>50000000</v>
      </c>
      <c r="G1133" s="41">
        <v>0</v>
      </c>
      <c r="H1133" s="41">
        <v>50000000</v>
      </c>
      <c r="I1133" s="41">
        <v>0</v>
      </c>
      <c r="J1133" s="41">
        <v>40000000</v>
      </c>
      <c r="K1133" s="41">
        <v>0</v>
      </c>
      <c r="L1133" s="41">
        <v>10000000</v>
      </c>
      <c r="M1133" s="41">
        <v>0</v>
      </c>
      <c r="N1133" s="41">
        <v>91579166.666667357</v>
      </c>
      <c r="O1133" s="41">
        <v>79166.666666666672</v>
      </c>
      <c r="P1133" s="41">
        <v>75000000</v>
      </c>
      <c r="Q1133" s="41">
        <v>0</v>
      </c>
      <c r="R1133" s="41">
        <v>50000000</v>
      </c>
      <c r="S1133" s="41">
        <v>0</v>
      </c>
      <c r="T1133" s="41">
        <v>35000000</v>
      </c>
      <c r="U1133" s="41">
        <v>0</v>
      </c>
      <c r="V1133" s="41">
        <v>471579166.66666728</v>
      </c>
      <c r="W1133" s="41">
        <v>79166.666666666672</v>
      </c>
      <c r="X1133" s="38">
        <f t="shared" si="102"/>
        <v>0.94315833333333454</v>
      </c>
      <c r="Y1133" s="39">
        <f t="shared" si="103"/>
        <v>1.5833333333333335E-4</v>
      </c>
      <c r="Z1133" s="39">
        <f t="shared" si="107"/>
        <v>1.6790385295157274E-4</v>
      </c>
      <c r="AA1133" s="41">
        <f t="shared" si="104"/>
        <v>28420833.333332717</v>
      </c>
      <c r="AB1133" s="39">
        <f t="shared" si="105"/>
        <v>2.7855153203343226E-3</v>
      </c>
      <c r="AC1133" s="38">
        <f t="shared" si="106"/>
        <v>0.18911734731400806</v>
      </c>
      <c r="AD1133" s="3"/>
    </row>
    <row r="1134" spans="1:30" x14ac:dyDescent="0.25">
      <c r="A1134" s="37">
        <v>46770</v>
      </c>
      <c r="B1134" s="41">
        <v>20000000</v>
      </c>
      <c r="C1134" s="41">
        <v>0</v>
      </c>
      <c r="D1134" s="41">
        <v>50000000</v>
      </c>
      <c r="E1134" s="41">
        <v>0</v>
      </c>
      <c r="F1134" s="41">
        <v>50000000</v>
      </c>
      <c r="G1134" s="41">
        <v>0</v>
      </c>
      <c r="H1134" s="41">
        <v>50000000</v>
      </c>
      <c r="I1134" s="41">
        <v>0</v>
      </c>
      <c r="J1134" s="41">
        <v>40000000</v>
      </c>
      <c r="K1134" s="41">
        <v>0</v>
      </c>
      <c r="L1134" s="41">
        <v>10000000</v>
      </c>
      <c r="M1134" s="41">
        <v>0</v>
      </c>
      <c r="N1134" s="41">
        <v>91658333.333334029</v>
      </c>
      <c r="O1134" s="41">
        <v>79166.666666666672</v>
      </c>
      <c r="P1134" s="41">
        <v>75000000</v>
      </c>
      <c r="Q1134" s="41">
        <v>0</v>
      </c>
      <c r="R1134" s="41">
        <v>50000000</v>
      </c>
      <c r="S1134" s="41">
        <v>0</v>
      </c>
      <c r="T1134" s="41">
        <v>35000000</v>
      </c>
      <c r="U1134" s="41">
        <v>0</v>
      </c>
      <c r="V1134" s="41">
        <v>471658333.33333403</v>
      </c>
      <c r="W1134" s="41">
        <v>79166.666666666672</v>
      </c>
      <c r="X1134" s="38">
        <f t="shared" si="102"/>
        <v>0.94331666666666802</v>
      </c>
      <c r="Y1134" s="39">
        <f t="shared" si="103"/>
        <v>1.5833333333333335E-4</v>
      </c>
      <c r="Z1134" s="39">
        <f t="shared" si="107"/>
        <v>1.6787566598043784E-4</v>
      </c>
      <c r="AA1134" s="41">
        <f t="shared" si="104"/>
        <v>28341666.666665971</v>
      </c>
      <c r="AB1134" s="39">
        <f t="shared" si="105"/>
        <v>2.7932960893855435E-3</v>
      </c>
      <c r="AC1134" s="38">
        <f t="shared" si="106"/>
        <v>0.18907960251265749</v>
      </c>
      <c r="AD1134" s="3"/>
    </row>
    <row r="1135" spans="1:30" x14ac:dyDescent="0.25">
      <c r="A1135" s="37">
        <v>46771</v>
      </c>
      <c r="B1135" s="41">
        <v>20000000</v>
      </c>
      <c r="C1135" s="41">
        <v>0</v>
      </c>
      <c r="D1135" s="41">
        <v>50000000</v>
      </c>
      <c r="E1135" s="41">
        <v>0</v>
      </c>
      <c r="F1135" s="41">
        <v>50000000</v>
      </c>
      <c r="G1135" s="41">
        <v>0</v>
      </c>
      <c r="H1135" s="41">
        <v>50000000</v>
      </c>
      <c r="I1135" s="41">
        <v>0</v>
      </c>
      <c r="J1135" s="41">
        <v>40000000</v>
      </c>
      <c r="K1135" s="41">
        <v>0</v>
      </c>
      <c r="L1135" s="41">
        <v>10000000</v>
      </c>
      <c r="M1135" s="41">
        <v>0</v>
      </c>
      <c r="N1135" s="41">
        <v>91737500.0000007</v>
      </c>
      <c r="O1135" s="41">
        <v>79166.666666666672</v>
      </c>
      <c r="P1135" s="41">
        <v>75000000</v>
      </c>
      <c r="Q1135" s="41">
        <v>0</v>
      </c>
      <c r="R1135" s="41">
        <v>50000000</v>
      </c>
      <c r="S1135" s="41">
        <v>0</v>
      </c>
      <c r="T1135" s="41">
        <v>35000000</v>
      </c>
      <c r="U1135" s="41">
        <v>0</v>
      </c>
      <c r="V1135" s="41">
        <v>471737500.00000072</v>
      </c>
      <c r="W1135" s="41">
        <v>79166.666666666672</v>
      </c>
      <c r="X1135" s="38">
        <f t="shared" si="102"/>
        <v>0.9434750000000014</v>
      </c>
      <c r="Y1135" s="39">
        <f t="shared" si="103"/>
        <v>1.5833333333333335E-4</v>
      </c>
      <c r="Z1135" s="39">
        <f t="shared" si="107"/>
        <v>1.6784748847152752E-4</v>
      </c>
      <c r="AA1135" s="41">
        <f t="shared" si="104"/>
        <v>28262499.999999285</v>
      </c>
      <c r="AB1135" s="39">
        <f t="shared" si="105"/>
        <v>2.8011204481793429E-3</v>
      </c>
      <c r="AC1135" s="38">
        <f t="shared" si="106"/>
        <v>0.18904187277481929</v>
      </c>
      <c r="AD1135" s="3"/>
    </row>
    <row r="1136" spans="1:30" x14ac:dyDescent="0.25">
      <c r="A1136" s="37">
        <v>46772</v>
      </c>
      <c r="B1136" s="41">
        <v>20000000</v>
      </c>
      <c r="C1136" s="41">
        <v>0</v>
      </c>
      <c r="D1136" s="41">
        <v>50000000</v>
      </c>
      <c r="E1136" s="41">
        <v>0</v>
      </c>
      <c r="F1136" s="41">
        <v>50000000</v>
      </c>
      <c r="G1136" s="41">
        <v>0</v>
      </c>
      <c r="H1136" s="41">
        <v>50000000</v>
      </c>
      <c r="I1136" s="41">
        <v>0</v>
      </c>
      <c r="J1136" s="41">
        <v>40000000</v>
      </c>
      <c r="K1136" s="41">
        <v>0</v>
      </c>
      <c r="L1136" s="41">
        <v>10000000</v>
      </c>
      <c r="M1136" s="41">
        <v>0</v>
      </c>
      <c r="N1136" s="41">
        <v>91816666.666667372</v>
      </c>
      <c r="O1136" s="41">
        <v>79166.666666666672</v>
      </c>
      <c r="P1136" s="41">
        <v>75000000</v>
      </c>
      <c r="Q1136" s="41">
        <v>0</v>
      </c>
      <c r="R1136" s="41">
        <v>50000000</v>
      </c>
      <c r="S1136" s="41">
        <v>0</v>
      </c>
      <c r="T1136" s="41">
        <v>35000000</v>
      </c>
      <c r="U1136" s="41">
        <v>0</v>
      </c>
      <c r="V1136" s="41">
        <v>471816666.66666728</v>
      </c>
      <c r="W1136" s="41">
        <v>79166.666666666672</v>
      </c>
      <c r="X1136" s="38">
        <f t="shared" si="102"/>
        <v>0.94363333333333455</v>
      </c>
      <c r="Y1136" s="39">
        <f t="shared" si="103"/>
        <v>1.5833333333333335E-4</v>
      </c>
      <c r="Z1136" s="39">
        <f t="shared" si="107"/>
        <v>1.6781932042007802E-4</v>
      </c>
      <c r="AA1136" s="41">
        <f t="shared" si="104"/>
        <v>28183333.333332717</v>
      </c>
      <c r="AB1136" s="39">
        <f t="shared" si="105"/>
        <v>2.8089887640450053E-3</v>
      </c>
      <c r="AC1136" s="38">
        <f t="shared" si="106"/>
        <v>0.18900415809147772</v>
      </c>
      <c r="AD1136" s="3"/>
    </row>
    <row r="1137" spans="1:30" x14ac:dyDescent="0.25">
      <c r="A1137" s="37">
        <v>46773</v>
      </c>
      <c r="B1137" s="41">
        <v>20000000</v>
      </c>
      <c r="C1137" s="41">
        <v>0</v>
      </c>
      <c r="D1137" s="41">
        <v>50000000</v>
      </c>
      <c r="E1137" s="41">
        <v>0</v>
      </c>
      <c r="F1137" s="41">
        <v>50000000</v>
      </c>
      <c r="G1137" s="41">
        <v>0</v>
      </c>
      <c r="H1137" s="41">
        <v>50000000</v>
      </c>
      <c r="I1137" s="41">
        <v>0</v>
      </c>
      <c r="J1137" s="41">
        <v>40000000</v>
      </c>
      <c r="K1137" s="41">
        <v>0</v>
      </c>
      <c r="L1137" s="41">
        <v>10000000</v>
      </c>
      <c r="M1137" s="41">
        <v>0</v>
      </c>
      <c r="N1137" s="41">
        <v>91895833.333334044</v>
      </c>
      <c r="O1137" s="41">
        <v>79166.666666666672</v>
      </c>
      <c r="P1137" s="41">
        <v>75000000</v>
      </c>
      <c r="Q1137" s="41">
        <v>0</v>
      </c>
      <c r="R1137" s="41">
        <v>50000000</v>
      </c>
      <c r="S1137" s="41">
        <v>0</v>
      </c>
      <c r="T1137" s="41">
        <v>35000000</v>
      </c>
      <c r="U1137" s="41">
        <v>0</v>
      </c>
      <c r="V1137" s="41">
        <v>471895833.33333403</v>
      </c>
      <c r="W1137" s="41">
        <v>79166.666666666672</v>
      </c>
      <c r="X1137" s="38">
        <f t="shared" si="102"/>
        <v>0.94379166666666803</v>
      </c>
      <c r="Y1137" s="39">
        <f t="shared" si="103"/>
        <v>1.5833333333333335E-4</v>
      </c>
      <c r="Z1137" s="39">
        <f t="shared" si="107"/>
        <v>1.677911618213287E-4</v>
      </c>
      <c r="AA1137" s="41">
        <f t="shared" si="104"/>
        <v>28104166.666665971</v>
      </c>
      <c r="AB1137" s="39">
        <f t="shared" si="105"/>
        <v>2.8169014084507742E-3</v>
      </c>
      <c r="AC1137" s="38">
        <f t="shared" si="106"/>
        <v>0.18896645845362414</v>
      </c>
      <c r="AD1137" s="3"/>
    </row>
    <row r="1138" spans="1:30" x14ac:dyDescent="0.25">
      <c r="A1138" s="37">
        <v>46774</v>
      </c>
      <c r="B1138" s="41">
        <v>20000000</v>
      </c>
      <c r="C1138" s="41">
        <v>0</v>
      </c>
      <c r="D1138" s="41">
        <v>50000000</v>
      </c>
      <c r="E1138" s="41">
        <v>0</v>
      </c>
      <c r="F1138" s="41">
        <v>50000000</v>
      </c>
      <c r="G1138" s="41">
        <v>0</v>
      </c>
      <c r="H1138" s="41">
        <v>50000000</v>
      </c>
      <c r="I1138" s="41">
        <v>0</v>
      </c>
      <c r="J1138" s="41">
        <v>40000000</v>
      </c>
      <c r="K1138" s="41">
        <v>0</v>
      </c>
      <c r="L1138" s="41">
        <v>10000000</v>
      </c>
      <c r="M1138" s="41">
        <v>0</v>
      </c>
      <c r="N1138" s="41">
        <v>91975000.000000715</v>
      </c>
      <c r="O1138" s="41">
        <v>79166.666666666672</v>
      </c>
      <c r="P1138" s="41">
        <v>75000000</v>
      </c>
      <c r="Q1138" s="41">
        <v>0</v>
      </c>
      <c r="R1138" s="41">
        <v>50000000</v>
      </c>
      <c r="S1138" s="41">
        <v>0</v>
      </c>
      <c r="T1138" s="41">
        <v>35000000</v>
      </c>
      <c r="U1138" s="41">
        <v>0</v>
      </c>
      <c r="V1138" s="41">
        <v>471975000.00000072</v>
      </c>
      <c r="W1138" s="41">
        <v>79166.666666666672</v>
      </c>
      <c r="X1138" s="38">
        <f t="shared" si="102"/>
        <v>0.9439500000000014</v>
      </c>
      <c r="Y1138" s="39">
        <f t="shared" si="103"/>
        <v>1.5833333333333335E-4</v>
      </c>
      <c r="Z1138" s="39">
        <f t="shared" si="107"/>
        <v>1.6776301267052205E-4</v>
      </c>
      <c r="AA1138" s="41">
        <f t="shared" si="104"/>
        <v>28024999.999999285</v>
      </c>
      <c r="AB1138" s="39">
        <f t="shared" si="105"/>
        <v>2.8248587570622193E-3</v>
      </c>
      <c r="AC1138" s="38">
        <f t="shared" si="106"/>
        <v>0.18892877385225737</v>
      </c>
      <c r="AD1138" s="3"/>
    </row>
    <row r="1139" spans="1:30" x14ac:dyDescent="0.25">
      <c r="A1139" s="37">
        <v>46775</v>
      </c>
      <c r="B1139" s="41">
        <v>20000000</v>
      </c>
      <c r="C1139" s="41">
        <v>0</v>
      </c>
      <c r="D1139" s="41">
        <v>50000000</v>
      </c>
      <c r="E1139" s="41">
        <v>0</v>
      </c>
      <c r="F1139" s="41">
        <v>50000000</v>
      </c>
      <c r="G1139" s="41">
        <v>0</v>
      </c>
      <c r="H1139" s="41">
        <v>50000000</v>
      </c>
      <c r="I1139" s="41">
        <v>0</v>
      </c>
      <c r="J1139" s="41">
        <v>40000000</v>
      </c>
      <c r="K1139" s="41">
        <v>0</v>
      </c>
      <c r="L1139" s="41">
        <v>10000000</v>
      </c>
      <c r="M1139" s="41">
        <v>0</v>
      </c>
      <c r="N1139" s="41">
        <v>92054166.666667387</v>
      </c>
      <c r="O1139" s="41">
        <v>79166.666666666672</v>
      </c>
      <c r="P1139" s="41">
        <v>75000000</v>
      </c>
      <c r="Q1139" s="41">
        <v>0</v>
      </c>
      <c r="R1139" s="41">
        <v>50000000</v>
      </c>
      <c r="S1139" s="41">
        <v>0</v>
      </c>
      <c r="T1139" s="41">
        <v>35000000</v>
      </c>
      <c r="U1139" s="41">
        <v>0</v>
      </c>
      <c r="V1139" s="41">
        <v>472054166.6666674</v>
      </c>
      <c r="W1139" s="41">
        <v>79166.666666666672</v>
      </c>
      <c r="X1139" s="38">
        <f t="shared" si="102"/>
        <v>0.94410833333333477</v>
      </c>
      <c r="Y1139" s="39">
        <f t="shared" si="103"/>
        <v>1.5833333333333335E-4</v>
      </c>
      <c r="Z1139" s="39">
        <f t="shared" si="107"/>
        <v>1.6773487296290387E-4</v>
      </c>
      <c r="AA1139" s="41">
        <f t="shared" si="104"/>
        <v>27945833.333332598</v>
      </c>
      <c r="AB1139" s="39">
        <f t="shared" si="105"/>
        <v>2.8328611898017744E-3</v>
      </c>
      <c r="AC1139" s="38">
        <f t="shared" si="106"/>
        <v>0.18889110427838315</v>
      </c>
      <c r="AD1139" s="3"/>
    </row>
    <row r="1140" spans="1:30" x14ac:dyDescent="0.25">
      <c r="A1140" s="37">
        <v>46776</v>
      </c>
      <c r="B1140" s="41">
        <v>20000000</v>
      </c>
      <c r="C1140" s="41">
        <v>0</v>
      </c>
      <c r="D1140" s="41">
        <v>50000000</v>
      </c>
      <c r="E1140" s="41">
        <v>0</v>
      </c>
      <c r="F1140" s="41">
        <v>50000000</v>
      </c>
      <c r="G1140" s="41">
        <v>0</v>
      </c>
      <c r="H1140" s="41">
        <v>50000000</v>
      </c>
      <c r="I1140" s="41">
        <v>0</v>
      </c>
      <c r="J1140" s="41">
        <v>40000000</v>
      </c>
      <c r="K1140" s="41">
        <v>0</v>
      </c>
      <c r="L1140" s="41">
        <v>10000000</v>
      </c>
      <c r="M1140" s="41">
        <v>0</v>
      </c>
      <c r="N1140" s="41">
        <v>92133333.333334059</v>
      </c>
      <c r="O1140" s="41">
        <v>79166.666666666672</v>
      </c>
      <c r="P1140" s="41">
        <v>75000000</v>
      </c>
      <c r="Q1140" s="41">
        <v>0</v>
      </c>
      <c r="R1140" s="41">
        <v>50000000</v>
      </c>
      <c r="S1140" s="41">
        <v>0</v>
      </c>
      <c r="T1140" s="41">
        <v>35000000</v>
      </c>
      <c r="U1140" s="41">
        <v>0</v>
      </c>
      <c r="V1140" s="41">
        <v>472133333.33333409</v>
      </c>
      <c r="W1140" s="41">
        <v>79166.666666666672</v>
      </c>
      <c r="X1140" s="38">
        <f t="shared" si="102"/>
        <v>0.94426666666666814</v>
      </c>
      <c r="Y1140" s="39">
        <f t="shared" si="103"/>
        <v>1.5833333333333335E-4</v>
      </c>
      <c r="Z1140" s="39">
        <f t="shared" si="107"/>
        <v>1.6770674269372311E-4</v>
      </c>
      <c r="AA1140" s="41">
        <f t="shared" si="104"/>
        <v>27866666.666665912</v>
      </c>
      <c r="AB1140" s="39">
        <f t="shared" si="105"/>
        <v>2.8409090909091682E-3</v>
      </c>
      <c r="AC1140" s="38">
        <f t="shared" si="106"/>
        <v>0.18885344972301457</v>
      </c>
      <c r="AD1140" s="3"/>
    </row>
    <row r="1141" spans="1:30" x14ac:dyDescent="0.25">
      <c r="A1141" s="37">
        <v>46777</v>
      </c>
      <c r="B1141" s="41">
        <v>20000000</v>
      </c>
      <c r="C1141" s="41">
        <v>0</v>
      </c>
      <c r="D1141" s="41">
        <v>50000000</v>
      </c>
      <c r="E1141" s="41">
        <v>0</v>
      </c>
      <c r="F1141" s="41">
        <v>50000000</v>
      </c>
      <c r="G1141" s="41">
        <v>0</v>
      </c>
      <c r="H1141" s="41">
        <v>50000000</v>
      </c>
      <c r="I1141" s="41">
        <v>0</v>
      </c>
      <c r="J1141" s="41">
        <v>40000000</v>
      </c>
      <c r="K1141" s="41">
        <v>0</v>
      </c>
      <c r="L1141" s="41">
        <v>10000000</v>
      </c>
      <c r="M1141" s="41">
        <v>0</v>
      </c>
      <c r="N1141" s="41">
        <v>92212500.00000073</v>
      </c>
      <c r="O1141" s="41">
        <v>79166.666666666672</v>
      </c>
      <c r="P1141" s="41">
        <v>75000000</v>
      </c>
      <c r="Q1141" s="41">
        <v>0</v>
      </c>
      <c r="R1141" s="41">
        <v>50000000</v>
      </c>
      <c r="S1141" s="41">
        <v>0</v>
      </c>
      <c r="T1141" s="41">
        <v>35000000</v>
      </c>
      <c r="U1141" s="41">
        <v>0</v>
      </c>
      <c r="V1141" s="41">
        <v>472212500.00000072</v>
      </c>
      <c r="W1141" s="41">
        <v>79166.666666666672</v>
      </c>
      <c r="X1141" s="38">
        <f t="shared" si="102"/>
        <v>0.9444250000000014</v>
      </c>
      <c r="Y1141" s="39">
        <f t="shared" si="103"/>
        <v>1.5833333333333335E-4</v>
      </c>
      <c r="Z1141" s="39">
        <f t="shared" si="107"/>
        <v>1.6767862185823189E-4</v>
      </c>
      <c r="AA1141" s="41">
        <f t="shared" si="104"/>
        <v>27787499.999999285</v>
      </c>
      <c r="AB1141" s="39">
        <f t="shared" si="105"/>
        <v>2.8490028490029224E-3</v>
      </c>
      <c r="AC1141" s="38">
        <f t="shared" si="106"/>
        <v>0.18881581017717183</v>
      </c>
      <c r="AD1141" s="3"/>
    </row>
    <row r="1142" spans="1:30" x14ac:dyDescent="0.25">
      <c r="A1142" s="37">
        <v>46778</v>
      </c>
      <c r="B1142" s="41">
        <v>20000000</v>
      </c>
      <c r="C1142" s="41">
        <v>0</v>
      </c>
      <c r="D1142" s="41">
        <v>50000000</v>
      </c>
      <c r="E1142" s="41">
        <v>0</v>
      </c>
      <c r="F1142" s="41">
        <v>50000000</v>
      </c>
      <c r="G1142" s="41">
        <v>0</v>
      </c>
      <c r="H1142" s="41">
        <v>50000000</v>
      </c>
      <c r="I1142" s="41">
        <v>0</v>
      </c>
      <c r="J1142" s="41">
        <v>40000000</v>
      </c>
      <c r="K1142" s="41">
        <v>0</v>
      </c>
      <c r="L1142" s="41">
        <v>10000000</v>
      </c>
      <c r="M1142" s="41">
        <v>0</v>
      </c>
      <c r="N1142" s="41">
        <v>92291666.666667402</v>
      </c>
      <c r="O1142" s="41">
        <v>79166.666666666672</v>
      </c>
      <c r="P1142" s="41">
        <v>75000000</v>
      </c>
      <c r="Q1142" s="41">
        <v>0</v>
      </c>
      <c r="R1142" s="41">
        <v>50000000</v>
      </c>
      <c r="S1142" s="41">
        <v>0</v>
      </c>
      <c r="T1142" s="41">
        <v>35000000</v>
      </c>
      <c r="U1142" s="41">
        <v>0</v>
      </c>
      <c r="V1142" s="41">
        <v>472291666.6666674</v>
      </c>
      <c r="W1142" s="41">
        <v>79166.666666666672</v>
      </c>
      <c r="X1142" s="38">
        <f t="shared" si="102"/>
        <v>0.94458333333333477</v>
      </c>
      <c r="Y1142" s="39">
        <f t="shared" si="103"/>
        <v>1.5833333333333335E-4</v>
      </c>
      <c r="Z1142" s="39">
        <f t="shared" si="107"/>
        <v>1.6765051045168551E-4</v>
      </c>
      <c r="AA1142" s="41">
        <f t="shared" si="104"/>
        <v>27708333.333332598</v>
      </c>
      <c r="AB1142" s="39">
        <f t="shared" si="105"/>
        <v>2.857142857142933E-3</v>
      </c>
      <c r="AC1142" s="38">
        <f t="shared" si="106"/>
        <v>0.1887781856318822</v>
      </c>
      <c r="AD1142" s="3"/>
    </row>
    <row r="1143" spans="1:30" x14ac:dyDescent="0.25">
      <c r="A1143" s="37">
        <v>46779</v>
      </c>
      <c r="B1143" s="41">
        <v>20000000</v>
      </c>
      <c r="C1143" s="41">
        <v>0</v>
      </c>
      <c r="D1143" s="41">
        <v>50000000</v>
      </c>
      <c r="E1143" s="41">
        <v>0</v>
      </c>
      <c r="F1143" s="41">
        <v>50000000</v>
      </c>
      <c r="G1143" s="41">
        <v>0</v>
      </c>
      <c r="H1143" s="41">
        <v>50000000</v>
      </c>
      <c r="I1143" s="41">
        <v>0</v>
      </c>
      <c r="J1143" s="41">
        <v>40000000</v>
      </c>
      <c r="K1143" s="41">
        <v>0</v>
      </c>
      <c r="L1143" s="41">
        <v>10000000</v>
      </c>
      <c r="M1143" s="41">
        <v>0</v>
      </c>
      <c r="N1143" s="41">
        <v>92370833.333334073</v>
      </c>
      <c r="O1143" s="41">
        <v>79166.666666666672</v>
      </c>
      <c r="P1143" s="41">
        <v>75000000</v>
      </c>
      <c r="Q1143" s="41">
        <v>0</v>
      </c>
      <c r="R1143" s="41">
        <v>50000000</v>
      </c>
      <c r="S1143" s="41">
        <v>0</v>
      </c>
      <c r="T1143" s="41">
        <v>35000000</v>
      </c>
      <c r="U1143" s="41">
        <v>0</v>
      </c>
      <c r="V1143" s="41">
        <v>472370833.33333409</v>
      </c>
      <c r="W1143" s="41">
        <v>79166.666666666672</v>
      </c>
      <c r="X1143" s="38">
        <f t="shared" si="102"/>
        <v>0.94474166666666815</v>
      </c>
      <c r="Y1143" s="39">
        <f t="shared" si="103"/>
        <v>1.5833333333333335E-4</v>
      </c>
      <c r="Z1143" s="39">
        <f t="shared" si="107"/>
        <v>1.676224084693425E-4</v>
      </c>
      <c r="AA1143" s="41">
        <f t="shared" si="104"/>
        <v>27629166.666665912</v>
      </c>
      <c r="AB1143" s="39">
        <f t="shared" si="105"/>
        <v>2.8653295128940612E-3</v>
      </c>
      <c r="AC1143" s="38">
        <f t="shared" si="106"/>
        <v>0.18874057607818018</v>
      </c>
      <c r="AD1143" s="3"/>
    </row>
    <row r="1144" spans="1:30" x14ac:dyDescent="0.25">
      <c r="A1144" s="37">
        <v>46780</v>
      </c>
      <c r="B1144" s="41">
        <v>20000000</v>
      </c>
      <c r="C1144" s="41">
        <v>0</v>
      </c>
      <c r="D1144" s="41">
        <v>50000000</v>
      </c>
      <c r="E1144" s="41">
        <v>0</v>
      </c>
      <c r="F1144" s="41">
        <v>50000000</v>
      </c>
      <c r="G1144" s="41">
        <v>0</v>
      </c>
      <c r="H1144" s="41">
        <v>50000000</v>
      </c>
      <c r="I1144" s="41">
        <v>0</v>
      </c>
      <c r="J1144" s="41">
        <v>40000000</v>
      </c>
      <c r="K1144" s="41">
        <v>0</v>
      </c>
      <c r="L1144" s="41">
        <v>10000000</v>
      </c>
      <c r="M1144" s="41">
        <v>0</v>
      </c>
      <c r="N1144" s="41">
        <v>92450000.000000745</v>
      </c>
      <c r="O1144" s="41">
        <v>79166.666666666672</v>
      </c>
      <c r="P1144" s="41">
        <v>75000000</v>
      </c>
      <c r="Q1144" s="41">
        <v>0</v>
      </c>
      <c r="R1144" s="41">
        <v>50000000</v>
      </c>
      <c r="S1144" s="41">
        <v>0</v>
      </c>
      <c r="T1144" s="41">
        <v>35000000</v>
      </c>
      <c r="U1144" s="41">
        <v>0</v>
      </c>
      <c r="V1144" s="41">
        <v>472450000.00000072</v>
      </c>
      <c r="W1144" s="41">
        <v>79166.666666666672</v>
      </c>
      <c r="X1144" s="38">
        <f t="shared" si="102"/>
        <v>0.94490000000000141</v>
      </c>
      <c r="Y1144" s="39">
        <f t="shared" si="103"/>
        <v>1.5833333333333335E-4</v>
      </c>
      <c r="Z1144" s="39">
        <f t="shared" si="107"/>
        <v>1.6759431590646448E-4</v>
      </c>
      <c r="AA1144" s="41">
        <f t="shared" si="104"/>
        <v>27549999.999999285</v>
      </c>
      <c r="AB1144" s="39">
        <f t="shared" si="105"/>
        <v>2.8735632183908796E-3</v>
      </c>
      <c r="AC1144" s="38">
        <f t="shared" si="106"/>
        <v>0.18870298150710746</v>
      </c>
      <c r="AD1144" s="3"/>
    </row>
    <row r="1145" spans="1:30" x14ac:dyDescent="0.25">
      <c r="A1145" s="37">
        <v>46781</v>
      </c>
      <c r="B1145" s="41">
        <v>20000000</v>
      </c>
      <c r="C1145" s="41">
        <v>0</v>
      </c>
      <c r="D1145" s="41">
        <v>50000000</v>
      </c>
      <c r="E1145" s="41">
        <v>0</v>
      </c>
      <c r="F1145" s="41">
        <v>50000000</v>
      </c>
      <c r="G1145" s="41">
        <v>0</v>
      </c>
      <c r="H1145" s="41">
        <v>50000000</v>
      </c>
      <c r="I1145" s="41">
        <v>0</v>
      </c>
      <c r="J1145" s="41">
        <v>40000000</v>
      </c>
      <c r="K1145" s="41">
        <v>0</v>
      </c>
      <c r="L1145" s="41">
        <v>10000000</v>
      </c>
      <c r="M1145" s="41">
        <v>0</v>
      </c>
      <c r="N1145" s="41">
        <v>92529166.666667417</v>
      </c>
      <c r="O1145" s="41">
        <v>79166.666666666672</v>
      </c>
      <c r="P1145" s="41">
        <v>75000000</v>
      </c>
      <c r="Q1145" s="41">
        <v>0</v>
      </c>
      <c r="R1145" s="41">
        <v>50000000</v>
      </c>
      <c r="S1145" s="41">
        <v>0</v>
      </c>
      <c r="T1145" s="41">
        <v>35000000</v>
      </c>
      <c r="U1145" s="41">
        <v>0</v>
      </c>
      <c r="V1145" s="41">
        <v>472529166.6666674</v>
      </c>
      <c r="W1145" s="41">
        <v>79166.666666666672</v>
      </c>
      <c r="X1145" s="38">
        <f t="shared" si="102"/>
        <v>0.94505833333333478</v>
      </c>
      <c r="Y1145" s="39">
        <f t="shared" si="103"/>
        <v>1.5833333333333335E-4</v>
      </c>
      <c r="Z1145" s="39">
        <f t="shared" si="107"/>
        <v>1.6756623275831632E-4</v>
      </c>
      <c r="AA1145" s="41">
        <f t="shared" si="104"/>
        <v>27470833.333332598</v>
      </c>
      <c r="AB1145" s="39">
        <f t="shared" si="105"/>
        <v>2.8818443804035357E-3</v>
      </c>
      <c r="AC1145" s="38">
        <f t="shared" si="106"/>
        <v>0.18866540190971279</v>
      </c>
      <c r="AD1145" s="3"/>
    </row>
    <row r="1146" spans="1:30" x14ac:dyDescent="0.25">
      <c r="A1146" s="37">
        <v>46782</v>
      </c>
      <c r="B1146" s="41">
        <v>20000000</v>
      </c>
      <c r="C1146" s="41">
        <v>0</v>
      </c>
      <c r="D1146" s="41">
        <v>50000000</v>
      </c>
      <c r="E1146" s="41">
        <v>0</v>
      </c>
      <c r="F1146" s="41">
        <v>50000000</v>
      </c>
      <c r="G1146" s="41">
        <v>0</v>
      </c>
      <c r="H1146" s="41">
        <v>50000000</v>
      </c>
      <c r="I1146" s="41">
        <v>0</v>
      </c>
      <c r="J1146" s="41">
        <v>40000000</v>
      </c>
      <c r="K1146" s="41">
        <v>0</v>
      </c>
      <c r="L1146" s="41">
        <v>10000000</v>
      </c>
      <c r="M1146" s="41">
        <v>0</v>
      </c>
      <c r="N1146" s="41">
        <v>92608333.333334088</v>
      </c>
      <c r="O1146" s="41">
        <v>79166.666666666672</v>
      </c>
      <c r="P1146" s="41">
        <v>75000000</v>
      </c>
      <c r="Q1146" s="41">
        <v>0</v>
      </c>
      <c r="R1146" s="41">
        <v>50000000</v>
      </c>
      <c r="S1146" s="41">
        <v>0</v>
      </c>
      <c r="T1146" s="41">
        <v>35000000</v>
      </c>
      <c r="U1146" s="41">
        <v>0</v>
      </c>
      <c r="V1146" s="41">
        <v>472608333.33333409</v>
      </c>
      <c r="W1146" s="41">
        <v>79166.666666666672</v>
      </c>
      <c r="X1146" s="38">
        <f t="shared" si="102"/>
        <v>0.94521666666666815</v>
      </c>
      <c r="Y1146" s="39">
        <f t="shared" si="103"/>
        <v>1.5833333333333335E-4</v>
      </c>
      <c r="Z1146" s="39">
        <f t="shared" si="107"/>
        <v>1.6753815902016605E-4</v>
      </c>
      <c r="AA1146" s="41">
        <f t="shared" si="104"/>
        <v>27391666.666665912</v>
      </c>
      <c r="AB1146" s="39">
        <f t="shared" si="105"/>
        <v>2.8901734104047039E-3</v>
      </c>
      <c r="AC1146" s="38">
        <f t="shared" si="106"/>
        <v>0.18862783727705201</v>
      </c>
      <c r="AD1146" s="3"/>
    </row>
    <row r="1147" spans="1:30" x14ac:dyDescent="0.25">
      <c r="A1147" s="37">
        <v>46783</v>
      </c>
      <c r="B1147" s="41">
        <v>20000000</v>
      </c>
      <c r="C1147" s="41">
        <v>0</v>
      </c>
      <c r="D1147" s="41">
        <v>50000000</v>
      </c>
      <c r="E1147" s="41">
        <v>0</v>
      </c>
      <c r="F1147" s="41">
        <v>50000000</v>
      </c>
      <c r="G1147" s="41">
        <v>0</v>
      </c>
      <c r="H1147" s="41">
        <v>50000000</v>
      </c>
      <c r="I1147" s="41">
        <v>0</v>
      </c>
      <c r="J1147" s="41">
        <v>40000000</v>
      </c>
      <c r="K1147" s="41">
        <v>0</v>
      </c>
      <c r="L1147" s="41">
        <v>10000000</v>
      </c>
      <c r="M1147" s="41">
        <v>0</v>
      </c>
      <c r="N1147" s="41">
        <v>92687500.00000076</v>
      </c>
      <c r="O1147" s="41">
        <v>79166.666666666672</v>
      </c>
      <c r="P1147" s="41">
        <v>75000000</v>
      </c>
      <c r="Q1147" s="41">
        <v>0</v>
      </c>
      <c r="R1147" s="41">
        <v>50000000</v>
      </c>
      <c r="S1147" s="41">
        <v>0</v>
      </c>
      <c r="T1147" s="41">
        <v>35000000</v>
      </c>
      <c r="U1147" s="41">
        <v>0</v>
      </c>
      <c r="V1147" s="41">
        <v>472687500.00000077</v>
      </c>
      <c r="W1147" s="41">
        <v>79166.666666666672</v>
      </c>
      <c r="X1147" s="38">
        <f t="shared" si="102"/>
        <v>0.94537500000000152</v>
      </c>
      <c r="Y1147" s="39">
        <f t="shared" si="103"/>
        <v>1.5833333333333335E-4</v>
      </c>
      <c r="Z1147" s="39">
        <f t="shared" si="107"/>
        <v>1.6751009468728484E-4</v>
      </c>
      <c r="AA1147" s="41">
        <f t="shared" si="104"/>
        <v>27312499.999999225</v>
      </c>
      <c r="AB1147" s="39">
        <f t="shared" si="105"/>
        <v>2.8985507246377636E-3</v>
      </c>
      <c r="AC1147" s="38">
        <f t="shared" si="106"/>
        <v>0.18859028760018823</v>
      </c>
      <c r="AD1147" s="3"/>
    </row>
    <row r="1148" spans="1:30" x14ac:dyDescent="0.25">
      <c r="A1148" s="37">
        <v>46784</v>
      </c>
      <c r="B1148" s="41">
        <v>20000000</v>
      </c>
      <c r="C1148" s="41">
        <v>0</v>
      </c>
      <c r="D1148" s="41">
        <v>50000000</v>
      </c>
      <c r="E1148" s="41">
        <v>0</v>
      </c>
      <c r="F1148" s="41">
        <v>50000000</v>
      </c>
      <c r="G1148" s="41">
        <v>0</v>
      </c>
      <c r="H1148" s="41">
        <v>50000000</v>
      </c>
      <c r="I1148" s="41">
        <v>0</v>
      </c>
      <c r="J1148" s="41">
        <v>40000000</v>
      </c>
      <c r="K1148" s="41">
        <v>0</v>
      </c>
      <c r="L1148" s="41">
        <v>10000000</v>
      </c>
      <c r="M1148" s="41">
        <v>0</v>
      </c>
      <c r="N1148" s="41">
        <v>92766666.666667432</v>
      </c>
      <c r="O1148" s="41">
        <v>79166.666666666672</v>
      </c>
      <c r="P1148" s="41">
        <v>75000000</v>
      </c>
      <c r="Q1148" s="41">
        <v>0</v>
      </c>
      <c r="R1148" s="41">
        <v>50000000</v>
      </c>
      <c r="S1148" s="41">
        <v>0</v>
      </c>
      <c r="T1148" s="41">
        <v>35000000</v>
      </c>
      <c r="U1148" s="41">
        <v>0</v>
      </c>
      <c r="V1148" s="41">
        <v>472766666.66666752</v>
      </c>
      <c r="W1148" s="41">
        <v>79166.666666666672</v>
      </c>
      <c r="X1148" s="38">
        <f t="shared" si="102"/>
        <v>0.945533333333335</v>
      </c>
      <c r="Y1148" s="39">
        <f t="shared" si="103"/>
        <v>1.5833333333333335E-4</v>
      </c>
      <c r="Z1148" s="39">
        <f t="shared" si="107"/>
        <v>1.6748203975494708E-4</v>
      </c>
      <c r="AA1148" s="41">
        <f t="shared" si="104"/>
        <v>27233333.333332479</v>
      </c>
      <c r="AB1148" s="39">
        <f t="shared" si="105"/>
        <v>2.906976744186138E-3</v>
      </c>
      <c r="AC1148" s="38">
        <f t="shared" si="106"/>
        <v>0.18855275287019149</v>
      </c>
      <c r="AD1148" s="3"/>
    </row>
    <row r="1149" spans="1:30" x14ac:dyDescent="0.25">
      <c r="A1149" s="37">
        <v>46785</v>
      </c>
      <c r="B1149" s="41">
        <v>20000000</v>
      </c>
      <c r="C1149" s="41">
        <v>0</v>
      </c>
      <c r="D1149" s="41">
        <v>50000000</v>
      </c>
      <c r="E1149" s="41">
        <v>0</v>
      </c>
      <c r="F1149" s="41">
        <v>50000000</v>
      </c>
      <c r="G1149" s="41">
        <v>0</v>
      </c>
      <c r="H1149" s="41">
        <v>50000000</v>
      </c>
      <c r="I1149" s="41">
        <v>0</v>
      </c>
      <c r="J1149" s="41">
        <v>40000000</v>
      </c>
      <c r="K1149" s="41">
        <v>0</v>
      </c>
      <c r="L1149" s="41">
        <v>10000000</v>
      </c>
      <c r="M1149" s="41">
        <v>0</v>
      </c>
      <c r="N1149" s="41">
        <v>92845833.333334103</v>
      </c>
      <c r="O1149" s="41">
        <v>79166.666666666672</v>
      </c>
      <c r="P1149" s="41">
        <v>75000000</v>
      </c>
      <c r="Q1149" s="41">
        <v>0</v>
      </c>
      <c r="R1149" s="41">
        <v>50000000</v>
      </c>
      <c r="S1149" s="41">
        <v>0</v>
      </c>
      <c r="T1149" s="41">
        <v>35000000</v>
      </c>
      <c r="U1149" s="41">
        <v>0</v>
      </c>
      <c r="V1149" s="41">
        <v>472845833.33333409</v>
      </c>
      <c r="W1149" s="41">
        <v>79166.666666666672</v>
      </c>
      <c r="X1149" s="38">
        <f t="shared" si="102"/>
        <v>0.94569166666666815</v>
      </c>
      <c r="Y1149" s="39">
        <f t="shared" si="103"/>
        <v>1.5833333333333335E-4</v>
      </c>
      <c r="Z1149" s="39">
        <f t="shared" si="107"/>
        <v>1.6745399421843021E-4</v>
      </c>
      <c r="AA1149" s="41">
        <f t="shared" si="104"/>
        <v>27154166.666665912</v>
      </c>
      <c r="AB1149" s="39">
        <f t="shared" si="105"/>
        <v>2.9154518950438128E-3</v>
      </c>
      <c r="AC1149" s="38">
        <f t="shared" si="106"/>
        <v>0.18851523307813919</v>
      </c>
      <c r="AD1149" s="3"/>
    </row>
    <row r="1150" spans="1:30" x14ac:dyDescent="0.25">
      <c r="A1150" s="37">
        <v>46786</v>
      </c>
      <c r="B1150" s="41">
        <v>20000000</v>
      </c>
      <c r="C1150" s="41">
        <v>0</v>
      </c>
      <c r="D1150" s="41">
        <v>50000000</v>
      </c>
      <c r="E1150" s="41">
        <v>0</v>
      </c>
      <c r="F1150" s="41">
        <v>50000000</v>
      </c>
      <c r="G1150" s="41">
        <v>0</v>
      </c>
      <c r="H1150" s="41">
        <v>50000000</v>
      </c>
      <c r="I1150" s="41">
        <v>0</v>
      </c>
      <c r="J1150" s="41">
        <v>40000000</v>
      </c>
      <c r="K1150" s="41">
        <v>0</v>
      </c>
      <c r="L1150" s="41">
        <v>10000000</v>
      </c>
      <c r="M1150" s="41">
        <v>0</v>
      </c>
      <c r="N1150" s="41">
        <v>92925000.000000775</v>
      </c>
      <c r="O1150" s="41">
        <v>79166.666666666672</v>
      </c>
      <c r="P1150" s="41">
        <v>75000000</v>
      </c>
      <c r="Q1150" s="41">
        <v>0</v>
      </c>
      <c r="R1150" s="41">
        <v>50000000</v>
      </c>
      <c r="S1150" s="41">
        <v>0</v>
      </c>
      <c r="T1150" s="41">
        <v>35000000</v>
      </c>
      <c r="U1150" s="41">
        <v>0</v>
      </c>
      <c r="V1150" s="41">
        <v>472925000.00000077</v>
      </c>
      <c r="W1150" s="41">
        <v>79166.666666666672</v>
      </c>
      <c r="X1150" s="38">
        <f t="shared" si="102"/>
        <v>0.94585000000000152</v>
      </c>
      <c r="Y1150" s="39">
        <f t="shared" si="103"/>
        <v>1.5833333333333335E-4</v>
      </c>
      <c r="Z1150" s="39">
        <f t="shared" si="107"/>
        <v>1.6742595807301509E-4</v>
      </c>
      <c r="AA1150" s="41">
        <f t="shared" si="104"/>
        <v>27074999.999999225</v>
      </c>
      <c r="AB1150" s="39">
        <f t="shared" si="105"/>
        <v>2.9239766081872185E-3</v>
      </c>
      <c r="AC1150" s="38">
        <f t="shared" si="106"/>
        <v>0.18847772821511555</v>
      </c>
      <c r="AD1150" s="3"/>
    </row>
    <row r="1151" spans="1:30" x14ac:dyDescent="0.25">
      <c r="A1151" s="37">
        <v>46787</v>
      </c>
      <c r="B1151" s="41">
        <v>20000000</v>
      </c>
      <c r="C1151" s="41">
        <v>0</v>
      </c>
      <c r="D1151" s="41">
        <v>50000000</v>
      </c>
      <c r="E1151" s="41">
        <v>0</v>
      </c>
      <c r="F1151" s="41">
        <v>50000000</v>
      </c>
      <c r="G1151" s="41">
        <v>0</v>
      </c>
      <c r="H1151" s="41">
        <v>50000000</v>
      </c>
      <c r="I1151" s="41">
        <v>0</v>
      </c>
      <c r="J1151" s="41">
        <v>40000000</v>
      </c>
      <c r="K1151" s="41">
        <v>0</v>
      </c>
      <c r="L1151" s="41">
        <v>10000000</v>
      </c>
      <c r="M1151" s="41">
        <v>0</v>
      </c>
      <c r="N1151" s="41">
        <v>93004166.666667446</v>
      </c>
      <c r="O1151" s="41">
        <v>79166.666666666672</v>
      </c>
      <c r="P1151" s="41">
        <v>75000000</v>
      </c>
      <c r="Q1151" s="41">
        <v>0</v>
      </c>
      <c r="R1151" s="41">
        <v>50000000</v>
      </c>
      <c r="S1151" s="41">
        <v>0</v>
      </c>
      <c r="T1151" s="41">
        <v>35000000</v>
      </c>
      <c r="U1151" s="41">
        <v>0</v>
      </c>
      <c r="V1151" s="41">
        <v>473004166.66666752</v>
      </c>
      <c r="W1151" s="41">
        <v>79166.666666666672</v>
      </c>
      <c r="X1151" s="38">
        <f t="shared" si="102"/>
        <v>0.94600833333333501</v>
      </c>
      <c r="Y1151" s="39">
        <f t="shared" si="103"/>
        <v>1.5833333333333335E-4</v>
      </c>
      <c r="Z1151" s="39">
        <f t="shared" si="107"/>
        <v>1.6739793131398539E-4</v>
      </c>
      <c r="AA1151" s="41">
        <f t="shared" si="104"/>
        <v>26995833.333332479</v>
      </c>
      <c r="AB1151" s="39">
        <f t="shared" si="105"/>
        <v>2.9325513196481866E-3</v>
      </c>
      <c r="AC1151" s="38">
        <f t="shared" si="106"/>
        <v>0.18844023827221199</v>
      </c>
      <c r="AD1151" s="3"/>
    </row>
    <row r="1152" spans="1:30" x14ac:dyDescent="0.25">
      <c r="A1152" s="37">
        <v>46788</v>
      </c>
      <c r="B1152" s="41">
        <v>20000000</v>
      </c>
      <c r="C1152" s="41">
        <v>0</v>
      </c>
      <c r="D1152" s="41">
        <v>50000000</v>
      </c>
      <c r="E1152" s="41">
        <v>0</v>
      </c>
      <c r="F1152" s="41">
        <v>50000000</v>
      </c>
      <c r="G1152" s="41">
        <v>0</v>
      </c>
      <c r="H1152" s="41">
        <v>50000000</v>
      </c>
      <c r="I1152" s="41">
        <v>0</v>
      </c>
      <c r="J1152" s="41">
        <v>40000000</v>
      </c>
      <c r="K1152" s="41">
        <v>0</v>
      </c>
      <c r="L1152" s="41">
        <v>10000000</v>
      </c>
      <c r="M1152" s="41">
        <v>0</v>
      </c>
      <c r="N1152" s="41">
        <v>93083333.333334118</v>
      </c>
      <c r="O1152" s="41">
        <v>79166.666666666672</v>
      </c>
      <c r="P1152" s="41">
        <v>75000000</v>
      </c>
      <c r="Q1152" s="41">
        <v>0</v>
      </c>
      <c r="R1152" s="41">
        <v>50000000</v>
      </c>
      <c r="S1152" s="41">
        <v>0</v>
      </c>
      <c r="T1152" s="41">
        <v>35000000</v>
      </c>
      <c r="U1152" s="41">
        <v>0</v>
      </c>
      <c r="V1152" s="41">
        <v>473083333.33333409</v>
      </c>
      <c r="W1152" s="41">
        <v>79166.666666666672</v>
      </c>
      <c r="X1152" s="38">
        <f t="shared" si="102"/>
        <v>0.94616666666666815</v>
      </c>
      <c r="Y1152" s="39">
        <f t="shared" si="103"/>
        <v>1.5833333333333335E-4</v>
      </c>
      <c r="Z1152" s="39">
        <f t="shared" si="107"/>
        <v>1.6736991393662818E-4</v>
      </c>
      <c r="AA1152" s="41">
        <f t="shared" si="104"/>
        <v>26916666.666665912</v>
      </c>
      <c r="AB1152" s="39">
        <f t="shared" si="105"/>
        <v>2.9411764705883181E-3</v>
      </c>
      <c r="AC1152" s="38">
        <f t="shared" si="106"/>
        <v>0.18840276324052718</v>
      </c>
      <c r="AD1152" s="3"/>
    </row>
    <row r="1153" spans="1:30" x14ac:dyDescent="0.25">
      <c r="A1153" s="37">
        <v>46789</v>
      </c>
      <c r="B1153" s="41">
        <v>20000000</v>
      </c>
      <c r="C1153" s="41">
        <v>0</v>
      </c>
      <c r="D1153" s="41">
        <v>50000000</v>
      </c>
      <c r="E1153" s="41">
        <v>0</v>
      </c>
      <c r="F1153" s="41">
        <v>50000000</v>
      </c>
      <c r="G1153" s="41">
        <v>0</v>
      </c>
      <c r="H1153" s="41">
        <v>50000000</v>
      </c>
      <c r="I1153" s="41">
        <v>0</v>
      </c>
      <c r="J1153" s="41">
        <v>40000000</v>
      </c>
      <c r="K1153" s="41">
        <v>0</v>
      </c>
      <c r="L1153" s="41">
        <v>10000000</v>
      </c>
      <c r="M1153" s="41">
        <v>0</v>
      </c>
      <c r="N1153" s="41">
        <v>93162500.00000079</v>
      </c>
      <c r="O1153" s="41">
        <v>79166.666666666672</v>
      </c>
      <c r="P1153" s="41">
        <v>75000000</v>
      </c>
      <c r="Q1153" s="41">
        <v>0</v>
      </c>
      <c r="R1153" s="41">
        <v>50000000</v>
      </c>
      <c r="S1153" s="41">
        <v>0</v>
      </c>
      <c r="T1153" s="41">
        <v>35000000</v>
      </c>
      <c r="U1153" s="41">
        <v>0</v>
      </c>
      <c r="V1153" s="41">
        <v>473162500.00000077</v>
      </c>
      <c r="W1153" s="41">
        <v>79166.666666666672</v>
      </c>
      <c r="X1153" s="38">
        <f t="shared" si="102"/>
        <v>0.94632500000000153</v>
      </c>
      <c r="Y1153" s="39">
        <f t="shared" si="103"/>
        <v>1.5833333333333335E-4</v>
      </c>
      <c r="Z1153" s="39">
        <f t="shared" si="107"/>
        <v>1.6734190593623366E-4</v>
      </c>
      <c r="AA1153" s="41">
        <f t="shared" si="104"/>
        <v>26837499.999999225</v>
      </c>
      <c r="AB1153" s="39">
        <f t="shared" si="105"/>
        <v>2.9498525073747167E-3</v>
      </c>
      <c r="AC1153" s="38">
        <f t="shared" si="106"/>
        <v>0.18836530311116656</v>
      </c>
      <c r="AD1153" s="3"/>
    </row>
    <row r="1154" spans="1:30" x14ac:dyDescent="0.25">
      <c r="A1154" s="37">
        <v>46790</v>
      </c>
      <c r="B1154" s="41">
        <v>20000000</v>
      </c>
      <c r="C1154" s="41">
        <v>0</v>
      </c>
      <c r="D1154" s="41">
        <v>50000000</v>
      </c>
      <c r="E1154" s="41">
        <v>0</v>
      </c>
      <c r="F1154" s="41">
        <v>50000000</v>
      </c>
      <c r="G1154" s="41">
        <v>0</v>
      </c>
      <c r="H1154" s="41">
        <v>50000000</v>
      </c>
      <c r="I1154" s="41">
        <v>0</v>
      </c>
      <c r="J1154" s="41">
        <v>40000000</v>
      </c>
      <c r="K1154" s="41">
        <v>0</v>
      </c>
      <c r="L1154" s="41">
        <v>10000000</v>
      </c>
      <c r="M1154" s="41">
        <v>0</v>
      </c>
      <c r="N1154" s="41">
        <v>93241666.666667461</v>
      </c>
      <c r="O1154" s="41">
        <v>79166.666666666672</v>
      </c>
      <c r="P1154" s="41">
        <v>75000000</v>
      </c>
      <c r="Q1154" s="41">
        <v>0</v>
      </c>
      <c r="R1154" s="41">
        <v>50000000</v>
      </c>
      <c r="S1154" s="41">
        <v>0</v>
      </c>
      <c r="T1154" s="41">
        <v>35000000</v>
      </c>
      <c r="U1154" s="41">
        <v>0</v>
      </c>
      <c r="V1154" s="41">
        <v>473241666.66666752</v>
      </c>
      <c r="W1154" s="41">
        <v>79166.666666666672</v>
      </c>
      <c r="X1154" s="38">
        <f t="shared" si="102"/>
        <v>0.94648333333333501</v>
      </c>
      <c r="Y1154" s="39">
        <f t="shared" si="103"/>
        <v>1.5833333333333335E-4</v>
      </c>
      <c r="Z1154" s="39">
        <f t="shared" si="107"/>
        <v>1.673139073080951E-4</v>
      </c>
      <c r="AA1154" s="41">
        <f t="shared" si="104"/>
        <v>26758333.333332479</v>
      </c>
      <c r="AB1154" s="39">
        <f t="shared" si="105"/>
        <v>2.9585798816568992E-3</v>
      </c>
      <c r="AC1154" s="38">
        <f t="shared" si="106"/>
        <v>0.18832785787524287</v>
      </c>
      <c r="AD1154" s="3"/>
    </row>
    <row r="1155" spans="1:30" x14ac:dyDescent="0.25">
      <c r="A1155" s="37">
        <v>46791</v>
      </c>
      <c r="B1155" s="41">
        <v>20000000</v>
      </c>
      <c r="C1155" s="41">
        <v>0</v>
      </c>
      <c r="D1155" s="41">
        <v>50000000</v>
      </c>
      <c r="E1155" s="41">
        <v>0</v>
      </c>
      <c r="F1155" s="41">
        <v>50000000</v>
      </c>
      <c r="G1155" s="41">
        <v>0</v>
      </c>
      <c r="H1155" s="41">
        <v>50000000</v>
      </c>
      <c r="I1155" s="41">
        <v>0</v>
      </c>
      <c r="J1155" s="41">
        <v>40000000</v>
      </c>
      <c r="K1155" s="41">
        <v>0</v>
      </c>
      <c r="L1155" s="41">
        <v>10000000</v>
      </c>
      <c r="M1155" s="41">
        <v>0</v>
      </c>
      <c r="N1155" s="41">
        <v>93320833.333334133</v>
      </c>
      <c r="O1155" s="41">
        <v>79166.666666666672</v>
      </c>
      <c r="P1155" s="41">
        <v>75000000</v>
      </c>
      <c r="Q1155" s="41">
        <v>0</v>
      </c>
      <c r="R1155" s="41">
        <v>50000000</v>
      </c>
      <c r="S1155" s="41">
        <v>0</v>
      </c>
      <c r="T1155" s="41">
        <v>35000000</v>
      </c>
      <c r="U1155" s="41">
        <v>0</v>
      </c>
      <c r="V1155" s="41">
        <v>473320833.33333409</v>
      </c>
      <c r="W1155" s="41">
        <v>79166.666666666672</v>
      </c>
      <c r="X1155" s="38">
        <f t="shared" si="102"/>
        <v>0.94664166666666816</v>
      </c>
      <c r="Y1155" s="39">
        <f t="shared" si="103"/>
        <v>1.5833333333333335E-4</v>
      </c>
      <c r="Z1155" s="39">
        <f t="shared" si="107"/>
        <v>1.672859180475089E-4</v>
      </c>
      <c r="AA1155" s="41">
        <f t="shared" si="104"/>
        <v>26679166.666665912</v>
      </c>
      <c r="AB1155" s="39">
        <f t="shared" si="105"/>
        <v>2.9673590504451881E-3</v>
      </c>
      <c r="AC1155" s="38">
        <f t="shared" si="106"/>
        <v>0.18829042752387593</v>
      </c>
      <c r="AD1155" s="3"/>
    </row>
    <row r="1156" spans="1:30" x14ac:dyDescent="0.25">
      <c r="A1156" s="37">
        <v>46792</v>
      </c>
      <c r="B1156" s="41">
        <v>20000000</v>
      </c>
      <c r="C1156" s="41">
        <v>0</v>
      </c>
      <c r="D1156" s="41">
        <v>50000000</v>
      </c>
      <c r="E1156" s="41">
        <v>0</v>
      </c>
      <c r="F1156" s="41">
        <v>50000000</v>
      </c>
      <c r="G1156" s="41">
        <v>0</v>
      </c>
      <c r="H1156" s="41">
        <v>50000000</v>
      </c>
      <c r="I1156" s="41">
        <v>0</v>
      </c>
      <c r="J1156" s="41">
        <v>40000000</v>
      </c>
      <c r="K1156" s="41">
        <v>0</v>
      </c>
      <c r="L1156" s="41">
        <v>10000000</v>
      </c>
      <c r="M1156" s="41">
        <v>0</v>
      </c>
      <c r="N1156" s="41">
        <v>93400000.000000805</v>
      </c>
      <c r="O1156" s="41">
        <v>79166.666666666672</v>
      </c>
      <c r="P1156" s="41">
        <v>75000000</v>
      </c>
      <c r="Q1156" s="41">
        <v>0</v>
      </c>
      <c r="R1156" s="41">
        <v>50000000</v>
      </c>
      <c r="S1156" s="41">
        <v>0</v>
      </c>
      <c r="T1156" s="41">
        <v>35000000</v>
      </c>
      <c r="U1156" s="41">
        <v>0</v>
      </c>
      <c r="V1156" s="41">
        <v>473400000.00000077</v>
      </c>
      <c r="W1156" s="41">
        <v>79166.666666666672</v>
      </c>
      <c r="X1156" s="38">
        <f t="shared" si="102"/>
        <v>0.94680000000000153</v>
      </c>
      <c r="Y1156" s="39">
        <f t="shared" si="103"/>
        <v>1.5833333333333335E-4</v>
      </c>
      <c r="Z1156" s="39">
        <f t="shared" si="107"/>
        <v>1.6725793814977483E-4</v>
      </c>
      <c r="AA1156" s="41">
        <f t="shared" si="104"/>
        <v>26599999.999999225</v>
      </c>
      <c r="AB1156" s="39">
        <f t="shared" si="105"/>
        <v>2.9761904761905632E-3</v>
      </c>
      <c r="AC1156" s="38">
        <f t="shared" si="106"/>
        <v>0.18825301204819239</v>
      </c>
      <c r="AD1156" s="3"/>
    </row>
    <row r="1157" spans="1:30" x14ac:dyDescent="0.25">
      <c r="A1157" s="37">
        <v>46793</v>
      </c>
      <c r="B1157" s="41">
        <v>20000000</v>
      </c>
      <c r="C1157" s="41">
        <v>0</v>
      </c>
      <c r="D1157" s="41">
        <v>50000000</v>
      </c>
      <c r="E1157" s="41">
        <v>0</v>
      </c>
      <c r="F1157" s="41">
        <v>50000000</v>
      </c>
      <c r="G1157" s="41">
        <v>0</v>
      </c>
      <c r="H1157" s="41">
        <v>50000000</v>
      </c>
      <c r="I1157" s="41">
        <v>0</v>
      </c>
      <c r="J1157" s="41">
        <v>40000000</v>
      </c>
      <c r="K1157" s="41">
        <v>0</v>
      </c>
      <c r="L1157" s="41">
        <v>10000000</v>
      </c>
      <c r="M1157" s="41">
        <v>0</v>
      </c>
      <c r="N1157" s="41">
        <v>93479166.666667476</v>
      </c>
      <c r="O1157" s="41">
        <v>79166.666666666672</v>
      </c>
      <c r="P1157" s="41">
        <v>75000000</v>
      </c>
      <c r="Q1157" s="41">
        <v>0</v>
      </c>
      <c r="R1157" s="41">
        <v>50000000</v>
      </c>
      <c r="S1157" s="41">
        <v>0</v>
      </c>
      <c r="T1157" s="41">
        <v>35000000</v>
      </c>
      <c r="U1157" s="41">
        <v>0</v>
      </c>
      <c r="V1157" s="41">
        <v>473479166.66666752</v>
      </c>
      <c r="W1157" s="41">
        <v>79166.666666666672</v>
      </c>
      <c r="X1157" s="38">
        <f t="shared" si="102"/>
        <v>0.94695833333333501</v>
      </c>
      <c r="Y1157" s="39">
        <f t="shared" si="103"/>
        <v>1.5833333333333335E-4</v>
      </c>
      <c r="Z1157" s="39">
        <f t="shared" si="107"/>
        <v>1.6722996761019549E-4</v>
      </c>
      <c r="AA1157" s="41">
        <f t="shared" si="104"/>
        <v>26520833.333332479</v>
      </c>
      <c r="AB1157" s="39">
        <f t="shared" si="105"/>
        <v>2.9850746268657679E-3</v>
      </c>
      <c r="AC1157" s="38">
        <f t="shared" si="106"/>
        <v>0.18821561143932619</v>
      </c>
      <c r="AD1157" s="3"/>
    </row>
    <row r="1158" spans="1:30" x14ac:dyDescent="0.25">
      <c r="A1158" s="37">
        <v>46794</v>
      </c>
      <c r="B1158" s="41">
        <v>20000000</v>
      </c>
      <c r="C1158" s="41">
        <v>0</v>
      </c>
      <c r="D1158" s="41">
        <v>50000000</v>
      </c>
      <c r="E1158" s="41">
        <v>0</v>
      </c>
      <c r="F1158" s="41">
        <v>50000000</v>
      </c>
      <c r="G1158" s="41">
        <v>0</v>
      </c>
      <c r="H1158" s="41">
        <v>50000000</v>
      </c>
      <c r="I1158" s="41">
        <v>0</v>
      </c>
      <c r="J1158" s="41">
        <v>40000000</v>
      </c>
      <c r="K1158" s="41">
        <v>0</v>
      </c>
      <c r="L1158" s="41">
        <v>10000000</v>
      </c>
      <c r="M1158" s="41">
        <v>0</v>
      </c>
      <c r="N1158" s="41">
        <v>93558333.333334148</v>
      </c>
      <c r="O1158" s="41">
        <v>79166.666666666672</v>
      </c>
      <c r="P1158" s="41">
        <v>75000000</v>
      </c>
      <c r="Q1158" s="41">
        <v>0</v>
      </c>
      <c r="R1158" s="41">
        <v>50000000</v>
      </c>
      <c r="S1158" s="41">
        <v>0</v>
      </c>
      <c r="T1158" s="41">
        <v>35000000</v>
      </c>
      <c r="U1158" s="41">
        <v>0</v>
      </c>
      <c r="V1158" s="41">
        <v>473558333.33333409</v>
      </c>
      <c r="W1158" s="41">
        <v>79166.666666666672</v>
      </c>
      <c r="X1158" s="38">
        <f t="shared" si="102"/>
        <v>0.94711666666666816</v>
      </c>
      <c r="Y1158" s="39">
        <f t="shared" si="103"/>
        <v>1.5833333333333335E-4</v>
      </c>
      <c r="Z1158" s="39">
        <f t="shared" si="107"/>
        <v>1.672020064240768E-4</v>
      </c>
      <c r="AA1158" s="41">
        <f t="shared" si="104"/>
        <v>26441666.666665912</v>
      </c>
      <c r="AB1158" s="39">
        <f t="shared" si="105"/>
        <v>2.9940119760479898E-3</v>
      </c>
      <c r="AC1158" s="38">
        <f t="shared" si="106"/>
        <v>0.18817822568841833</v>
      </c>
      <c r="AD1158" s="3"/>
    </row>
    <row r="1159" spans="1:30" x14ac:dyDescent="0.25">
      <c r="A1159" s="37">
        <v>46795</v>
      </c>
      <c r="B1159" s="41">
        <v>20000000</v>
      </c>
      <c r="C1159" s="41">
        <v>0</v>
      </c>
      <c r="D1159" s="41">
        <v>50000000</v>
      </c>
      <c r="E1159" s="41">
        <v>0</v>
      </c>
      <c r="F1159" s="41">
        <v>50000000</v>
      </c>
      <c r="G1159" s="41">
        <v>0</v>
      </c>
      <c r="H1159" s="41">
        <v>50000000</v>
      </c>
      <c r="I1159" s="41">
        <v>0</v>
      </c>
      <c r="J1159" s="41">
        <v>40000000</v>
      </c>
      <c r="K1159" s="41">
        <v>0</v>
      </c>
      <c r="L1159" s="41">
        <v>10000000</v>
      </c>
      <c r="M1159" s="41">
        <v>0</v>
      </c>
      <c r="N1159" s="41">
        <v>93637500.00000082</v>
      </c>
      <c r="O1159" s="41">
        <v>79166.666666666672</v>
      </c>
      <c r="P1159" s="41">
        <v>75000000</v>
      </c>
      <c r="Q1159" s="41">
        <v>0</v>
      </c>
      <c r="R1159" s="41">
        <v>50000000</v>
      </c>
      <c r="S1159" s="41">
        <v>0</v>
      </c>
      <c r="T1159" s="41">
        <v>35000000</v>
      </c>
      <c r="U1159" s="41">
        <v>0</v>
      </c>
      <c r="V1159" s="41">
        <v>473637500.00000077</v>
      </c>
      <c r="W1159" s="41">
        <v>79166.666666666672</v>
      </c>
      <c r="X1159" s="38">
        <f t="shared" si="102"/>
        <v>0.94727500000000153</v>
      </c>
      <c r="Y1159" s="39">
        <f t="shared" si="103"/>
        <v>1.5833333333333335E-4</v>
      </c>
      <c r="Z1159" s="39">
        <f t="shared" si="107"/>
        <v>1.6717405458672787E-4</v>
      </c>
      <c r="AA1159" s="41">
        <f t="shared" si="104"/>
        <v>26362499.999999225</v>
      </c>
      <c r="AB1159" s="39">
        <f t="shared" si="105"/>
        <v>3.0030030030030914E-3</v>
      </c>
      <c r="AC1159" s="38">
        <f t="shared" si="106"/>
        <v>0.18814085478661655</v>
      </c>
      <c r="AD1159" s="3"/>
    </row>
    <row r="1160" spans="1:30" x14ac:dyDescent="0.25">
      <c r="A1160" s="37">
        <v>46796</v>
      </c>
      <c r="B1160" s="41">
        <v>20000000</v>
      </c>
      <c r="C1160" s="41">
        <v>0</v>
      </c>
      <c r="D1160" s="41">
        <v>50000000</v>
      </c>
      <c r="E1160" s="41">
        <v>0</v>
      </c>
      <c r="F1160" s="41">
        <v>50000000</v>
      </c>
      <c r="G1160" s="41">
        <v>0</v>
      </c>
      <c r="H1160" s="41">
        <v>50000000</v>
      </c>
      <c r="I1160" s="41">
        <v>0</v>
      </c>
      <c r="J1160" s="41">
        <v>40000000</v>
      </c>
      <c r="K1160" s="41">
        <v>0</v>
      </c>
      <c r="L1160" s="41">
        <v>10000000</v>
      </c>
      <c r="M1160" s="41">
        <v>0</v>
      </c>
      <c r="N1160" s="41">
        <v>93716666.666667491</v>
      </c>
      <c r="O1160" s="41">
        <v>79166.666666666672</v>
      </c>
      <c r="P1160" s="41">
        <v>75000000</v>
      </c>
      <c r="Q1160" s="41">
        <v>0</v>
      </c>
      <c r="R1160" s="41">
        <v>50000000</v>
      </c>
      <c r="S1160" s="41">
        <v>0</v>
      </c>
      <c r="T1160" s="41">
        <v>35000000</v>
      </c>
      <c r="U1160" s="41">
        <v>0</v>
      </c>
      <c r="V1160" s="41">
        <v>473716666.66666752</v>
      </c>
      <c r="W1160" s="41">
        <v>79166.666666666672</v>
      </c>
      <c r="X1160" s="38">
        <f t="shared" si="102"/>
        <v>0.94743333333333501</v>
      </c>
      <c r="Y1160" s="39">
        <f t="shared" si="103"/>
        <v>1.5833333333333335E-4</v>
      </c>
      <c r="Z1160" s="39">
        <f t="shared" si="107"/>
        <v>1.671461120934608E-4</v>
      </c>
      <c r="AA1160" s="41">
        <f t="shared" si="104"/>
        <v>26283333.333332479</v>
      </c>
      <c r="AB1160" s="39">
        <f t="shared" si="105"/>
        <v>3.0120481927711825E-3</v>
      </c>
      <c r="AC1160" s="38">
        <f t="shared" si="106"/>
        <v>0.1881034987250759</v>
      </c>
      <c r="AD1160" s="3"/>
    </row>
    <row r="1161" spans="1:30" x14ac:dyDescent="0.25">
      <c r="A1161" s="37">
        <v>46797</v>
      </c>
      <c r="B1161" s="41">
        <v>20000000</v>
      </c>
      <c r="C1161" s="41">
        <v>0</v>
      </c>
      <c r="D1161" s="41">
        <v>50000000</v>
      </c>
      <c r="E1161" s="41">
        <v>0</v>
      </c>
      <c r="F1161" s="41">
        <v>50000000</v>
      </c>
      <c r="G1161" s="41">
        <v>0</v>
      </c>
      <c r="H1161" s="41">
        <v>50000000</v>
      </c>
      <c r="I1161" s="41">
        <v>0</v>
      </c>
      <c r="J1161" s="41">
        <v>40000000</v>
      </c>
      <c r="K1161" s="41">
        <v>0</v>
      </c>
      <c r="L1161" s="41">
        <v>10000000</v>
      </c>
      <c r="M1161" s="41">
        <v>0</v>
      </c>
      <c r="N1161" s="41">
        <v>93795833.333334163</v>
      </c>
      <c r="O1161" s="41">
        <v>79166.666666666672</v>
      </c>
      <c r="P1161" s="41">
        <v>75000000</v>
      </c>
      <c r="Q1161" s="41">
        <v>0</v>
      </c>
      <c r="R1161" s="41">
        <v>50000000</v>
      </c>
      <c r="S1161" s="41">
        <v>0</v>
      </c>
      <c r="T1161" s="41">
        <v>35000000</v>
      </c>
      <c r="U1161" s="41">
        <v>0</v>
      </c>
      <c r="V1161" s="41">
        <v>473795833.33333409</v>
      </c>
      <c r="W1161" s="41">
        <v>79166.666666666672</v>
      </c>
      <c r="X1161" s="38">
        <f t="shared" si="102"/>
        <v>0.94759166666666816</v>
      </c>
      <c r="Y1161" s="39">
        <f t="shared" si="103"/>
        <v>1.5833333333333335E-4</v>
      </c>
      <c r="Z1161" s="39">
        <f t="shared" si="107"/>
        <v>1.6711817893959088E-4</v>
      </c>
      <c r="AA1161" s="41">
        <f t="shared" si="104"/>
        <v>26204166.666665912</v>
      </c>
      <c r="AB1161" s="39">
        <f t="shared" si="105"/>
        <v>3.0211480362538636E-3</v>
      </c>
      <c r="AC1161" s="38">
        <f t="shared" si="106"/>
        <v>0.18806615749495842</v>
      </c>
      <c r="AD1161" s="3"/>
    </row>
    <row r="1162" spans="1:30" x14ac:dyDescent="0.25">
      <c r="A1162" s="37">
        <v>46798</v>
      </c>
      <c r="B1162" s="41">
        <v>20000000</v>
      </c>
      <c r="C1162" s="41">
        <v>0</v>
      </c>
      <c r="D1162" s="41">
        <v>50000000</v>
      </c>
      <c r="E1162" s="41">
        <v>0</v>
      </c>
      <c r="F1162" s="41">
        <v>50000000</v>
      </c>
      <c r="G1162" s="41">
        <v>0</v>
      </c>
      <c r="H1162" s="41">
        <v>50000000</v>
      </c>
      <c r="I1162" s="41">
        <v>0</v>
      </c>
      <c r="J1162" s="41">
        <v>40000000</v>
      </c>
      <c r="K1162" s="41">
        <v>0</v>
      </c>
      <c r="L1162" s="41">
        <v>10000000</v>
      </c>
      <c r="M1162" s="41">
        <v>0</v>
      </c>
      <c r="N1162" s="41">
        <v>93875000.000000834</v>
      </c>
      <c r="O1162" s="41">
        <v>79166.666666666672</v>
      </c>
      <c r="P1162" s="41">
        <v>75000000</v>
      </c>
      <c r="Q1162" s="41">
        <v>0</v>
      </c>
      <c r="R1162" s="41">
        <v>50000000</v>
      </c>
      <c r="S1162" s="41">
        <v>0</v>
      </c>
      <c r="T1162" s="41">
        <v>35000000</v>
      </c>
      <c r="U1162" s="41">
        <v>0</v>
      </c>
      <c r="V1162" s="41">
        <v>473875000.00000077</v>
      </c>
      <c r="W1162" s="41">
        <v>79166.666666666672</v>
      </c>
      <c r="X1162" s="38">
        <f t="shared" si="102"/>
        <v>0.94775000000000154</v>
      </c>
      <c r="Y1162" s="39">
        <f t="shared" si="103"/>
        <v>1.5833333333333335E-4</v>
      </c>
      <c r="Z1162" s="39">
        <f t="shared" si="107"/>
        <v>1.6709025512043663E-4</v>
      </c>
      <c r="AA1162" s="41">
        <f t="shared" si="104"/>
        <v>26124999.999999225</v>
      </c>
      <c r="AB1162" s="39">
        <f t="shared" si="105"/>
        <v>3.0303030303031205E-3</v>
      </c>
      <c r="AC1162" s="38">
        <f t="shared" si="106"/>
        <v>0.18802883108743304</v>
      </c>
      <c r="AD1162" s="3"/>
    </row>
    <row r="1163" spans="1:30" x14ac:dyDescent="0.25">
      <c r="A1163" s="37">
        <v>46799</v>
      </c>
      <c r="B1163" s="41">
        <v>20000000</v>
      </c>
      <c r="C1163" s="41">
        <v>0</v>
      </c>
      <c r="D1163" s="41">
        <v>50000000</v>
      </c>
      <c r="E1163" s="41">
        <v>0</v>
      </c>
      <c r="F1163" s="41">
        <v>50000000</v>
      </c>
      <c r="G1163" s="41">
        <v>0</v>
      </c>
      <c r="H1163" s="41">
        <v>50000000</v>
      </c>
      <c r="I1163" s="41">
        <v>0</v>
      </c>
      <c r="J1163" s="41">
        <v>40000000</v>
      </c>
      <c r="K1163" s="41">
        <v>0</v>
      </c>
      <c r="L1163" s="41">
        <v>10000000</v>
      </c>
      <c r="M1163" s="41">
        <v>0</v>
      </c>
      <c r="N1163" s="41">
        <v>93954166.666667506</v>
      </c>
      <c r="O1163" s="41">
        <v>79166.666666666672</v>
      </c>
      <c r="P1163" s="41">
        <v>75000000</v>
      </c>
      <c r="Q1163" s="41">
        <v>0</v>
      </c>
      <c r="R1163" s="41">
        <v>50000000</v>
      </c>
      <c r="S1163" s="41">
        <v>0</v>
      </c>
      <c r="T1163" s="41">
        <v>35000000</v>
      </c>
      <c r="U1163" s="41">
        <v>0</v>
      </c>
      <c r="V1163" s="41">
        <v>473954166.66666752</v>
      </c>
      <c r="W1163" s="41">
        <v>79166.666666666672</v>
      </c>
      <c r="X1163" s="38">
        <f t="shared" si="102"/>
        <v>0.94790833333333502</v>
      </c>
      <c r="Y1163" s="39">
        <f t="shared" si="103"/>
        <v>1.5833333333333335E-4</v>
      </c>
      <c r="Z1163" s="39">
        <f t="shared" si="107"/>
        <v>1.6706234063131953E-4</v>
      </c>
      <c r="AA1163" s="41">
        <f t="shared" si="104"/>
        <v>26045833.333332479</v>
      </c>
      <c r="AB1163" s="39">
        <f t="shared" si="105"/>
        <v>3.0395136778116499E-3</v>
      </c>
      <c r="AC1163" s="38">
        <f t="shared" si="106"/>
        <v>0.18799151949367576</v>
      </c>
      <c r="AD1163" s="3"/>
    </row>
    <row r="1164" spans="1:30" x14ac:dyDescent="0.25">
      <c r="A1164" s="37">
        <v>46800</v>
      </c>
      <c r="B1164" s="41">
        <v>20000000</v>
      </c>
      <c r="C1164" s="41">
        <v>0</v>
      </c>
      <c r="D1164" s="41">
        <v>50000000</v>
      </c>
      <c r="E1164" s="41">
        <v>0</v>
      </c>
      <c r="F1164" s="41">
        <v>50000000</v>
      </c>
      <c r="G1164" s="41">
        <v>0</v>
      </c>
      <c r="H1164" s="41">
        <v>50000000</v>
      </c>
      <c r="I1164" s="41">
        <v>0</v>
      </c>
      <c r="J1164" s="41">
        <v>40000000</v>
      </c>
      <c r="K1164" s="41">
        <v>0</v>
      </c>
      <c r="L1164" s="41">
        <v>10000000</v>
      </c>
      <c r="M1164" s="41">
        <v>0</v>
      </c>
      <c r="N1164" s="41">
        <v>94033333.333334178</v>
      </c>
      <c r="O1164" s="41">
        <v>79166.666666666672</v>
      </c>
      <c r="P1164" s="41">
        <v>75000000</v>
      </c>
      <c r="Q1164" s="41">
        <v>0</v>
      </c>
      <c r="R1164" s="41">
        <v>50000000</v>
      </c>
      <c r="S1164" s="41">
        <v>0</v>
      </c>
      <c r="T1164" s="41">
        <v>35000000</v>
      </c>
      <c r="U1164" s="41">
        <v>0</v>
      </c>
      <c r="V1164" s="41">
        <v>474033333.33333421</v>
      </c>
      <c r="W1164" s="41">
        <v>79166.666666666672</v>
      </c>
      <c r="X1164" s="38">
        <f t="shared" si="102"/>
        <v>0.94806666666666839</v>
      </c>
      <c r="Y1164" s="39">
        <f t="shared" si="103"/>
        <v>1.5833333333333335E-4</v>
      </c>
      <c r="Z1164" s="39">
        <f t="shared" si="107"/>
        <v>1.6703443546756426E-4</v>
      </c>
      <c r="AA1164" s="41">
        <f t="shared" si="104"/>
        <v>25966666.666665792</v>
      </c>
      <c r="AB1164" s="39">
        <f t="shared" si="105"/>
        <v>3.0487804878049809E-3</v>
      </c>
      <c r="AC1164" s="38">
        <f t="shared" si="106"/>
        <v>0.18795422270486969</v>
      </c>
      <c r="AD1164" s="3"/>
    </row>
    <row r="1165" spans="1:30" x14ac:dyDescent="0.25">
      <c r="A1165" s="37">
        <v>46801</v>
      </c>
      <c r="B1165" s="41">
        <v>20000000</v>
      </c>
      <c r="C1165" s="41">
        <v>0</v>
      </c>
      <c r="D1165" s="41">
        <v>50000000</v>
      </c>
      <c r="E1165" s="41">
        <v>0</v>
      </c>
      <c r="F1165" s="41">
        <v>50000000</v>
      </c>
      <c r="G1165" s="41">
        <v>0</v>
      </c>
      <c r="H1165" s="41">
        <v>50000000</v>
      </c>
      <c r="I1165" s="41">
        <v>0</v>
      </c>
      <c r="J1165" s="41">
        <v>40000000</v>
      </c>
      <c r="K1165" s="41">
        <v>0</v>
      </c>
      <c r="L1165" s="41">
        <v>10000000</v>
      </c>
      <c r="M1165" s="41">
        <v>0</v>
      </c>
      <c r="N1165" s="41">
        <v>94112500.000000849</v>
      </c>
      <c r="O1165" s="41">
        <v>79166.666666666672</v>
      </c>
      <c r="P1165" s="41">
        <v>75000000</v>
      </c>
      <c r="Q1165" s="41">
        <v>0</v>
      </c>
      <c r="R1165" s="41">
        <v>50000000</v>
      </c>
      <c r="S1165" s="41">
        <v>0</v>
      </c>
      <c r="T1165" s="41">
        <v>35000000</v>
      </c>
      <c r="U1165" s="41">
        <v>0</v>
      </c>
      <c r="V1165" s="41">
        <v>474112500.00000077</v>
      </c>
      <c r="W1165" s="41">
        <v>79166.666666666672</v>
      </c>
      <c r="X1165" s="38">
        <f t="shared" si="102"/>
        <v>0.94822500000000154</v>
      </c>
      <c r="Y1165" s="39">
        <f t="shared" si="103"/>
        <v>1.5833333333333335E-4</v>
      </c>
      <c r="Z1165" s="39">
        <f t="shared" si="107"/>
        <v>1.6700653962449868E-4</v>
      </c>
      <c r="AA1165" s="41">
        <f t="shared" si="104"/>
        <v>25887499.999999225</v>
      </c>
      <c r="AB1165" s="39">
        <f t="shared" si="105"/>
        <v>3.0581039755352597E-3</v>
      </c>
      <c r="AC1165" s="38">
        <f t="shared" si="106"/>
        <v>0.18791694071220483</v>
      </c>
      <c r="AD1165" s="3"/>
    </row>
    <row r="1166" spans="1:30" x14ac:dyDescent="0.25">
      <c r="A1166" s="37">
        <v>46802</v>
      </c>
      <c r="B1166" s="41">
        <v>20000000</v>
      </c>
      <c r="C1166" s="41">
        <v>0</v>
      </c>
      <c r="D1166" s="41">
        <v>50000000</v>
      </c>
      <c r="E1166" s="41">
        <v>0</v>
      </c>
      <c r="F1166" s="41">
        <v>50000000</v>
      </c>
      <c r="G1166" s="41">
        <v>0</v>
      </c>
      <c r="H1166" s="41">
        <v>50000000</v>
      </c>
      <c r="I1166" s="41">
        <v>0</v>
      </c>
      <c r="J1166" s="41">
        <v>40000000</v>
      </c>
      <c r="K1166" s="41">
        <v>0</v>
      </c>
      <c r="L1166" s="41">
        <v>10000000</v>
      </c>
      <c r="M1166" s="41">
        <v>0</v>
      </c>
      <c r="N1166" s="41">
        <v>94191666.666667521</v>
      </c>
      <c r="O1166" s="41">
        <v>79166.666666666672</v>
      </c>
      <c r="P1166" s="41">
        <v>75000000</v>
      </c>
      <c r="Q1166" s="41">
        <v>0</v>
      </c>
      <c r="R1166" s="41">
        <v>50000000</v>
      </c>
      <c r="S1166" s="41">
        <v>0</v>
      </c>
      <c r="T1166" s="41">
        <v>35000000</v>
      </c>
      <c r="U1166" s="41">
        <v>0</v>
      </c>
      <c r="V1166" s="41">
        <v>474191666.66666752</v>
      </c>
      <c r="W1166" s="41">
        <v>79166.666666666672</v>
      </c>
      <c r="X1166" s="38">
        <f t="shared" si="102"/>
        <v>0.94838333333333502</v>
      </c>
      <c r="Y1166" s="39">
        <f t="shared" si="103"/>
        <v>1.5833333333333335E-4</v>
      </c>
      <c r="Z1166" s="39">
        <f t="shared" si="107"/>
        <v>1.6697865309745375E-4</v>
      </c>
      <c r="AA1166" s="41">
        <f t="shared" si="104"/>
        <v>25808333.333332479</v>
      </c>
      <c r="AB1166" s="39">
        <f t="shared" si="105"/>
        <v>3.0674846625767887E-3</v>
      </c>
      <c r="AC1166" s="38">
        <f t="shared" si="106"/>
        <v>0.18787967350687809</v>
      </c>
      <c r="AD1166" s="3"/>
    </row>
    <row r="1167" spans="1:30" x14ac:dyDescent="0.25">
      <c r="A1167" s="37">
        <v>46803</v>
      </c>
      <c r="B1167" s="41">
        <v>20000000</v>
      </c>
      <c r="C1167" s="41">
        <v>0</v>
      </c>
      <c r="D1167" s="41">
        <v>50000000</v>
      </c>
      <c r="E1167" s="41">
        <v>0</v>
      </c>
      <c r="F1167" s="41">
        <v>50000000</v>
      </c>
      <c r="G1167" s="41">
        <v>0</v>
      </c>
      <c r="H1167" s="41">
        <v>50000000</v>
      </c>
      <c r="I1167" s="41">
        <v>0</v>
      </c>
      <c r="J1167" s="41">
        <v>40000000</v>
      </c>
      <c r="K1167" s="41">
        <v>0</v>
      </c>
      <c r="L1167" s="41">
        <v>10000000</v>
      </c>
      <c r="M1167" s="41">
        <v>0</v>
      </c>
      <c r="N1167" s="41">
        <v>94270833.333334193</v>
      </c>
      <c r="O1167" s="41">
        <v>79166.666666666672</v>
      </c>
      <c r="P1167" s="41">
        <v>75000000</v>
      </c>
      <c r="Q1167" s="41">
        <v>0</v>
      </c>
      <c r="R1167" s="41">
        <v>50000000</v>
      </c>
      <c r="S1167" s="41">
        <v>0</v>
      </c>
      <c r="T1167" s="41">
        <v>35000000</v>
      </c>
      <c r="U1167" s="41">
        <v>0</v>
      </c>
      <c r="V1167" s="41">
        <v>474270833.33333421</v>
      </c>
      <c r="W1167" s="41">
        <v>79166.666666666672</v>
      </c>
      <c r="X1167" s="38">
        <f t="shared" si="102"/>
        <v>0.94854166666666839</v>
      </c>
      <c r="Y1167" s="39">
        <f t="shared" si="103"/>
        <v>1.5833333333333335E-4</v>
      </c>
      <c r="Z1167" s="39">
        <f t="shared" si="107"/>
        <v>1.6695077588176342E-4</v>
      </c>
      <c r="AA1167" s="41">
        <f t="shared" si="104"/>
        <v>25729166.666665792</v>
      </c>
      <c r="AB1167" s="39">
        <f t="shared" si="105"/>
        <v>3.0769230769231819E-3</v>
      </c>
      <c r="AC1167" s="38">
        <f t="shared" si="106"/>
        <v>0.1878424210800935</v>
      </c>
      <c r="AD1167" s="3"/>
    </row>
    <row r="1168" spans="1:30" x14ac:dyDescent="0.25">
      <c r="A1168" s="37">
        <v>46804</v>
      </c>
      <c r="B1168" s="41">
        <v>20000000</v>
      </c>
      <c r="C1168" s="41">
        <v>0</v>
      </c>
      <c r="D1168" s="41">
        <v>50000000</v>
      </c>
      <c r="E1168" s="41">
        <v>0</v>
      </c>
      <c r="F1168" s="41">
        <v>50000000</v>
      </c>
      <c r="G1168" s="41">
        <v>0</v>
      </c>
      <c r="H1168" s="41">
        <v>50000000</v>
      </c>
      <c r="I1168" s="41">
        <v>0</v>
      </c>
      <c r="J1168" s="41">
        <v>40000000</v>
      </c>
      <c r="K1168" s="41">
        <v>0</v>
      </c>
      <c r="L1168" s="41">
        <v>10000000</v>
      </c>
      <c r="M1168" s="41">
        <v>0</v>
      </c>
      <c r="N1168" s="41">
        <v>94350000.000000864</v>
      </c>
      <c r="O1168" s="41">
        <v>79166.666666666672</v>
      </c>
      <c r="P1168" s="41">
        <v>75000000</v>
      </c>
      <c r="Q1168" s="41">
        <v>0</v>
      </c>
      <c r="R1168" s="41">
        <v>50000000</v>
      </c>
      <c r="S1168" s="41">
        <v>0</v>
      </c>
      <c r="T1168" s="41">
        <v>35000000</v>
      </c>
      <c r="U1168" s="41">
        <v>0</v>
      </c>
      <c r="V1168" s="41">
        <v>474350000.00000077</v>
      </c>
      <c r="W1168" s="41">
        <v>79166.666666666672</v>
      </c>
      <c r="X1168" s="38">
        <f t="shared" si="102"/>
        <v>0.94870000000000154</v>
      </c>
      <c r="Y1168" s="39">
        <f t="shared" si="103"/>
        <v>1.5833333333333335E-4</v>
      </c>
      <c r="Z1168" s="39">
        <f t="shared" si="107"/>
        <v>1.6692290797276491E-4</v>
      </c>
      <c r="AA1168" s="41">
        <f t="shared" si="104"/>
        <v>25649999.999999225</v>
      </c>
      <c r="AB1168" s="39">
        <f t="shared" si="105"/>
        <v>3.0864197530865133E-3</v>
      </c>
      <c r="AC1168" s="38">
        <f t="shared" si="106"/>
        <v>0.1878051834230621</v>
      </c>
      <c r="AD1168" s="3"/>
    </row>
    <row r="1169" spans="1:30" x14ac:dyDescent="0.25">
      <c r="A1169" s="37">
        <v>46805</v>
      </c>
      <c r="B1169" s="41">
        <v>20000000</v>
      </c>
      <c r="C1169" s="41">
        <v>0</v>
      </c>
      <c r="D1169" s="41">
        <v>50000000</v>
      </c>
      <c r="E1169" s="41">
        <v>0</v>
      </c>
      <c r="F1169" s="41">
        <v>50000000</v>
      </c>
      <c r="G1169" s="41">
        <v>0</v>
      </c>
      <c r="H1169" s="41">
        <v>50000000</v>
      </c>
      <c r="I1169" s="41">
        <v>0</v>
      </c>
      <c r="J1169" s="41">
        <v>40000000</v>
      </c>
      <c r="K1169" s="41">
        <v>0</v>
      </c>
      <c r="L1169" s="41">
        <v>10000000</v>
      </c>
      <c r="M1169" s="41">
        <v>0</v>
      </c>
      <c r="N1169" s="41">
        <v>94429166.666667536</v>
      </c>
      <c r="O1169" s="41">
        <v>79166.666666666672</v>
      </c>
      <c r="P1169" s="41">
        <v>75000000</v>
      </c>
      <c r="Q1169" s="41">
        <v>0</v>
      </c>
      <c r="R1169" s="41">
        <v>50000000</v>
      </c>
      <c r="S1169" s="41">
        <v>0</v>
      </c>
      <c r="T1169" s="41">
        <v>35000000</v>
      </c>
      <c r="U1169" s="41">
        <v>0</v>
      </c>
      <c r="V1169" s="41">
        <v>474429166.66666752</v>
      </c>
      <c r="W1169" s="41">
        <v>79166.666666666672</v>
      </c>
      <c r="X1169" s="38">
        <f t="shared" si="102"/>
        <v>0.94885833333333502</v>
      </c>
      <c r="Y1169" s="39">
        <f t="shared" si="103"/>
        <v>1.5833333333333335E-4</v>
      </c>
      <c r="Z1169" s="39">
        <f t="shared" si="107"/>
        <v>1.6689504936579855E-4</v>
      </c>
      <c r="AA1169" s="41">
        <f t="shared" si="104"/>
        <v>25570833.333332479</v>
      </c>
      <c r="AB1169" s="39">
        <f t="shared" si="105"/>
        <v>3.0959752321982462E-3</v>
      </c>
      <c r="AC1169" s="38">
        <f t="shared" si="106"/>
        <v>0.18776796052700168</v>
      </c>
      <c r="AD1169" s="3"/>
    </row>
    <row r="1170" spans="1:30" x14ac:dyDescent="0.25">
      <c r="A1170" s="37">
        <v>46806</v>
      </c>
      <c r="B1170" s="41">
        <v>20000000</v>
      </c>
      <c r="C1170" s="41">
        <v>0</v>
      </c>
      <c r="D1170" s="41">
        <v>50000000</v>
      </c>
      <c r="E1170" s="41">
        <v>0</v>
      </c>
      <c r="F1170" s="41">
        <v>50000000</v>
      </c>
      <c r="G1170" s="41">
        <v>0</v>
      </c>
      <c r="H1170" s="41">
        <v>50000000</v>
      </c>
      <c r="I1170" s="41">
        <v>0</v>
      </c>
      <c r="J1170" s="41">
        <v>40000000</v>
      </c>
      <c r="K1170" s="41">
        <v>0</v>
      </c>
      <c r="L1170" s="41">
        <v>10000000</v>
      </c>
      <c r="M1170" s="41">
        <v>0</v>
      </c>
      <c r="N1170" s="41">
        <v>94508333.333334208</v>
      </c>
      <c r="O1170" s="41">
        <v>79166.666666666672</v>
      </c>
      <c r="P1170" s="41">
        <v>75000000</v>
      </c>
      <c r="Q1170" s="41">
        <v>0</v>
      </c>
      <c r="R1170" s="41">
        <v>50000000</v>
      </c>
      <c r="S1170" s="41">
        <v>0</v>
      </c>
      <c r="T1170" s="41">
        <v>35000000</v>
      </c>
      <c r="U1170" s="41">
        <v>0</v>
      </c>
      <c r="V1170" s="41">
        <v>474508333.33333421</v>
      </c>
      <c r="W1170" s="41">
        <v>79166.666666666672</v>
      </c>
      <c r="X1170" s="38">
        <f t="shared" si="102"/>
        <v>0.9490166666666684</v>
      </c>
      <c r="Y1170" s="39">
        <f t="shared" si="103"/>
        <v>1.5833333333333335E-4</v>
      </c>
      <c r="Z1170" s="39">
        <f t="shared" si="107"/>
        <v>1.6686720005620762E-4</v>
      </c>
      <c r="AA1170" s="41">
        <f t="shared" si="104"/>
        <v>25491666.666665792</v>
      </c>
      <c r="AB1170" s="39">
        <f t="shared" si="105"/>
        <v>3.1055900621119077E-3</v>
      </c>
      <c r="AC1170" s="38">
        <f t="shared" si="106"/>
        <v>0.18773075238313719</v>
      </c>
      <c r="AD1170" s="3"/>
    </row>
    <row r="1171" spans="1:30" x14ac:dyDescent="0.25">
      <c r="A1171" s="37">
        <v>46807</v>
      </c>
      <c r="B1171" s="41">
        <v>20000000</v>
      </c>
      <c r="C1171" s="41">
        <v>0</v>
      </c>
      <c r="D1171" s="41">
        <v>50000000</v>
      </c>
      <c r="E1171" s="41">
        <v>0</v>
      </c>
      <c r="F1171" s="41">
        <v>50000000</v>
      </c>
      <c r="G1171" s="41">
        <v>0</v>
      </c>
      <c r="H1171" s="41">
        <v>50000000</v>
      </c>
      <c r="I1171" s="41">
        <v>0</v>
      </c>
      <c r="J1171" s="41">
        <v>40000000</v>
      </c>
      <c r="K1171" s="41">
        <v>0</v>
      </c>
      <c r="L1171" s="41">
        <v>10000000</v>
      </c>
      <c r="M1171" s="41">
        <v>0</v>
      </c>
      <c r="N1171" s="41">
        <v>94587500.000000879</v>
      </c>
      <c r="O1171" s="41">
        <v>79166.666666666672</v>
      </c>
      <c r="P1171" s="41">
        <v>75000000</v>
      </c>
      <c r="Q1171" s="41">
        <v>0</v>
      </c>
      <c r="R1171" s="41">
        <v>50000000</v>
      </c>
      <c r="S1171" s="41">
        <v>0</v>
      </c>
      <c r="T1171" s="41">
        <v>35000000</v>
      </c>
      <c r="U1171" s="41">
        <v>0</v>
      </c>
      <c r="V1171" s="41">
        <v>474587500.00000089</v>
      </c>
      <c r="W1171" s="41">
        <v>79166.666666666672</v>
      </c>
      <c r="X1171" s="38">
        <f t="shared" si="102"/>
        <v>0.94917500000000177</v>
      </c>
      <c r="Y1171" s="39">
        <f t="shared" si="103"/>
        <v>1.5833333333333335E-4</v>
      </c>
      <c r="Z1171" s="39">
        <f t="shared" si="107"/>
        <v>1.6683936003933868E-4</v>
      </c>
      <c r="AA1171" s="41">
        <f t="shared" si="104"/>
        <v>25412499.999999106</v>
      </c>
      <c r="AB1171" s="39">
        <f t="shared" si="105"/>
        <v>3.1152647975078978E-3</v>
      </c>
      <c r="AC1171" s="38">
        <f t="shared" si="106"/>
        <v>0.18769355898270049</v>
      </c>
      <c r="AD1171" s="3"/>
    </row>
    <row r="1172" spans="1:30" x14ac:dyDescent="0.25">
      <c r="A1172" s="37">
        <v>46808</v>
      </c>
      <c r="B1172" s="41">
        <v>20000000</v>
      </c>
      <c r="C1172" s="41">
        <v>0</v>
      </c>
      <c r="D1172" s="41">
        <v>50000000</v>
      </c>
      <c r="E1172" s="41">
        <v>0</v>
      </c>
      <c r="F1172" s="41">
        <v>50000000</v>
      </c>
      <c r="G1172" s="41">
        <v>0</v>
      </c>
      <c r="H1172" s="41">
        <v>50000000</v>
      </c>
      <c r="I1172" s="41">
        <v>0</v>
      </c>
      <c r="J1172" s="41">
        <v>40000000</v>
      </c>
      <c r="K1172" s="41">
        <v>0</v>
      </c>
      <c r="L1172" s="41">
        <v>10000000</v>
      </c>
      <c r="M1172" s="41">
        <v>0</v>
      </c>
      <c r="N1172" s="41">
        <v>94666666.666667551</v>
      </c>
      <c r="O1172" s="41">
        <v>79166.666666666672</v>
      </c>
      <c r="P1172" s="41">
        <v>75000000</v>
      </c>
      <c r="Q1172" s="41">
        <v>0</v>
      </c>
      <c r="R1172" s="41">
        <v>50000000</v>
      </c>
      <c r="S1172" s="41">
        <v>0</v>
      </c>
      <c r="T1172" s="41">
        <v>35000000</v>
      </c>
      <c r="U1172" s="41">
        <v>0</v>
      </c>
      <c r="V1172" s="41">
        <v>474666666.66666758</v>
      </c>
      <c r="W1172" s="41">
        <v>79166.666666666672</v>
      </c>
      <c r="X1172" s="38">
        <f t="shared" si="102"/>
        <v>0.94933333333333514</v>
      </c>
      <c r="Y1172" s="39">
        <f t="shared" si="103"/>
        <v>1.5833333333333335E-4</v>
      </c>
      <c r="Z1172" s="39">
        <f t="shared" si="107"/>
        <v>1.6681152931054131E-4</v>
      </c>
      <c r="AA1172" s="41">
        <f t="shared" si="104"/>
        <v>25333333.333332419</v>
      </c>
      <c r="AB1172" s="39">
        <f t="shared" si="105"/>
        <v>3.1250000000001129E-3</v>
      </c>
      <c r="AC1172" s="38">
        <f t="shared" si="106"/>
        <v>0.18765638031693035</v>
      </c>
      <c r="AD1172" s="3"/>
    </row>
    <row r="1173" spans="1:30" x14ac:dyDescent="0.25">
      <c r="A1173" s="37">
        <v>46809</v>
      </c>
      <c r="B1173" s="41">
        <v>20000000</v>
      </c>
      <c r="C1173" s="41">
        <v>0</v>
      </c>
      <c r="D1173" s="41">
        <v>50000000</v>
      </c>
      <c r="E1173" s="41">
        <v>0</v>
      </c>
      <c r="F1173" s="41">
        <v>50000000</v>
      </c>
      <c r="G1173" s="41">
        <v>0</v>
      </c>
      <c r="H1173" s="41">
        <v>50000000</v>
      </c>
      <c r="I1173" s="41">
        <v>0</v>
      </c>
      <c r="J1173" s="41">
        <v>40000000</v>
      </c>
      <c r="K1173" s="41">
        <v>0</v>
      </c>
      <c r="L1173" s="41">
        <v>10000000</v>
      </c>
      <c r="M1173" s="41">
        <v>0</v>
      </c>
      <c r="N1173" s="41">
        <v>94745833.333334222</v>
      </c>
      <c r="O1173" s="41">
        <v>79166.666666666672</v>
      </c>
      <c r="P1173" s="41">
        <v>75000000</v>
      </c>
      <c r="Q1173" s="41">
        <v>0</v>
      </c>
      <c r="R1173" s="41">
        <v>50000000</v>
      </c>
      <c r="S1173" s="41">
        <v>0</v>
      </c>
      <c r="T1173" s="41">
        <v>35000000</v>
      </c>
      <c r="U1173" s="41">
        <v>0</v>
      </c>
      <c r="V1173" s="41">
        <v>474745833.33333421</v>
      </c>
      <c r="W1173" s="41">
        <v>79166.666666666672</v>
      </c>
      <c r="X1173" s="38">
        <f t="shared" si="102"/>
        <v>0.9494916666666684</v>
      </c>
      <c r="Y1173" s="39">
        <f t="shared" si="103"/>
        <v>1.5833333333333335E-4</v>
      </c>
      <c r="Z1173" s="39">
        <f t="shared" si="107"/>
        <v>1.6678370786516822E-4</v>
      </c>
      <c r="AA1173" s="41">
        <f t="shared" si="104"/>
        <v>25254166.666665792</v>
      </c>
      <c r="AB1173" s="39">
        <f t="shared" si="105"/>
        <v>3.1347962382446228E-3</v>
      </c>
      <c r="AC1173" s="38">
        <f t="shared" si="106"/>
        <v>0.18761921637707252</v>
      </c>
      <c r="AD1173" s="3"/>
    </row>
    <row r="1174" spans="1:30" x14ac:dyDescent="0.25">
      <c r="A1174" s="37">
        <v>46810</v>
      </c>
      <c r="B1174" s="41">
        <v>20000000</v>
      </c>
      <c r="C1174" s="41">
        <v>0</v>
      </c>
      <c r="D1174" s="41">
        <v>50000000</v>
      </c>
      <c r="E1174" s="41">
        <v>0</v>
      </c>
      <c r="F1174" s="41">
        <v>50000000</v>
      </c>
      <c r="G1174" s="41">
        <v>0</v>
      </c>
      <c r="H1174" s="41">
        <v>50000000</v>
      </c>
      <c r="I1174" s="41">
        <v>0</v>
      </c>
      <c r="J1174" s="41">
        <v>40000000</v>
      </c>
      <c r="K1174" s="41">
        <v>0</v>
      </c>
      <c r="L1174" s="41">
        <v>10000000</v>
      </c>
      <c r="M1174" s="41">
        <v>0</v>
      </c>
      <c r="N1174" s="41">
        <v>94825000.000000894</v>
      </c>
      <c r="O1174" s="41">
        <v>79166.666666666672</v>
      </c>
      <c r="P1174" s="41">
        <v>75000000</v>
      </c>
      <c r="Q1174" s="41">
        <v>0</v>
      </c>
      <c r="R1174" s="41">
        <v>50000000</v>
      </c>
      <c r="S1174" s="41">
        <v>0</v>
      </c>
      <c r="T1174" s="41">
        <v>35000000</v>
      </c>
      <c r="U1174" s="41">
        <v>0</v>
      </c>
      <c r="V1174" s="41">
        <v>474825000.00000089</v>
      </c>
      <c r="W1174" s="41">
        <v>79166.666666666672</v>
      </c>
      <c r="X1174" s="38">
        <f t="shared" si="102"/>
        <v>0.94965000000000177</v>
      </c>
      <c r="Y1174" s="39">
        <f t="shared" si="103"/>
        <v>1.5833333333333335E-4</v>
      </c>
      <c r="Z1174" s="39">
        <f t="shared" si="107"/>
        <v>1.6675589569857524E-4</v>
      </c>
      <c r="AA1174" s="41">
        <f t="shared" si="104"/>
        <v>25174999.999999106</v>
      </c>
      <c r="AB1174" s="39">
        <f t="shared" si="105"/>
        <v>3.1446540880504265E-3</v>
      </c>
      <c r="AC1174" s="38">
        <f t="shared" si="106"/>
        <v>0.18758206715437961</v>
      </c>
      <c r="AD1174" s="3"/>
    </row>
    <row r="1175" spans="1:30" x14ac:dyDescent="0.25">
      <c r="A1175" s="37">
        <v>46811</v>
      </c>
      <c r="B1175" s="41">
        <v>20000000</v>
      </c>
      <c r="C1175" s="41">
        <v>0</v>
      </c>
      <c r="D1175" s="41">
        <v>50000000</v>
      </c>
      <c r="E1175" s="41">
        <v>0</v>
      </c>
      <c r="F1175" s="41">
        <v>50000000</v>
      </c>
      <c r="G1175" s="41">
        <v>0</v>
      </c>
      <c r="H1175" s="41">
        <v>50000000</v>
      </c>
      <c r="I1175" s="41">
        <v>0</v>
      </c>
      <c r="J1175" s="41">
        <v>40000000</v>
      </c>
      <c r="K1175" s="41">
        <v>0</v>
      </c>
      <c r="L1175" s="41">
        <v>10000000</v>
      </c>
      <c r="M1175" s="41">
        <v>0</v>
      </c>
      <c r="N1175" s="41">
        <v>94904166.666667566</v>
      </c>
      <c r="O1175" s="41">
        <v>79166.666666666672</v>
      </c>
      <c r="P1175" s="41">
        <v>75000000</v>
      </c>
      <c r="Q1175" s="41">
        <v>0</v>
      </c>
      <c r="R1175" s="41">
        <v>50000000</v>
      </c>
      <c r="S1175" s="41">
        <v>0</v>
      </c>
      <c r="T1175" s="41">
        <v>35000000</v>
      </c>
      <c r="U1175" s="41">
        <v>0</v>
      </c>
      <c r="V1175" s="41">
        <v>474904166.66666758</v>
      </c>
      <c r="W1175" s="41">
        <v>79166.666666666672</v>
      </c>
      <c r="X1175" s="38">
        <f t="shared" ref="X1175:X1238" si="108">V1175/$B$6</f>
        <v>0.94980833333333514</v>
      </c>
      <c r="Y1175" s="39">
        <f t="shared" ref="Y1175:Y1238" si="109">W1175/$B$6</f>
        <v>1.5833333333333335E-4</v>
      </c>
      <c r="Z1175" s="39">
        <f t="shared" si="107"/>
        <v>1.6672809280612126E-4</v>
      </c>
      <c r="AA1175" s="41">
        <f t="shared" ref="AA1175:AA1238" si="110">$B$6-V1175</f>
        <v>25095833.333332419</v>
      </c>
      <c r="AB1175" s="39">
        <f t="shared" ref="AB1175:AB1238" si="111">W1175/AA1175</f>
        <v>3.1545741324922288E-3</v>
      </c>
      <c r="AC1175" s="38">
        <f t="shared" ref="AC1175:AC1238" si="112" xml:space="preserve"> P1175/(V1175-P1175)</f>
        <v>0.18754493264011127</v>
      </c>
      <c r="AD1175" s="3"/>
    </row>
    <row r="1176" spans="1:30" x14ac:dyDescent="0.25">
      <c r="A1176" s="37">
        <v>46812</v>
      </c>
      <c r="B1176" s="41">
        <v>20000000</v>
      </c>
      <c r="C1176" s="41">
        <v>0</v>
      </c>
      <c r="D1176" s="41">
        <v>50000000</v>
      </c>
      <c r="E1176" s="41">
        <v>0</v>
      </c>
      <c r="F1176" s="41">
        <v>50000000</v>
      </c>
      <c r="G1176" s="41">
        <v>0</v>
      </c>
      <c r="H1176" s="41">
        <v>50000000</v>
      </c>
      <c r="I1176" s="41">
        <v>0</v>
      </c>
      <c r="J1176" s="41">
        <v>40000000</v>
      </c>
      <c r="K1176" s="41">
        <v>0</v>
      </c>
      <c r="L1176" s="41">
        <v>10000000</v>
      </c>
      <c r="M1176" s="41">
        <v>0</v>
      </c>
      <c r="N1176" s="41">
        <v>94983333.333334237</v>
      </c>
      <c r="O1176" s="41">
        <v>79166.666666666672</v>
      </c>
      <c r="P1176" s="41">
        <v>75000000</v>
      </c>
      <c r="Q1176" s="41">
        <v>0</v>
      </c>
      <c r="R1176" s="41">
        <v>50000000</v>
      </c>
      <c r="S1176" s="41">
        <v>0</v>
      </c>
      <c r="T1176" s="41">
        <v>35000000</v>
      </c>
      <c r="U1176" s="41">
        <v>0</v>
      </c>
      <c r="V1176" s="41">
        <v>474983333.33333421</v>
      </c>
      <c r="W1176" s="41">
        <v>79166.666666666672</v>
      </c>
      <c r="X1176" s="38">
        <f t="shared" si="108"/>
        <v>0.9499666666666684</v>
      </c>
      <c r="Y1176" s="39">
        <f t="shared" si="109"/>
        <v>1.5833333333333335E-4</v>
      </c>
      <c r="Z1176" s="39">
        <f t="shared" ref="Z1176:Z1239" si="113">W1176/V1175</f>
        <v>1.6670029918316822E-4</v>
      </c>
      <c r="AA1176" s="41">
        <f t="shared" si="110"/>
        <v>25016666.666665792</v>
      </c>
      <c r="AB1176" s="39">
        <f t="shared" si="111"/>
        <v>3.1645569620254274E-3</v>
      </c>
      <c r="AC1176" s="38">
        <f t="shared" si="112"/>
        <v>0.187507812825534</v>
      </c>
      <c r="AD1176" s="3"/>
    </row>
    <row r="1177" spans="1:30" x14ac:dyDescent="0.25">
      <c r="A1177" s="37">
        <v>46813</v>
      </c>
      <c r="B1177" s="41">
        <v>20000000</v>
      </c>
      <c r="C1177" s="41">
        <v>0</v>
      </c>
      <c r="D1177" s="41">
        <v>50000000</v>
      </c>
      <c r="E1177" s="41">
        <v>0</v>
      </c>
      <c r="F1177" s="41">
        <v>50000000</v>
      </c>
      <c r="G1177" s="41">
        <v>0</v>
      </c>
      <c r="H1177" s="41">
        <v>50000000</v>
      </c>
      <c r="I1177" s="41">
        <v>0</v>
      </c>
      <c r="J1177" s="41">
        <v>40000000</v>
      </c>
      <c r="K1177" s="41">
        <v>0</v>
      </c>
      <c r="L1177" s="41">
        <v>10000000</v>
      </c>
      <c r="M1177" s="41">
        <v>0</v>
      </c>
      <c r="N1177" s="41">
        <v>95062500.000000909</v>
      </c>
      <c r="O1177" s="41">
        <v>79166.666666666672</v>
      </c>
      <c r="P1177" s="41">
        <v>75000000</v>
      </c>
      <c r="Q1177" s="41">
        <v>0</v>
      </c>
      <c r="R1177" s="41">
        <v>50000000</v>
      </c>
      <c r="S1177" s="41">
        <v>0</v>
      </c>
      <c r="T1177" s="41">
        <v>35000000</v>
      </c>
      <c r="U1177" s="41">
        <v>0</v>
      </c>
      <c r="V1177" s="41">
        <v>475062500.00000089</v>
      </c>
      <c r="W1177" s="41">
        <v>79166.666666666672</v>
      </c>
      <c r="X1177" s="38">
        <f t="shared" si="108"/>
        <v>0.95012500000000177</v>
      </c>
      <c r="Y1177" s="39">
        <f t="shared" si="109"/>
        <v>1.5833333333333335E-4</v>
      </c>
      <c r="Z1177" s="39">
        <f t="shared" si="113"/>
        <v>1.6667251482508128E-4</v>
      </c>
      <c r="AA1177" s="41">
        <f t="shared" si="110"/>
        <v>24937499.999999106</v>
      </c>
      <c r="AB1177" s="39">
        <f t="shared" si="111"/>
        <v>3.1746031746032887E-3</v>
      </c>
      <c r="AC1177" s="38">
        <f t="shared" si="112"/>
        <v>0.18747070770192115</v>
      </c>
      <c r="AD1177" s="3"/>
    </row>
    <row r="1178" spans="1:30" x14ac:dyDescent="0.25">
      <c r="A1178" s="37">
        <v>46814</v>
      </c>
      <c r="B1178" s="41">
        <v>20000000</v>
      </c>
      <c r="C1178" s="41">
        <v>0</v>
      </c>
      <c r="D1178" s="41">
        <v>50000000</v>
      </c>
      <c r="E1178" s="41">
        <v>0</v>
      </c>
      <c r="F1178" s="41">
        <v>50000000</v>
      </c>
      <c r="G1178" s="41">
        <v>0</v>
      </c>
      <c r="H1178" s="41">
        <v>50000000</v>
      </c>
      <c r="I1178" s="41">
        <v>0</v>
      </c>
      <c r="J1178" s="41">
        <v>40000000</v>
      </c>
      <c r="K1178" s="41">
        <v>0</v>
      </c>
      <c r="L1178" s="41">
        <v>10000000</v>
      </c>
      <c r="M1178" s="41">
        <v>0</v>
      </c>
      <c r="N1178" s="41">
        <v>95141666.666667581</v>
      </c>
      <c r="O1178" s="41">
        <v>79166.666666666672</v>
      </c>
      <c r="P1178" s="41">
        <v>75000000</v>
      </c>
      <c r="Q1178" s="41">
        <v>0</v>
      </c>
      <c r="R1178" s="41">
        <v>50000000</v>
      </c>
      <c r="S1178" s="41">
        <v>0</v>
      </c>
      <c r="T1178" s="41">
        <v>35000000</v>
      </c>
      <c r="U1178" s="41">
        <v>0</v>
      </c>
      <c r="V1178" s="41">
        <v>475141666.66666758</v>
      </c>
      <c r="W1178" s="41">
        <v>79166.666666666672</v>
      </c>
      <c r="X1178" s="38">
        <f t="shared" si="108"/>
        <v>0.95028333333333515</v>
      </c>
      <c r="Y1178" s="39">
        <f t="shared" si="109"/>
        <v>1.5833333333333335E-4</v>
      </c>
      <c r="Z1178" s="39">
        <f t="shared" si="113"/>
        <v>1.6664473972722858E-4</v>
      </c>
      <c r="AA1178" s="41">
        <f t="shared" si="110"/>
        <v>24858333.333332419</v>
      </c>
      <c r="AB1178" s="39">
        <f t="shared" si="111"/>
        <v>3.1847133757962956E-3</v>
      </c>
      <c r="AC1178" s="38">
        <f t="shared" si="112"/>
        <v>0.18743361726055313</v>
      </c>
      <c r="AD1178" s="3"/>
    </row>
    <row r="1179" spans="1:30" x14ac:dyDescent="0.25">
      <c r="A1179" s="37">
        <v>46815</v>
      </c>
      <c r="B1179" s="41">
        <v>20000000</v>
      </c>
      <c r="C1179" s="41">
        <v>0</v>
      </c>
      <c r="D1179" s="41">
        <v>50000000</v>
      </c>
      <c r="E1179" s="41">
        <v>0</v>
      </c>
      <c r="F1179" s="41">
        <v>50000000</v>
      </c>
      <c r="G1179" s="41">
        <v>0</v>
      </c>
      <c r="H1179" s="41">
        <v>50000000</v>
      </c>
      <c r="I1179" s="41">
        <v>0</v>
      </c>
      <c r="J1179" s="41">
        <v>40000000</v>
      </c>
      <c r="K1179" s="41">
        <v>0</v>
      </c>
      <c r="L1179" s="41">
        <v>10000000</v>
      </c>
      <c r="M1179" s="41">
        <v>0</v>
      </c>
      <c r="N1179" s="41">
        <v>95220833.333334252</v>
      </c>
      <c r="O1179" s="41">
        <v>79166.666666666672</v>
      </c>
      <c r="P1179" s="41">
        <v>75000000</v>
      </c>
      <c r="Q1179" s="41">
        <v>0</v>
      </c>
      <c r="R1179" s="41">
        <v>50000000</v>
      </c>
      <c r="S1179" s="41">
        <v>0</v>
      </c>
      <c r="T1179" s="41">
        <v>35000000</v>
      </c>
      <c r="U1179" s="41">
        <v>0</v>
      </c>
      <c r="V1179" s="41">
        <v>475220833.33333433</v>
      </c>
      <c r="W1179" s="41">
        <v>79166.666666666672</v>
      </c>
      <c r="X1179" s="38">
        <f t="shared" si="108"/>
        <v>0.95044166666666863</v>
      </c>
      <c r="Y1179" s="39">
        <f t="shared" si="109"/>
        <v>1.5833333333333335E-4</v>
      </c>
      <c r="Z1179" s="39">
        <f t="shared" si="113"/>
        <v>1.6661697388498136E-4</v>
      </c>
      <c r="AA1179" s="41">
        <f t="shared" si="110"/>
        <v>24779166.666665673</v>
      </c>
      <c r="AB1179" s="39">
        <f t="shared" si="111"/>
        <v>3.1948881789138663E-3</v>
      </c>
      <c r="AC1179" s="38">
        <f t="shared" si="112"/>
        <v>0.18739654149271709</v>
      </c>
      <c r="AD1179" s="3"/>
    </row>
    <row r="1180" spans="1:30" x14ac:dyDescent="0.25">
      <c r="A1180" s="37">
        <v>46816</v>
      </c>
      <c r="B1180" s="41">
        <v>20000000</v>
      </c>
      <c r="C1180" s="41">
        <v>0</v>
      </c>
      <c r="D1180" s="41">
        <v>50000000</v>
      </c>
      <c r="E1180" s="41">
        <v>0</v>
      </c>
      <c r="F1180" s="41">
        <v>50000000</v>
      </c>
      <c r="G1180" s="41">
        <v>0</v>
      </c>
      <c r="H1180" s="41">
        <v>50000000</v>
      </c>
      <c r="I1180" s="41">
        <v>0</v>
      </c>
      <c r="J1180" s="41">
        <v>40000000</v>
      </c>
      <c r="K1180" s="41">
        <v>0</v>
      </c>
      <c r="L1180" s="41">
        <v>10000000</v>
      </c>
      <c r="M1180" s="41">
        <v>0</v>
      </c>
      <c r="N1180" s="41">
        <v>95300000.000000924</v>
      </c>
      <c r="O1180" s="41">
        <v>79166.666666666672</v>
      </c>
      <c r="P1180" s="41">
        <v>75000000</v>
      </c>
      <c r="Q1180" s="41">
        <v>0</v>
      </c>
      <c r="R1180" s="41">
        <v>50000000</v>
      </c>
      <c r="S1180" s="41">
        <v>0</v>
      </c>
      <c r="T1180" s="41">
        <v>35000000</v>
      </c>
      <c r="U1180" s="41">
        <v>0</v>
      </c>
      <c r="V1180" s="41">
        <v>475300000.00000101</v>
      </c>
      <c r="W1180" s="41">
        <v>79166.666666666672</v>
      </c>
      <c r="X1180" s="38">
        <f t="shared" si="108"/>
        <v>0.950600000000002</v>
      </c>
      <c r="Y1180" s="39">
        <f t="shared" si="109"/>
        <v>1.5833333333333335E-4</v>
      </c>
      <c r="Z1180" s="39">
        <f t="shared" si="113"/>
        <v>1.66589217293714E-4</v>
      </c>
      <c r="AA1180" s="41">
        <f t="shared" si="110"/>
        <v>24699999.999998987</v>
      </c>
      <c r="AB1180" s="39">
        <f t="shared" si="111"/>
        <v>3.2051282051283369E-3</v>
      </c>
      <c r="AC1180" s="38">
        <f t="shared" si="112"/>
        <v>0.18735948038970723</v>
      </c>
      <c r="AD1180" s="3"/>
    </row>
    <row r="1181" spans="1:30" x14ac:dyDescent="0.25">
      <c r="A1181" s="37">
        <v>46817</v>
      </c>
      <c r="B1181" s="41">
        <v>20000000</v>
      </c>
      <c r="C1181" s="41">
        <v>0</v>
      </c>
      <c r="D1181" s="41">
        <v>50000000</v>
      </c>
      <c r="E1181" s="41">
        <v>0</v>
      </c>
      <c r="F1181" s="41">
        <v>50000000</v>
      </c>
      <c r="G1181" s="41">
        <v>0</v>
      </c>
      <c r="H1181" s="41">
        <v>50000000</v>
      </c>
      <c r="I1181" s="41">
        <v>0</v>
      </c>
      <c r="J1181" s="41">
        <v>40000000</v>
      </c>
      <c r="K1181" s="41">
        <v>0</v>
      </c>
      <c r="L1181" s="41">
        <v>10000000</v>
      </c>
      <c r="M1181" s="41">
        <v>0</v>
      </c>
      <c r="N1181" s="41">
        <v>95379166.666667596</v>
      </c>
      <c r="O1181" s="41">
        <v>79166.666666666672</v>
      </c>
      <c r="P1181" s="41">
        <v>75000000</v>
      </c>
      <c r="Q1181" s="41">
        <v>0</v>
      </c>
      <c r="R1181" s="41">
        <v>50000000</v>
      </c>
      <c r="S1181" s="41">
        <v>0</v>
      </c>
      <c r="T1181" s="41">
        <v>35000000</v>
      </c>
      <c r="U1181" s="41">
        <v>0</v>
      </c>
      <c r="V1181" s="41">
        <v>475379166.66666758</v>
      </c>
      <c r="W1181" s="41">
        <v>79166.666666666672</v>
      </c>
      <c r="X1181" s="38">
        <f t="shared" si="108"/>
        <v>0.95075833333333515</v>
      </c>
      <c r="Y1181" s="39">
        <f t="shared" si="109"/>
        <v>1.5833333333333335E-4</v>
      </c>
      <c r="Z1181" s="39">
        <f t="shared" si="113"/>
        <v>1.6656146994880393E-4</v>
      </c>
      <c r="AA1181" s="41">
        <f t="shared" si="110"/>
        <v>24620833.333332419</v>
      </c>
      <c r="AB1181" s="39">
        <f t="shared" si="111"/>
        <v>3.2154340836014058E-3</v>
      </c>
      <c r="AC1181" s="38">
        <f t="shared" si="112"/>
        <v>0.18732243394282461</v>
      </c>
      <c r="AD1181" s="3"/>
    </row>
    <row r="1182" spans="1:30" x14ac:dyDescent="0.25">
      <c r="A1182" s="37">
        <v>46818</v>
      </c>
      <c r="B1182" s="41">
        <v>20000000</v>
      </c>
      <c r="C1182" s="41">
        <v>0</v>
      </c>
      <c r="D1182" s="41">
        <v>50000000</v>
      </c>
      <c r="E1182" s="41">
        <v>0</v>
      </c>
      <c r="F1182" s="41">
        <v>50000000</v>
      </c>
      <c r="G1182" s="41">
        <v>0</v>
      </c>
      <c r="H1182" s="41">
        <v>50000000</v>
      </c>
      <c r="I1182" s="41">
        <v>0</v>
      </c>
      <c r="J1182" s="41">
        <v>40000000</v>
      </c>
      <c r="K1182" s="41">
        <v>0</v>
      </c>
      <c r="L1182" s="41">
        <v>10000000</v>
      </c>
      <c r="M1182" s="41">
        <v>0</v>
      </c>
      <c r="N1182" s="41">
        <v>95458333.333334267</v>
      </c>
      <c r="O1182" s="41">
        <v>79166.666666666672</v>
      </c>
      <c r="P1182" s="41">
        <v>75000000</v>
      </c>
      <c r="Q1182" s="41">
        <v>0</v>
      </c>
      <c r="R1182" s="41">
        <v>50000000</v>
      </c>
      <c r="S1182" s="41">
        <v>0</v>
      </c>
      <c r="T1182" s="41">
        <v>35000000</v>
      </c>
      <c r="U1182" s="41">
        <v>0</v>
      </c>
      <c r="V1182" s="41">
        <v>475458333.33333433</v>
      </c>
      <c r="W1182" s="41">
        <v>79166.666666666672</v>
      </c>
      <c r="X1182" s="38">
        <f t="shared" si="108"/>
        <v>0.95091666666666863</v>
      </c>
      <c r="Y1182" s="39">
        <f t="shared" si="109"/>
        <v>1.5833333333333335E-4</v>
      </c>
      <c r="Z1182" s="39">
        <f t="shared" si="113"/>
        <v>1.6653373184563169E-4</v>
      </c>
      <c r="AA1182" s="41">
        <f t="shared" si="110"/>
        <v>24541666.666665673</v>
      </c>
      <c r="AB1182" s="39">
        <f t="shared" si="111"/>
        <v>3.2258064516130342E-3</v>
      </c>
      <c r="AC1182" s="38">
        <f t="shared" si="112"/>
        <v>0.18728540214337691</v>
      </c>
      <c r="AD1182" s="3"/>
    </row>
    <row r="1183" spans="1:30" x14ac:dyDescent="0.25">
      <c r="A1183" s="37">
        <v>46819</v>
      </c>
      <c r="B1183" s="41">
        <v>20000000</v>
      </c>
      <c r="C1183" s="41">
        <v>0</v>
      </c>
      <c r="D1183" s="41">
        <v>50000000</v>
      </c>
      <c r="E1183" s="41">
        <v>0</v>
      </c>
      <c r="F1183" s="41">
        <v>50000000</v>
      </c>
      <c r="G1183" s="41">
        <v>0</v>
      </c>
      <c r="H1183" s="41">
        <v>50000000</v>
      </c>
      <c r="I1183" s="41">
        <v>0</v>
      </c>
      <c r="J1183" s="41">
        <v>40000000</v>
      </c>
      <c r="K1183" s="41">
        <v>0</v>
      </c>
      <c r="L1183" s="41">
        <v>10000000</v>
      </c>
      <c r="M1183" s="41">
        <v>0</v>
      </c>
      <c r="N1183" s="41">
        <v>95537500.000000939</v>
      </c>
      <c r="O1183" s="41">
        <v>79166.666666666672</v>
      </c>
      <c r="P1183" s="41">
        <v>75000000</v>
      </c>
      <c r="Q1183" s="41">
        <v>0</v>
      </c>
      <c r="R1183" s="41">
        <v>50000000</v>
      </c>
      <c r="S1183" s="41">
        <v>0</v>
      </c>
      <c r="T1183" s="41">
        <v>35000000</v>
      </c>
      <c r="U1183" s="41">
        <v>0</v>
      </c>
      <c r="V1183" s="41">
        <v>475537500.00000101</v>
      </c>
      <c r="W1183" s="41">
        <v>79166.666666666672</v>
      </c>
      <c r="X1183" s="38">
        <f t="shared" si="108"/>
        <v>0.951075000000002</v>
      </c>
      <c r="Y1183" s="39">
        <f t="shared" si="109"/>
        <v>1.5833333333333335E-4</v>
      </c>
      <c r="Z1183" s="39">
        <f t="shared" si="113"/>
        <v>1.6650600297958077E-4</v>
      </c>
      <c r="AA1183" s="41">
        <f t="shared" si="110"/>
        <v>24462499.999998987</v>
      </c>
      <c r="AB1183" s="39">
        <f t="shared" si="111"/>
        <v>3.2362459546926908E-3</v>
      </c>
      <c r="AC1183" s="38">
        <f t="shared" si="112"/>
        <v>0.18724838498267904</v>
      </c>
      <c r="AD1183" s="3"/>
    </row>
    <row r="1184" spans="1:30" x14ac:dyDescent="0.25">
      <c r="A1184" s="37">
        <v>46820</v>
      </c>
      <c r="B1184" s="41">
        <v>20000000</v>
      </c>
      <c r="C1184" s="41">
        <v>0</v>
      </c>
      <c r="D1184" s="41">
        <v>50000000</v>
      </c>
      <c r="E1184" s="41">
        <v>0</v>
      </c>
      <c r="F1184" s="41">
        <v>50000000</v>
      </c>
      <c r="G1184" s="41">
        <v>0</v>
      </c>
      <c r="H1184" s="41">
        <v>50000000</v>
      </c>
      <c r="I1184" s="41">
        <v>0</v>
      </c>
      <c r="J1184" s="41">
        <v>40000000</v>
      </c>
      <c r="K1184" s="41">
        <v>0</v>
      </c>
      <c r="L1184" s="41">
        <v>10000000</v>
      </c>
      <c r="M1184" s="41">
        <v>0</v>
      </c>
      <c r="N1184" s="41">
        <v>95616666.66666761</v>
      </c>
      <c r="O1184" s="41">
        <v>79166.666666666672</v>
      </c>
      <c r="P1184" s="41">
        <v>75000000</v>
      </c>
      <c r="Q1184" s="41">
        <v>0</v>
      </c>
      <c r="R1184" s="41">
        <v>50000000</v>
      </c>
      <c r="S1184" s="41">
        <v>0</v>
      </c>
      <c r="T1184" s="41">
        <v>35000000</v>
      </c>
      <c r="U1184" s="41">
        <v>0</v>
      </c>
      <c r="V1184" s="41">
        <v>475616666.66666758</v>
      </c>
      <c r="W1184" s="41">
        <v>79166.666666666672</v>
      </c>
      <c r="X1184" s="38">
        <f t="shared" si="108"/>
        <v>0.95123333333333515</v>
      </c>
      <c r="Y1184" s="39">
        <f t="shared" si="109"/>
        <v>1.5833333333333335E-4</v>
      </c>
      <c r="Z1184" s="39">
        <f t="shared" si="113"/>
        <v>1.6647828334603792E-4</v>
      </c>
      <c r="AA1184" s="41">
        <f t="shared" si="110"/>
        <v>24383333.333332419</v>
      </c>
      <c r="AB1184" s="39">
        <f t="shared" si="111"/>
        <v>3.2467532467533688E-3</v>
      </c>
      <c r="AC1184" s="38">
        <f t="shared" si="112"/>
        <v>0.18721138245205265</v>
      </c>
      <c r="AD1184" s="3"/>
    </row>
    <row r="1185" spans="1:30" x14ac:dyDescent="0.25">
      <c r="A1185" s="37">
        <v>46821</v>
      </c>
      <c r="B1185" s="41">
        <v>20000000</v>
      </c>
      <c r="C1185" s="41">
        <v>0</v>
      </c>
      <c r="D1185" s="41">
        <v>50000000</v>
      </c>
      <c r="E1185" s="41">
        <v>0</v>
      </c>
      <c r="F1185" s="41">
        <v>50000000</v>
      </c>
      <c r="G1185" s="41">
        <v>0</v>
      </c>
      <c r="H1185" s="41">
        <v>50000000</v>
      </c>
      <c r="I1185" s="41">
        <v>0</v>
      </c>
      <c r="J1185" s="41">
        <v>40000000</v>
      </c>
      <c r="K1185" s="41">
        <v>0</v>
      </c>
      <c r="L1185" s="41">
        <v>10000000</v>
      </c>
      <c r="M1185" s="41">
        <v>0</v>
      </c>
      <c r="N1185" s="41">
        <v>95695833.333334282</v>
      </c>
      <c r="O1185" s="41">
        <v>79166.666666666672</v>
      </c>
      <c r="P1185" s="41">
        <v>75000000</v>
      </c>
      <c r="Q1185" s="41">
        <v>0</v>
      </c>
      <c r="R1185" s="41">
        <v>50000000</v>
      </c>
      <c r="S1185" s="41">
        <v>0</v>
      </c>
      <c r="T1185" s="41">
        <v>35000000</v>
      </c>
      <c r="U1185" s="41">
        <v>0</v>
      </c>
      <c r="V1185" s="41">
        <v>475695833.33333433</v>
      </c>
      <c r="W1185" s="41">
        <v>79166.666666666672</v>
      </c>
      <c r="X1185" s="38">
        <f t="shared" si="108"/>
        <v>0.95139166666666863</v>
      </c>
      <c r="Y1185" s="39">
        <f t="shared" si="109"/>
        <v>1.5833333333333335E-4</v>
      </c>
      <c r="Z1185" s="39">
        <f t="shared" si="113"/>
        <v>1.6645057294039286E-4</v>
      </c>
      <c r="AA1185" s="41">
        <f t="shared" si="110"/>
        <v>24304166.666665673</v>
      </c>
      <c r="AB1185" s="39">
        <f t="shared" si="111"/>
        <v>3.2573289902281463E-3</v>
      </c>
      <c r="AC1185" s="38">
        <f t="shared" si="112"/>
        <v>0.18717439454282608</v>
      </c>
      <c r="AD1185" s="3"/>
    </row>
    <row r="1186" spans="1:30" x14ac:dyDescent="0.25">
      <c r="A1186" s="37">
        <v>46822</v>
      </c>
      <c r="B1186" s="41">
        <v>20000000</v>
      </c>
      <c r="C1186" s="41">
        <v>0</v>
      </c>
      <c r="D1186" s="41">
        <v>50000000</v>
      </c>
      <c r="E1186" s="41">
        <v>0</v>
      </c>
      <c r="F1186" s="41">
        <v>50000000</v>
      </c>
      <c r="G1186" s="41">
        <v>0</v>
      </c>
      <c r="H1186" s="41">
        <v>50000000</v>
      </c>
      <c r="I1186" s="41">
        <v>0</v>
      </c>
      <c r="J1186" s="41">
        <v>40000000</v>
      </c>
      <c r="K1186" s="41">
        <v>0</v>
      </c>
      <c r="L1186" s="41">
        <v>10000000</v>
      </c>
      <c r="M1186" s="41">
        <v>0</v>
      </c>
      <c r="N1186" s="41">
        <v>95775000.000000954</v>
      </c>
      <c r="O1186" s="41">
        <v>79166.666666666672</v>
      </c>
      <c r="P1186" s="41">
        <v>75000000</v>
      </c>
      <c r="Q1186" s="41">
        <v>0</v>
      </c>
      <c r="R1186" s="41">
        <v>50000000</v>
      </c>
      <c r="S1186" s="41">
        <v>0</v>
      </c>
      <c r="T1186" s="41">
        <v>35000000</v>
      </c>
      <c r="U1186" s="41">
        <v>0</v>
      </c>
      <c r="V1186" s="41">
        <v>475775000.00000101</v>
      </c>
      <c r="W1186" s="41">
        <v>79166.666666666672</v>
      </c>
      <c r="X1186" s="38">
        <f t="shared" si="108"/>
        <v>0.95155000000000201</v>
      </c>
      <c r="Y1186" s="39">
        <f t="shared" si="109"/>
        <v>1.5833333333333335E-4</v>
      </c>
      <c r="Z1186" s="39">
        <f t="shared" si="113"/>
        <v>1.6642287175803832E-4</v>
      </c>
      <c r="AA1186" s="41">
        <f t="shared" si="110"/>
        <v>24224999.999998987</v>
      </c>
      <c r="AB1186" s="39">
        <f t="shared" si="111"/>
        <v>3.267973856209287E-3</v>
      </c>
      <c r="AC1186" s="38">
        <f t="shared" si="112"/>
        <v>0.18713742124633476</v>
      </c>
      <c r="AD1186" s="3"/>
    </row>
    <row r="1187" spans="1:30" x14ac:dyDescent="0.25">
      <c r="A1187" s="37">
        <v>46823</v>
      </c>
      <c r="B1187" s="41">
        <v>20000000</v>
      </c>
      <c r="C1187" s="41">
        <v>0</v>
      </c>
      <c r="D1187" s="41">
        <v>50000000</v>
      </c>
      <c r="E1187" s="41">
        <v>0</v>
      </c>
      <c r="F1187" s="41">
        <v>50000000</v>
      </c>
      <c r="G1187" s="41">
        <v>0</v>
      </c>
      <c r="H1187" s="41">
        <v>50000000</v>
      </c>
      <c r="I1187" s="41">
        <v>0</v>
      </c>
      <c r="J1187" s="41">
        <v>40000000</v>
      </c>
      <c r="K1187" s="41">
        <v>0</v>
      </c>
      <c r="L1187" s="41">
        <v>10000000</v>
      </c>
      <c r="M1187" s="41">
        <v>0</v>
      </c>
      <c r="N1187" s="41">
        <v>95854166.666667625</v>
      </c>
      <c r="O1187" s="41">
        <v>79166.666666666672</v>
      </c>
      <c r="P1187" s="41">
        <v>75000000</v>
      </c>
      <c r="Q1187" s="41">
        <v>0</v>
      </c>
      <c r="R1187" s="41">
        <v>50000000</v>
      </c>
      <c r="S1187" s="41">
        <v>0</v>
      </c>
      <c r="T1187" s="41">
        <v>35000000</v>
      </c>
      <c r="U1187" s="41">
        <v>0</v>
      </c>
      <c r="V1187" s="41">
        <v>475854166.66666758</v>
      </c>
      <c r="W1187" s="41">
        <v>79166.666666666672</v>
      </c>
      <c r="X1187" s="38">
        <f t="shared" si="108"/>
        <v>0.95170833333333515</v>
      </c>
      <c r="Y1187" s="39">
        <f t="shared" si="109"/>
        <v>1.5833333333333335E-4</v>
      </c>
      <c r="Z1187" s="39">
        <f t="shared" si="113"/>
        <v>1.6639517979437024E-4</v>
      </c>
      <c r="AA1187" s="41">
        <f t="shared" si="110"/>
        <v>24145833.333332419</v>
      </c>
      <c r="AB1187" s="39">
        <f t="shared" si="111"/>
        <v>3.2786885245902884E-3</v>
      </c>
      <c r="AC1187" s="38">
        <f t="shared" si="112"/>
        <v>0.18710046255392088</v>
      </c>
      <c r="AD1187" s="3"/>
    </row>
    <row r="1188" spans="1:30" x14ac:dyDescent="0.25">
      <c r="A1188" s="37">
        <v>46824</v>
      </c>
      <c r="B1188" s="41">
        <v>20000000</v>
      </c>
      <c r="C1188" s="41">
        <v>0</v>
      </c>
      <c r="D1188" s="41">
        <v>50000000</v>
      </c>
      <c r="E1188" s="41">
        <v>0</v>
      </c>
      <c r="F1188" s="41">
        <v>50000000</v>
      </c>
      <c r="G1188" s="41">
        <v>0</v>
      </c>
      <c r="H1188" s="41">
        <v>50000000</v>
      </c>
      <c r="I1188" s="41">
        <v>0</v>
      </c>
      <c r="J1188" s="41">
        <v>40000000</v>
      </c>
      <c r="K1188" s="41">
        <v>0</v>
      </c>
      <c r="L1188" s="41">
        <v>10000000</v>
      </c>
      <c r="M1188" s="41">
        <v>0</v>
      </c>
      <c r="N1188" s="41">
        <v>95933333.333334297</v>
      </c>
      <c r="O1188" s="41">
        <v>79166.666666666672</v>
      </c>
      <c r="P1188" s="41">
        <v>75000000</v>
      </c>
      <c r="Q1188" s="41">
        <v>0</v>
      </c>
      <c r="R1188" s="41">
        <v>50000000</v>
      </c>
      <c r="S1188" s="41">
        <v>0</v>
      </c>
      <c r="T1188" s="41">
        <v>35000000</v>
      </c>
      <c r="U1188" s="41">
        <v>0</v>
      </c>
      <c r="V1188" s="41">
        <v>475933333.33333433</v>
      </c>
      <c r="W1188" s="41">
        <v>79166.666666666672</v>
      </c>
      <c r="X1188" s="38">
        <f t="shared" si="108"/>
        <v>0.95186666666666864</v>
      </c>
      <c r="Y1188" s="39">
        <f t="shared" si="109"/>
        <v>1.5833333333333335E-4</v>
      </c>
      <c r="Z1188" s="39">
        <f t="shared" si="113"/>
        <v>1.6636749704478757E-4</v>
      </c>
      <c r="AA1188" s="41">
        <f t="shared" si="110"/>
        <v>24066666.666665673</v>
      </c>
      <c r="AB1188" s="39">
        <f t="shared" si="111"/>
        <v>3.2894736842106623E-3</v>
      </c>
      <c r="AC1188" s="38">
        <f t="shared" si="112"/>
        <v>0.18706351845693336</v>
      </c>
      <c r="AD1188" s="3"/>
    </row>
    <row r="1189" spans="1:30" x14ac:dyDescent="0.25">
      <c r="A1189" s="37">
        <v>46825</v>
      </c>
      <c r="B1189" s="41">
        <v>20000000</v>
      </c>
      <c r="C1189" s="41">
        <v>0</v>
      </c>
      <c r="D1189" s="41">
        <v>50000000</v>
      </c>
      <c r="E1189" s="41">
        <v>0</v>
      </c>
      <c r="F1189" s="41">
        <v>50000000</v>
      </c>
      <c r="G1189" s="41">
        <v>0</v>
      </c>
      <c r="H1189" s="41">
        <v>50000000</v>
      </c>
      <c r="I1189" s="41">
        <v>0</v>
      </c>
      <c r="J1189" s="41">
        <v>40000000</v>
      </c>
      <c r="K1189" s="41">
        <v>0</v>
      </c>
      <c r="L1189" s="41">
        <v>10000000</v>
      </c>
      <c r="M1189" s="41">
        <v>0</v>
      </c>
      <c r="N1189" s="41">
        <v>96012500.000000969</v>
      </c>
      <c r="O1189" s="41">
        <v>79166.666666666672</v>
      </c>
      <c r="P1189" s="41">
        <v>75000000</v>
      </c>
      <c r="Q1189" s="41">
        <v>0</v>
      </c>
      <c r="R1189" s="41">
        <v>50000000</v>
      </c>
      <c r="S1189" s="41">
        <v>0</v>
      </c>
      <c r="T1189" s="41">
        <v>35000000</v>
      </c>
      <c r="U1189" s="41">
        <v>0</v>
      </c>
      <c r="V1189" s="41">
        <v>476012500.00000101</v>
      </c>
      <c r="W1189" s="41">
        <v>79166.666666666672</v>
      </c>
      <c r="X1189" s="38">
        <f t="shared" si="108"/>
        <v>0.95202500000000201</v>
      </c>
      <c r="Y1189" s="39">
        <f t="shared" si="109"/>
        <v>1.5833333333333335E-4</v>
      </c>
      <c r="Z1189" s="39">
        <f t="shared" si="113"/>
        <v>1.6633982350469219E-4</v>
      </c>
      <c r="AA1189" s="41">
        <f t="shared" si="110"/>
        <v>23987499.999998987</v>
      </c>
      <c r="AB1189" s="39">
        <f t="shared" si="111"/>
        <v>3.30033003300344E-3</v>
      </c>
      <c r="AC1189" s="38">
        <f t="shared" si="112"/>
        <v>0.18702658894672813</v>
      </c>
      <c r="AD1189" s="3"/>
    </row>
    <row r="1190" spans="1:30" x14ac:dyDescent="0.25">
      <c r="A1190" s="37">
        <v>46826</v>
      </c>
      <c r="B1190" s="41">
        <v>20000000</v>
      </c>
      <c r="C1190" s="41">
        <v>0</v>
      </c>
      <c r="D1190" s="41">
        <v>50000000</v>
      </c>
      <c r="E1190" s="41">
        <v>0</v>
      </c>
      <c r="F1190" s="41">
        <v>50000000</v>
      </c>
      <c r="G1190" s="41">
        <v>0</v>
      </c>
      <c r="H1190" s="41">
        <v>50000000</v>
      </c>
      <c r="I1190" s="41">
        <v>0</v>
      </c>
      <c r="J1190" s="41">
        <v>40000000</v>
      </c>
      <c r="K1190" s="41">
        <v>0</v>
      </c>
      <c r="L1190" s="41">
        <v>10000000</v>
      </c>
      <c r="M1190" s="41">
        <v>0</v>
      </c>
      <c r="N1190" s="41">
        <v>96091666.66666764</v>
      </c>
      <c r="O1190" s="41">
        <v>79166.666666666672</v>
      </c>
      <c r="P1190" s="41">
        <v>75000000</v>
      </c>
      <c r="Q1190" s="41">
        <v>0</v>
      </c>
      <c r="R1190" s="41">
        <v>50000000</v>
      </c>
      <c r="S1190" s="41">
        <v>0</v>
      </c>
      <c r="T1190" s="41">
        <v>35000000</v>
      </c>
      <c r="U1190" s="41">
        <v>0</v>
      </c>
      <c r="V1190" s="41">
        <v>476091666.66666758</v>
      </c>
      <c r="W1190" s="41">
        <v>79166.666666666672</v>
      </c>
      <c r="X1190" s="38">
        <f t="shared" si="108"/>
        <v>0.95218333333333516</v>
      </c>
      <c r="Y1190" s="39">
        <f t="shared" si="109"/>
        <v>1.5833333333333335E-4</v>
      </c>
      <c r="Z1190" s="39">
        <f t="shared" si="113"/>
        <v>1.6631215916948925E-4</v>
      </c>
      <c r="AA1190" s="41">
        <f t="shared" si="110"/>
        <v>23908333.333332419</v>
      </c>
      <c r="AB1190" s="39">
        <f t="shared" si="111"/>
        <v>3.311258278145822E-3</v>
      </c>
      <c r="AC1190" s="38">
        <f t="shared" si="112"/>
        <v>0.18698967401466787</v>
      </c>
      <c r="AD1190" s="3"/>
    </row>
    <row r="1191" spans="1:30" x14ac:dyDescent="0.25">
      <c r="A1191" s="37">
        <v>46827</v>
      </c>
      <c r="B1191" s="41">
        <v>20000000</v>
      </c>
      <c r="C1191" s="41">
        <v>0</v>
      </c>
      <c r="D1191" s="41">
        <v>50000000</v>
      </c>
      <c r="E1191" s="41">
        <v>0</v>
      </c>
      <c r="F1191" s="41">
        <v>50000000</v>
      </c>
      <c r="G1191" s="41">
        <v>0</v>
      </c>
      <c r="H1191" s="41">
        <v>50000000</v>
      </c>
      <c r="I1191" s="41">
        <v>0</v>
      </c>
      <c r="J1191" s="41">
        <v>40000000</v>
      </c>
      <c r="K1191" s="41">
        <v>0</v>
      </c>
      <c r="L1191" s="41">
        <v>10000000</v>
      </c>
      <c r="M1191" s="41">
        <v>0</v>
      </c>
      <c r="N1191" s="41">
        <v>96170833.333334312</v>
      </c>
      <c r="O1191" s="41">
        <v>79166.666666666672</v>
      </c>
      <c r="P1191" s="41">
        <v>75000000</v>
      </c>
      <c r="Q1191" s="41">
        <v>0</v>
      </c>
      <c r="R1191" s="41">
        <v>50000000</v>
      </c>
      <c r="S1191" s="41">
        <v>0</v>
      </c>
      <c r="T1191" s="41">
        <v>35000000</v>
      </c>
      <c r="U1191" s="41">
        <v>0</v>
      </c>
      <c r="V1191" s="41">
        <v>476170833.33333433</v>
      </c>
      <c r="W1191" s="41">
        <v>79166.666666666672</v>
      </c>
      <c r="X1191" s="38">
        <f t="shared" si="108"/>
        <v>0.95234166666666864</v>
      </c>
      <c r="Y1191" s="39">
        <f t="shared" si="109"/>
        <v>1.5833333333333335E-4</v>
      </c>
      <c r="Z1191" s="39">
        <f t="shared" si="113"/>
        <v>1.6628450403458688E-4</v>
      </c>
      <c r="AA1191" s="41">
        <f t="shared" si="110"/>
        <v>23829166.666665673</v>
      </c>
      <c r="AB1191" s="39">
        <f t="shared" si="111"/>
        <v>3.3222591362127634E-3</v>
      </c>
      <c r="AC1191" s="38">
        <f t="shared" si="112"/>
        <v>0.18695277365212198</v>
      </c>
      <c r="AD1191" s="3"/>
    </row>
    <row r="1192" spans="1:30" x14ac:dyDescent="0.25">
      <c r="A1192" s="37">
        <v>46828</v>
      </c>
      <c r="B1192" s="41">
        <v>20000000</v>
      </c>
      <c r="C1192" s="41">
        <v>0</v>
      </c>
      <c r="D1192" s="41">
        <v>50000000</v>
      </c>
      <c r="E1192" s="41">
        <v>0</v>
      </c>
      <c r="F1192" s="41">
        <v>50000000</v>
      </c>
      <c r="G1192" s="41">
        <v>0</v>
      </c>
      <c r="H1192" s="41">
        <v>50000000</v>
      </c>
      <c r="I1192" s="41">
        <v>0</v>
      </c>
      <c r="J1192" s="41">
        <v>40000000</v>
      </c>
      <c r="K1192" s="41">
        <v>0</v>
      </c>
      <c r="L1192" s="41">
        <v>10000000</v>
      </c>
      <c r="M1192" s="41">
        <v>0</v>
      </c>
      <c r="N1192" s="41">
        <v>96250000.000000983</v>
      </c>
      <c r="O1192" s="41">
        <v>79166.666666666672</v>
      </c>
      <c r="P1192" s="41">
        <v>75000000</v>
      </c>
      <c r="Q1192" s="41">
        <v>0</v>
      </c>
      <c r="R1192" s="41">
        <v>50000000</v>
      </c>
      <c r="S1192" s="41">
        <v>0</v>
      </c>
      <c r="T1192" s="41">
        <v>35000000</v>
      </c>
      <c r="U1192" s="41">
        <v>0</v>
      </c>
      <c r="V1192" s="41">
        <v>476250000.00000101</v>
      </c>
      <c r="W1192" s="41">
        <v>79166.666666666672</v>
      </c>
      <c r="X1192" s="38">
        <f t="shared" si="108"/>
        <v>0.95250000000000201</v>
      </c>
      <c r="Y1192" s="39">
        <f t="shared" si="109"/>
        <v>1.5833333333333335E-4</v>
      </c>
      <c r="Z1192" s="39">
        <f t="shared" si="113"/>
        <v>1.6625685809539611E-4</v>
      </c>
      <c r="AA1192" s="41">
        <f t="shared" si="110"/>
        <v>23749999.999998987</v>
      </c>
      <c r="AB1192" s="39">
        <f t="shared" si="111"/>
        <v>3.3333333333334758E-3</v>
      </c>
      <c r="AC1192" s="38">
        <f t="shared" si="112"/>
        <v>0.18691588785046681</v>
      </c>
      <c r="AD1192" s="3"/>
    </row>
    <row r="1193" spans="1:30" x14ac:dyDescent="0.25">
      <c r="A1193" s="37">
        <v>46829</v>
      </c>
      <c r="B1193" s="41">
        <v>20000000</v>
      </c>
      <c r="C1193" s="41">
        <v>0</v>
      </c>
      <c r="D1193" s="41">
        <v>50000000</v>
      </c>
      <c r="E1193" s="41">
        <v>0</v>
      </c>
      <c r="F1193" s="41">
        <v>50000000</v>
      </c>
      <c r="G1193" s="41">
        <v>0</v>
      </c>
      <c r="H1193" s="41">
        <v>50000000</v>
      </c>
      <c r="I1193" s="41">
        <v>0</v>
      </c>
      <c r="J1193" s="41">
        <v>40000000</v>
      </c>
      <c r="K1193" s="41">
        <v>0</v>
      </c>
      <c r="L1193" s="41">
        <v>10000000</v>
      </c>
      <c r="M1193" s="41">
        <v>0</v>
      </c>
      <c r="N1193" s="41">
        <v>96329166.666667655</v>
      </c>
      <c r="O1193" s="41">
        <v>79166.666666666672</v>
      </c>
      <c r="P1193" s="41">
        <v>75000000</v>
      </c>
      <c r="Q1193" s="41">
        <v>0</v>
      </c>
      <c r="R1193" s="41">
        <v>50000000</v>
      </c>
      <c r="S1193" s="41">
        <v>0</v>
      </c>
      <c r="T1193" s="41">
        <v>35000000</v>
      </c>
      <c r="U1193" s="41">
        <v>0</v>
      </c>
      <c r="V1193" s="41">
        <v>476329166.66666758</v>
      </c>
      <c r="W1193" s="41">
        <v>79166.666666666672</v>
      </c>
      <c r="X1193" s="38">
        <f t="shared" si="108"/>
        <v>0.95265833333333516</v>
      </c>
      <c r="Y1193" s="39">
        <f t="shared" si="109"/>
        <v>1.5833333333333335E-4</v>
      </c>
      <c r="Z1193" s="39">
        <f t="shared" si="113"/>
        <v>1.6622922134733125E-4</v>
      </c>
      <c r="AA1193" s="41">
        <f t="shared" si="110"/>
        <v>23670833.333332419</v>
      </c>
      <c r="AB1193" s="39">
        <f t="shared" si="111"/>
        <v>3.3444816053512997E-3</v>
      </c>
      <c r="AC1193" s="38">
        <f t="shared" si="112"/>
        <v>0.18687901660108555</v>
      </c>
      <c r="AD1193" s="3"/>
    </row>
    <row r="1194" spans="1:30" x14ac:dyDescent="0.25">
      <c r="A1194" s="37">
        <v>46830</v>
      </c>
      <c r="B1194" s="41">
        <v>20000000</v>
      </c>
      <c r="C1194" s="41">
        <v>0</v>
      </c>
      <c r="D1194" s="41">
        <v>50000000</v>
      </c>
      <c r="E1194" s="41">
        <v>0</v>
      </c>
      <c r="F1194" s="41">
        <v>50000000</v>
      </c>
      <c r="G1194" s="41">
        <v>0</v>
      </c>
      <c r="H1194" s="41">
        <v>50000000</v>
      </c>
      <c r="I1194" s="41">
        <v>0</v>
      </c>
      <c r="J1194" s="41">
        <v>40000000</v>
      </c>
      <c r="K1194" s="41">
        <v>0</v>
      </c>
      <c r="L1194" s="41">
        <v>10000000</v>
      </c>
      <c r="M1194" s="41">
        <v>0</v>
      </c>
      <c r="N1194" s="41">
        <v>96408333.333334327</v>
      </c>
      <c r="O1194" s="41">
        <v>79166.666666666672</v>
      </c>
      <c r="P1194" s="41">
        <v>75000000</v>
      </c>
      <c r="Q1194" s="41">
        <v>0</v>
      </c>
      <c r="R1194" s="41">
        <v>50000000</v>
      </c>
      <c r="S1194" s="41">
        <v>0</v>
      </c>
      <c r="T1194" s="41">
        <v>35000000</v>
      </c>
      <c r="U1194" s="41">
        <v>0</v>
      </c>
      <c r="V1194" s="41">
        <v>476408333.33333433</v>
      </c>
      <c r="W1194" s="41">
        <v>79166.666666666672</v>
      </c>
      <c r="X1194" s="38">
        <f t="shared" si="108"/>
        <v>0.95281666666666864</v>
      </c>
      <c r="Y1194" s="39">
        <f t="shared" si="109"/>
        <v>1.5833333333333335E-4</v>
      </c>
      <c r="Z1194" s="39">
        <f t="shared" si="113"/>
        <v>1.6620159378580957E-4</v>
      </c>
      <c r="AA1194" s="41">
        <f t="shared" si="110"/>
        <v>23591666.666665673</v>
      </c>
      <c r="AB1194" s="39">
        <f t="shared" si="111"/>
        <v>3.3557046979867185E-3</v>
      </c>
      <c r="AC1194" s="38">
        <f t="shared" si="112"/>
        <v>0.18684215989536793</v>
      </c>
      <c r="AD1194" s="3"/>
    </row>
    <row r="1195" spans="1:30" x14ac:dyDescent="0.25">
      <c r="A1195" s="37">
        <v>46831</v>
      </c>
      <c r="B1195" s="41">
        <v>20000000</v>
      </c>
      <c r="C1195" s="41">
        <v>0</v>
      </c>
      <c r="D1195" s="41">
        <v>50000000</v>
      </c>
      <c r="E1195" s="41">
        <v>0</v>
      </c>
      <c r="F1195" s="41">
        <v>50000000</v>
      </c>
      <c r="G1195" s="41">
        <v>0</v>
      </c>
      <c r="H1195" s="41">
        <v>50000000</v>
      </c>
      <c r="I1195" s="41">
        <v>0</v>
      </c>
      <c r="J1195" s="41">
        <v>40000000</v>
      </c>
      <c r="K1195" s="41">
        <v>0</v>
      </c>
      <c r="L1195" s="41">
        <v>10000000</v>
      </c>
      <c r="M1195" s="41">
        <v>0</v>
      </c>
      <c r="N1195" s="41">
        <v>96487500.000000998</v>
      </c>
      <c r="O1195" s="41">
        <v>79166.666666666672</v>
      </c>
      <c r="P1195" s="41">
        <v>75000000</v>
      </c>
      <c r="Q1195" s="41">
        <v>0</v>
      </c>
      <c r="R1195" s="41">
        <v>50000000</v>
      </c>
      <c r="S1195" s="41">
        <v>0</v>
      </c>
      <c r="T1195" s="41">
        <v>35000000</v>
      </c>
      <c r="U1195" s="41">
        <v>0</v>
      </c>
      <c r="V1195" s="41">
        <v>476487500.00000101</v>
      </c>
      <c r="W1195" s="41">
        <v>79166.666666666672</v>
      </c>
      <c r="X1195" s="38">
        <f t="shared" si="108"/>
        <v>0.95297500000000201</v>
      </c>
      <c r="Y1195" s="39">
        <f t="shared" si="109"/>
        <v>1.5833333333333335E-4</v>
      </c>
      <c r="Z1195" s="39">
        <f t="shared" si="113"/>
        <v>1.661739754062513E-4</v>
      </c>
      <c r="AA1195" s="41">
        <f t="shared" si="110"/>
        <v>23512499.999998987</v>
      </c>
      <c r="AB1195" s="39">
        <f t="shared" si="111"/>
        <v>3.3670033670035121E-3</v>
      </c>
      <c r="AC1195" s="38">
        <f t="shared" si="112"/>
        <v>0.18680531772471076</v>
      </c>
      <c r="AD1195" s="3"/>
    </row>
    <row r="1196" spans="1:30" x14ac:dyDescent="0.25">
      <c r="A1196" s="37">
        <v>46832</v>
      </c>
      <c r="B1196" s="41">
        <v>20000000</v>
      </c>
      <c r="C1196" s="41">
        <v>0</v>
      </c>
      <c r="D1196" s="41">
        <v>50000000</v>
      </c>
      <c r="E1196" s="41">
        <v>0</v>
      </c>
      <c r="F1196" s="41">
        <v>50000000</v>
      </c>
      <c r="G1196" s="41">
        <v>0</v>
      </c>
      <c r="H1196" s="41">
        <v>50000000</v>
      </c>
      <c r="I1196" s="41">
        <v>0</v>
      </c>
      <c r="J1196" s="41">
        <v>40000000</v>
      </c>
      <c r="K1196" s="41">
        <v>0</v>
      </c>
      <c r="L1196" s="41">
        <v>10000000</v>
      </c>
      <c r="M1196" s="41">
        <v>0</v>
      </c>
      <c r="N1196" s="41">
        <v>96566666.66666767</v>
      </c>
      <c r="O1196" s="41">
        <v>79166.666666666672</v>
      </c>
      <c r="P1196" s="41">
        <v>75000000</v>
      </c>
      <c r="Q1196" s="41">
        <v>0</v>
      </c>
      <c r="R1196" s="41">
        <v>50000000</v>
      </c>
      <c r="S1196" s="41">
        <v>0</v>
      </c>
      <c r="T1196" s="41">
        <v>35000000</v>
      </c>
      <c r="U1196" s="41">
        <v>0</v>
      </c>
      <c r="V1196" s="41">
        <v>476566666.6666677</v>
      </c>
      <c r="W1196" s="41">
        <v>79166.666666666672</v>
      </c>
      <c r="X1196" s="38">
        <f t="shared" si="108"/>
        <v>0.95313333333333539</v>
      </c>
      <c r="Y1196" s="39">
        <f t="shared" si="109"/>
        <v>1.5833333333333335E-4</v>
      </c>
      <c r="Z1196" s="39">
        <f t="shared" si="113"/>
        <v>1.6614636620407986E-4</v>
      </c>
      <c r="AA1196" s="41">
        <f t="shared" si="110"/>
        <v>23433333.3333323</v>
      </c>
      <c r="AB1196" s="39">
        <f t="shared" si="111"/>
        <v>3.3783783783785273E-3</v>
      </c>
      <c r="AC1196" s="38">
        <f t="shared" si="112"/>
        <v>0.18676849008051749</v>
      </c>
      <c r="AD1196" s="3"/>
    </row>
    <row r="1197" spans="1:30" x14ac:dyDescent="0.25">
      <c r="A1197" s="37">
        <v>46833</v>
      </c>
      <c r="B1197" s="41">
        <v>20000000</v>
      </c>
      <c r="C1197" s="41">
        <v>0</v>
      </c>
      <c r="D1197" s="41">
        <v>50000000</v>
      </c>
      <c r="E1197" s="41">
        <v>0</v>
      </c>
      <c r="F1197" s="41">
        <v>50000000</v>
      </c>
      <c r="G1197" s="41">
        <v>0</v>
      </c>
      <c r="H1197" s="41">
        <v>50000000</v>
      </c>
      <c r="I1197" s="41">
        <v>0</v>
      </c>
      <c r="J1197" s="41">
        <v>40000000</v>
      </c>
      <c r="K1197" s="41">
        <v>0</v>
      </c>
      <c r="L1197" s="41">
        <v>10000000</v>
      </c>
      <c r="M1197" s="41">
        <v>0</v>
      </c>
      <c r="N1197" s="41">
        <v>96645833.333334342</v>
      </c>
      <c r="O1197" s="41">
        <v>79166.666666666672</v>
      </c>
      <c r="P1197" s="41">
        <v>75000000</v>
      </c>
      <c r="Q1197" s="41">
        <v>0</v>
      </c>
      <c r="R1197" s="41">
        <v>50000000</v>
      </c>
      <c r="S1197" s="41">
        <v>0</v>
      </c>
      <c r="T1197" s="41">
        <v>35000000</v>
      </c>
      <c r="U1197" s="41">
        <v>0</v>
      </c>
      <c r="V1197" s="41">
        <v>476645833.33333433</v>
      </c>
      <c r="W1197" s="41">
        <v>79166.666666666672</v>
      </c>
      <c r="X1197" s="38">
        <f t="shared" si="108"/>
        <v>0.95329166666666865</v>
      </c>
      <c r="Y1197" s="39">
        <f t="shared" si="109"/>
        <v>1.5833333333333335E-4</v>
      </c>
      <c r="Z1197" s="39">
        <f t="shared" si="113"/>
        <v>1.6611876617472163E-4</v>
      </c>
      <c r="AA1197" s="41">
        <f t="shared" si="110"/>
        <v>23354166.666665673</v>
      </c>
      <c r="AB1197" s="39">
        <f t="shared" si="111"/>
        <v>3.3898305084747206E-3</v>
      </c>
      <c r="AC1197" s="38">
        <f t="shared" si="112"/>
        <v>0.1867316769541984</v>
      </c>
      <c r="AD1197" s="3"/>
    </row>
    <row r="1198" spans="1:30" x14ac:dyDescent="0.25">
      <c r="A1198" s="37">
        <v>46834</v>
      </c>
      <c r="B1198" s="41">
        <v>20000000</v>
      </c>
      <c r="C1198" s="41">
        <v>0</v>
      </c>
      <c r="D1198" s="41">
        <v>50000000</v>
      </c>
      <c r="E1198" s="41">
        <v>0</v>
      </c>
      <c r="F1198" s="41">
        <v>50000000</v>
      </c>
      <c r="G1198" s="41">
        <v>0</v>
      </c>
      <c r="H1198" s="41">
        <v>50000000</v>
      </c>
      <c r="I1198" s="41">
        <v>0</v>
      </c>
      <c r="J1198" s="41">
        <v>40000000</v>
      </c>
      <c r="K1198" s="41">
        <v>0</v>
      </c>
      <c r="L1198" s="41">
        <v>10000000</v>
      </c>
      <c r="M1198" s="41">
        <v>0</v>
      </c>
      <c r="N1198" s="41">
        <v>96725000.000001013</v>
      </c>
      <c r="O1198" s="41">
        <v>79166.666666666672</v>
      </c>
      <c r="P1198" s="41">
        <v>75000000</v>
      </c>
      <c r="Q1198" s="41">
        <v>0</v>
      </c>
      <c r="R1198" s="41">
        <v>50000000</v>
      </c>
      <c r="S1198" s="41">
        <v>0</v>
      </c>
      <c r="T1198" s="41">
        <v>35000000</v>
      </c>
      <c r="U1198" s="41">
        <v>0</v>
      </c>
      <c r="V1198" s="41">
        <v>476725000.00000101</v>
      </c>
      <c r="W1198" s="41">
        <v>79166.666666666672</v>
      </c>
      <c r="X1198" s="38">
        <f t="shared" si="108"/>
        <v>0.95345000000000202</v>
      </c>
      <c r="Y1198" s="39">
        <f t="shared" si="109"/>
        <v>1.5833333333333335E-4</v>
      </c>
      <c r="Z1198" s="39">
        <f t="shared" si="113"/>
        <v>1.6609117531360602E-4</v>
      </c>
      <c r="AA1198" s="41">
        <f t="shared" si="110"/>
        <v>23274999.999998987</v>
      </c>
      <c r="AB1198" s="39">
        <f t="shared" si="111"/>
        <v>3.4013605442178353E-3</v>
      </c>
      <c r="AC1198" s="38">
        <f t="shared" si="112"/>
        <v>0.18669487833717047</v>
      </c>
      <c r="AD1198" s="3"/>
    </row>
    <row r="1199" spans="1:30" x14ac:dyDescent="0.25">
      <c r="A1199" s="37">
        <v>46835</v>
      </c>
      <c r="B1199" s="41">
        <v>20000000</v>
      </c>
      <c r="C1199" s="41">
        <v>0</v>
      </c>
      <c r="D1199" s="41">
        <v>50000000</v>
      </c>
      <c r="E1199" s="41">
        <v>0</v>
      </c>
      <c r="F1199" s="41">
        <v>50000000</v>
      </c>
      <c r="G1199" s="41">
        <v>0</v>
      </c>
      <c r="H1199" s="41">
        <v>50000000</v>
      </c>
      <c r="I1199" s="41">
        <v>0</v>
      </c>
      <c r="J1199" s="41">
        <v>40000000</v>
      </c>
      <c r="K1199" s="41">
        <v>0</v>
      </c>
      <c r="L1199" s="41">
        <v>10000000</v>
      </c>
      <c r="M1199" s="41">
        <v>0</v>
      </c>
      <c r="N1199" s="41">
        <v>96804166.666667685</v>
      </c>
      <c r="O1199" s="41">
        <v>79166.666666666672</v>
      </c>
      <c r="P1199" s="41">
        <v>75000000</v>
      </c>
      <c r="Q1199" s="41">
        <v>0</v>
      </c>
      <c r="R1199" s="41">
        <v>50000000</v>
      </c>
      <c r="S1199" s="41">
        <v>0</v>
      </c>
      <c r="T1199" s="41">
        <v>35000000</v>
      </c>
      <c r="U1199" s="41">
        <v>0</v>
      </c>
      <c r="V1199" s="41">
        <v>476804166.6666677</v>
      </c>
      <c r="W1199" s="41">
        <v>79166.666666666672</v>
      </c>
      <c r="X1199" s="38">
        <f t="shared" si="108"/>
        <v>0.95360833333333539</v>
      </c>
      <c r="Y1199" s="39">
        <f t="shared" si="109"/>
        <v>1.5833333333333335E-4</v>
      </c>
      <c r="Z1199" s="39">
        <f t="shared" si="113"/>
        <v>1.6606359361616551E-4</v>
      </c>
      <c r="AA1199" s="41">
        <f t="shared" si="110"/>
        <v>23195833.3333323</v>
      </c>
      <c r="AB1199" s="39">
        <f t="shared" si="111"/>
        <v>3.4129692832766028E-3</v>
      </c>
      <c r="AC1199" s="38">
        <f t="shared" si="112"/>
        <v>0.18665809422085752</v>
      </c>
      <c r="AD1199" s="3"/>
    </row>
    <row r="1200" spans="1:30" x14ac:dyDescent="0.25">
      <c r="A1200" s="37">
        <v>46836</v>
      </c>
      <c r="B1200" s="41">
        <v>20000000</v>
      </c>
      <c r="C1200" s="41">
        <v>0</v>
      </c>
      <c r="D1200" s="41">
        <v>50000000</v>
      </c>
      <c r="E1200" s="41">
        <v>0</v>
      </c>
      <c r="F1200" s="41">
        <v>50000000</v>
      </c>
      <c r="G1200" s="41">
        <v>0</v>
      </c>
      <c r="H1200" s="41">
        <v>50000000</v>
      </c>
      <c r="I1200" s="41">
        <v>0</v>
      </c>
      <c r="J1200" s="41">
        <v>40000000</v>
      </c>
      <c r="K1200" s="41">
        <v>0</v>
      </c>
      <c r="L1200" s="41">
        <v>10000000</v>
      </c>
      <c r="M1200" s="41">
        <v>0</v>
      </c>
      <c r="N1200" s="41">
        <v>96883333.333334357</v>
      </c>
      <c r="O1200" s="41">
        <v>79166.666666666672</v>
      </c>
      <c r="P1200" s="41">
        <v>75000000</v>
      </c>
      <c r="Q1200" s="41">
        <v>0</v>
      </c>
      <c r="R1200" s="41">
        <v>50000000</v>
      </c>
      <c r="S1200" s="41">
        <v>0</v>
      </c>
      <c r="T1200" s="41">
        <v>35000000</v>
      </c>
      <c r="U1200" s="41">
        <v>0</v>
      </c>
      <c r="V1200" s="41">
        <v>476883333.33333433</v>
      </c>
      <c r="W1200" s="41">
        <v>79166.666666666672</v>
      </c>
      <c r="X1200" s="38">
        <f t="shared" si="108"/>
        <v>0.95376666666666865</v>
      </c>
      <c r="Y1200" s="39">
        <f t="shared" si="109"/>
        <v>1.5833333333333335E-4</v>
      </c>
      <c r="Z1200" s="39">
        <f t="shared" si="113"/>
        <v>1.660360210778356E-4</v>
      </c>
      <c r="AA1200" s="41">
        <f t="shared" si="110"/>
        <v>23116666.666665673</v>
      </c>
      <c r="AB1200" s="39">
        <f t="shared" si="111"/>
        <v>3.4246575342467226E-3</v>
      </c>
      <c r="AC1200" s="38">
        <f t="shared" si="112"/>
        <v>0.18662132459669012</v>
      </c>
      <c r="AD1200" s="3"/>
    </row>
    <row r="1201" spans="1:30" x14ac:dyDescent="0.25">
      <c r="A1201" s="37">
        <v>46837</v>
      </c>
      <c r="B1201" s="41">
        <v>20000000</v>
      </c>
      <c r="C1201" s="41">
        <v>0</v>
      </c>
      <c r="D1201" s="41">
        <v>50000000</v>
      </c>
      <c r="E1201" s="41">
        <v>0</v>
      </c>
      <c r="F1201" s="41">
        <v>50000000</v>
      </c>
      <c r="G1201" s="41">
        <v>0</v>
      </c>
      <c r="H1201" s="41">
        <v>50000000</v>
      </c>
      <c r="I1201" s="41">
        <v>0</v>
      </c>
      <c r="J1201" s="41">
        <v>40000000</v>
      </c>
      <c r="K1201" s="41">
        <v>0</v>
      </c>
      <c r="L1201" s="41">
        <v>10000000</v>
      </c>
      <c r="M1201" s="41">
        <v>0</v>
      </c>
      <c r="N1201" s="41">
        <v>96962500.000001028</v>
      </c>
      <c r="O1201" s="41">
        <v>79166.666666666672</v>
      </c>
      <c r="P1201" s="41">
        <v>75000000</v>
      </c>
      <c r="Q1201" s="41">
        <v>0</v>
      </c>
      <c r="R1201" s="41">
        <v>50000000</v>
      </c>
      <c r="S1201" s="41">
        <v>0</v>
      </c>
      <c r="T1201" s="41">
        <v>35000000</v>
      </c>
      <c r="U1201" s="41">
        <v>0</v>
      </c>
      <c r="V1201" s="41">
        <v>476962500.00000101</v>
      </c>
      <c r="W1201" s="41">
        <v>79166.666666666672</v>
      </c>
      <c r="X1201" s="38">
        <f t="shared" si="108"/>
        <v>0.95392500000000202</v>
      </c>
      <c r="Y1201" s="39">
        <f t="shared" si="109"/>
        <v>1.5833333333333335E-4</v>
      </c>
      <c r="Z1201" s="39">
        <f t="shared" si="113"/>
        <v>1.6600845769405482E-4</v>
      </c>
      <c r="AA1201" s="41">
        <f t="shared" si="110"/>
        <v>23037499.999998987</v>
      </c>
      <c r="AB1201" s="39">
        <f t="shared" si="111"/>
        <v>3.4364261168386393E-3</v>
      </c>
      <c r="AC1201" s="38">
        <f t="shared" si="112"/>
        <v>0.18658456945610552</v>
      </c>
      <c r="AD1201" s="3"/>
    </row>
    <row r="1202" spans="1:30" x14ac:dyDescent="0.25">
      <c r="A1202" s="37">
        <v>46838</v>
      </c>
      <c r="B1202" s="41">
        <v>20000000</v>
      </c>
      <c r="C1202" s="41">
        <v>0</v>
      </c>
      <c r="D1202" s="41">
        <v>50000000</v>
      </c>
      <c r="E1202" s="41">
        <v>0</v>
      </c>
      <c r="F1202" s="41">
        <v>50000000</v>
      </c>
      <c r="G1202" s="41">
        <v>0</v>
      </c>
      <c r="H1202" s="41">
        <v>50000000</v>
      </c>
      <c r="I1202" s="41">
        <v>0</v>
      </c>
      <c r="J1202" s="41">
        <v>40000000</v>
      </c>
      <c r="K1202" s="41">
        <v>0</v>
      </c>
      <c r="L1202" s="41">
        <v>10000000</v>
      </c>
      <c r="M1202" s="41">
        <v>0</v>
      </c>
      <c r="N1202" s="41">
        <v>97041666.6666677</v>
      </c>
      <c r="O1202" s="41">
        <v>79166.666666666672</v>
      </c>
      <c r="P1202" s="41">
        <v>75000000</v>
      </c>
      <c r="Q1202" s="41">
        <v>0</v>
      </c>
      <c r="R1202" s="41">
        <v>50000000</v>
      </c>
      <c r="S1202" s="41">
        <v>0</v>
      </c>
      <c r="T1202" s="41">
        <v>35000000</v>
      </c>
      <c r="U1202" s="41">
        <v>0</v>
      </c>
      <c r="V1202" s="41">
        <v>477041666.6666677</v>
      </c>
      <c r="W1202" s="41">
        <v>79166.666666666672</v>
      </c>
      <c r="X1202" s="38">
        <f t="shared" si="108"/>
        <v>0.95408333333333539</v>
      </c>
      <c r="Y1202" s="39">
        <f t="shared" si="109"/>
        <v>1.5833333333333335E-4</v>
      </c>
      <c r="Z1202" s="39">
        <f t="shared" si="113"/>
        <v>1.659809034602647E-4</v>
      </c>
      <c r="AA1202" s="41">
        <f t="shared" si="110"/>
        <v>22958333.3333323</v>
      </c>
      <c r="AB1202" s="39">
        <f t="shared" si="111"/>
        <v>3.4482758620691207E-3</v>
      </c>
      <c r="AC1202" s="38">
        <f t="shared" si="112"/>
        <v>0.18654782879054777</v>
      </c>
      <c r="AD1202" s="3"/>
    </row>
    <row r="1203" spans="1:30" x14ac:dyDescent="0.25">
      <c r="A1203" s="37">
        <v>46839</v>
      </c>
      <c r="B1203" s="41">
        <v>20000000</v>
      </c>
      <c r="C1203" s="41">
        <v>0</v>
      </c>
      <c r="D1203" s="41">
        <v>50000000</v>
      </c>
      <c r="E1203" s="41">
        <v>0</v>
      </c>
      <c r="F1203" s="41">
        <v>50000000</v>
      </c>
      <c r="G1203" s="41">
        <v>0</v>
      </c>
      <c r="H1203" s="41">
        <v>50000000</v>
      </c>
      <c r="I1203" s="41">
        <v>0</v>
      </c>
      <c r="J1203" s="41">
        <v>40000000</v>
      </c>
      <c r="K1203" s="41">
        <v>0</v>
      </c>
      <c r="L1203" s="41">
        <v>10000000</v>
      </c>
      <c r="M1203" s="41">
        <v>0</v>
      </c>
      <c r="N1203" s="41">
        <v>97120833.333334371</v>
      </c>
      <c r="O1203" s="41">
        <v>79166.666666666672</v>
      </c>
      <c r="P1203" s="41">
        <v>75000000</v>
      </c>
      <c r="Q1203" s="41">
        <v>0</v>
      </c>
      <c r="R1203" s="41">
        <v>50000000</v>
      </c>
      <c r="S1203" s="41">
        <v>0</v>
      </c>
      <c r="T1203" s="41">
        <v>35000000</v>
      </c>
      <c r="U1203" s="41">
        <v>0</v>
      </c>
      <c r="V1203" s="41">
        <v>477120833.33333439</v>
      </c>
      <c r="W1203" s="41">
        <v>79166.666666666672</v>
      </c>
      <c r="X1203" s="38">
        <f t="shared" si="108"/>
        <v>0.95424166666666876</v>
      </c>
      <c r="Y1203" s="39">
        <f t="shared" si="109"/>
        <v>1.5833333333333335E-4</v>
      </c>
      <c r="Z1203" s="39">
        <f t="shared" si="113"/>
        <v>1.6595335837190985E-4</v>
      </c>
      <c r="AA1203" s="41">
        <f t="shared" si="110"/>
        <v>22879166.666665614</v>
      </c>
      <c r="AB1203" s="39">
        <f t="shared" si="111"/>
        <v>3.4602076124569067E-3</v>
      </c>
      <c r="AC1203" s="38">
        <f t="shared" si="112"/>
        <v>0.18651110259146766</v>
      </c>
      <c r="AD1203" s="3"/>
    </row>
    <row r="1204" spans="1:30" x14ac:dyDescent="0.25">
      <c r="A1204" s="37">
        <v>46840</v>
      </c>
      <c r="B1204" s="41">
        <v>20000000</v>
      </c>
      <c r="C1204" s="41">
        <v>0</v>
      </c>
      <c r="D1204" s="41">
        <v>50000000</v>
      </c>
      <c r="E1204" s="41">
        <v>0</v>
      </c>
      <c r="F1204" s="41">
        <v>50000000</v>
      </c>
      <c r="G1204" s="41">
        <v>0</v>
      </c>
      <c r="H1204" s="41">
        <v>50000000</v>
      </c>
      <c r="I1204" s="41">
        <v>0</v>
      </c>
      <c r="J1204" s="41">
        <v>40000000</v>
      </c>
      <c r="K1204" s="41">
        <v>0</v>
      </c>
      <c r="L1204" s="41">
        <v>10000000</v>
      </c>
      <c r="M1204" s="41">
        <v>0</v>
      </c>
      <c r="N1204" s="41">
        <v>97200000.000001043</v>
      </c>
      <c r="O1204" s="41">
        <v>79166.666666666672</v>
      </c>
      <c r="P1204" s="41">
        <v>75000000</v>
      </c>
      <c r="Q1204" s="41">
        <v>0</v>
      </c>
      <c r="R1204" s="41">
        <v>50000000</v>
      </c>
      <c r="S1204" s="41">
        <v>0</v>
      </c>
      <c r="T1204" s="41">
        <v>35000000</v>
      </c>
      <c r="U1204" s="41">
        <v>0</v>
      </c>
      <c r="V1204" s="41">
        <v>477200000.00000107</v>
      </c>
      <c r="W1204" s="41">
        <v>79166.666666666672</v>
      </c>
      <c r="X1204" s="38">
        <f t="shared" si="108"/>
        <v>0.95440000000000214</v>
      </c>
      <c r="Y1204" s="39">
        <f t="shared" si="109"/>
        <v>1.5833333333333335E-4</v>
      </c>
      <c r="Z1204" s="39">
        <f t="shared" si="113"/>
        <v>1.6592582242443789E-4</v>
      </c>
      <c r="AA1204" s="41">
        <f t="shared" si="110"/>
        <v>22799999.999998927</v>
      </c>
      <c r="AB1204" s="39">
        <f t="shared" si="111"/>
        <v>3.472222222222386E-3</v>
      </c>
      <c r="AC1204" s="38">
        <f t="shared" si="112"/>
        <v>0.18647439085032272</v>
      </c>
      <c r="AD1204" s="3"/>
    </row>
    <row r="1205" spans="1:30" x14ac:dyDescent="0.25">
      <c r="A1205" s="37">
        <v>46841</v>
      </c>
      <c r="B1205" s="41">
        <v>20000000</v>
      </c>
      <c r="C1205" s="41">
        <v>0</v>
      </c>
      <c r="D1205" s="41">
        <v>50000000</v>
      </c>
      <c r="E1205" s="41">
        <v>0</v>
      </c>
      <c r="F1205" s="41">
        <v>50000000</v>
      </c>
      <c r="G1205" s="41">
        <v>0</v>
      </c>
      <c r="H1205" s="41">
        <v>50000000</v>
      </c>
      <c r="I1205" s="41">
        <v>0</v>
      </c>
      <c r="J1205" s="41">
        <v>40000000</v>
      </c>
      <c r="K1205" s="41">
        <v>0</v>
      </c>
      <c r="L1205" s="41">
        <v>10000000</v>
      </c>
      <c r="M1205" s="41">
        <v>0</v>
      </c>
      <c r="N1205" s="41">
        <v>97279166.666667715</v>
      </c>
      <c r="O1205" s="41">
        <v>79166.666666666672</v>
      </c>
      <c r="P1205" s="41">
        <v>75000000</v>
      </c>
      <c r="Q1205" s="41">
        <v>0</v>
      </c>
      <c r="R1205" s="41">
        <v>50000000</v>
      </c>
      <c r="S1205" s="41">
        <v>0</v>
      </c>
      <c r="T1205" s="41">
        <v>35000000</v>
      </c>
      <c r="U1205" s="41">
        <v>0</v>
      </c>
      <c r="V1205" s="41">
        <v>477279166.6666677</v>
      </c>
      <c r="W1205" s="41">
        <v>79166.666666666672</v>
      </c>
      <c r="X1205" s="38">
        <f t="shared" si="108"/>
        <v>0.9545583333333354</v>
      </c>
      <c r="Y1205" s="39">
        <f t="shared" si="109"/>
        <v>1.5833333333333335E-4</v>
      </c>
      <c r="Z1205" s="39">
        <f t="shared" si="113"/>
        <v>1.6589829561329945E-4</v>
      </c>
      <c r="AA1205" s="41">
        <f t="shared" si="110"/>
        <v>22720833.3333323</v>
      </c>
      <c r="AB1205" s="39">
        <f t="shared" si="111"/>
        <v>3.4843205574914479E-3</v>
      </c>
      <c r="AC1205" s="38">
        <f t="shared" si="112"/>
        <v>0.1864376935585772</v>
      </c>
      <c r="AD1205" s="3"/>
    </row>
    <row r="1206" spans="1:30" x14ac:dyDescent="0.25">
      <c r="A1206" s="37">
        <v>46842</v>
      </c>
      <c r="B1206" s="41">
        <v>20000000</v>
      </c>
      <c r="C1206" s="41">
        <v>0</v>
      </c>
      <c r="D1206" s="41">
        <v>50000000</v>
      </c>
      <c r="E1206" s="41">
        <v>0</v>
      </c>
      <c r="F1206" s="41">
        <v>50000000</v>
      </c>
      <c r="G1206" s="41">
        <v>0</v>
      </c>
      <c r="H1206" s="41">
        <v>50000000</v>
      </c>
      <c r="I1206" s="41">
        <v>0</v>
      </c>
      <c r="J1206" s="41">
        <v>40000000</v>
      </c>
      <c r="K1206" s="41">
        <v>0</v>
      </c>
      <c r="L1206" s="41">
        <v>10000000</v>
      </c>
      <c r="M1206" s="41">
        <v>0</v>
      </c>
      <c r="N1206" s="41">
        <v>97358333.333334386</v>
      </c>
      <c r="O1206" s="41">
        <v>79166.666666666672</v>
      </c>
      <c r="P1206" s="41">
        <v>75000000</v>
      </c>
      <c r="Q1206" s="41">
        <v>0</v>
      </c>
      <c r="R1206" s="41">
        <v>50000000</v>
      </c>
      <c r="S1206" s="41">
        <v>0</v>
      </c>
      <c r="T1206" s="41">
        <v>35000000</v>
      </c>
      <c r="U1206" s="41">
        <v>0</v>
      </c>
      <c r="V1206" s="41">
        <v>477358333.33333439</v>
      </c>
      <c r="W1206" s="41">
        <v>79166.666666666672</v>
      </c>
      <c r="X1206" s="38">
        <f t="shared" si="108"/>
        <v>0.95471666666666877</v>
      </c>
      <c r="Y1206" s="39">
        <f t="shared" si="109"/>
        <v>1.5833333333333335E-4</v>
      </c>
      <c r="Z1206" s="39">
        <f t="shared" si="113"/>
        <v>1.6587077793394817E-4</v>
      </c>
      <c r="AA1206" s="41">
        <f t="shared" si="110"/>
        <v>22641666.666665614</v>
      </c>
      <c r="AB1206" s="39">
        <f t="shared" si="111"/>
        <v>3.4965034965036591E-3</v>
      </c>
      <c r="AC1206" s="38">
        <f t="shared" si="112"/>
        <v>0.18640101070770201</v>
      </c>
      <c r="AD1206" s="3"/>
    </row>
    <row r="1207" spans="1:30" x14ac:dyDescent="0.25">
      <c r="A1207" s="37">
        <v>46843</v>
      </c>
      <c r="B1207" s="41">
        <v>20000000</v>
      </c>
      <c r="C1207" s="41">
        <v>0</v>
      </c>
      <c r="D1207" s="41">
        <v>50000000</v>
      </c>
      <c r="E1207" s="41">
        <v>0</v>
      </c>
      <c r="F1207" s="41">
        <v>50000000</v>
      </c>
      <c r="G1207" s="41">
        <v>0</v>
      </c>
      <c r="H1207" s="41">
        <v>50000000</v>
      </c>
      <c r="I1207" s="41">
        <v>0</v>
      </c>
      <c r="J1207" s="41">
        <v>40000000</v>
      </c>
      <c r="K1207" s="41">
        <v>0</v>
      </c>
      <c r="L1207" s="41">
        <v>10000000</v>
      </c>
      <c r="M1207" s="41">
        <v>0</v>
      </c>
      <c r="N1207" s="41">
        <v>97437500.000001058</v>
      </c>
      <c r="O1207" s="41">
        <v>79166.666666666672</v>
      </c>
      <c r="P1207" s="41">
        <v>75000000</v>
      </c>
      <c r="Q1207" s="41">
        <v>0</v>
      </c>
      <c r="R1207" s="41">
        <v>50000000</v>
      </c>
      <c r="S1207" s="41">
        <v>0</v>
      </c>
      <c r="T1207" s="41">
        <v>35000000</v>
      </c>
      <c r="U1207" s="41">
        <v>0</v>
      </c>
      <c r="V1207" s="41">
        <v>477437500.00000107</v>
      </c>
      <c r="W1207" s="41">
        <v>79166.666666666672</v>
      </c>
      <c r="X1207" s="38">
        <f t="shared" si="108"/>
        <v>0.95487500000000214</v>
      </c>
      <c r="Y1207" s="39">
        <f t="shared" si="109"/>
        <v>1.5833333333333335E-4</v>
      </c>
      <c r="Z1207" s="39">
        <f t="shared" si="113"/>
        <v>1.6584326938184069E-4</v>
      </c>
      <c r="AA1207" s="41">
        <f t="shared" si="110"/>
        <v>22562499.999998927</v>
      </c>
      <c r="AB1207" s="39">
        <f t="shared" si="111"/>
        <v>3.5087719298247284E-3</v>
      </c>
      <c r="AC1207" s="38">
        <f t="shared" si="112"/>
        <v>0.18636434228917484</v>
      </c>
      <c r="AD1207" s="3"/>
    </row>
    <row r="1208" spans="1:30" x14ac:dyDescent="0.25">
      <c r="A1208" s="37">
        <v>46844</v>
      </c>
      <c r="B1208" s="41">
        <v>20000000</v>
      </c>
      <c r="C1208" s="41">
        <v>0</v>
      </c>
      <c r="D1208" s="41">
        <v>50000000</v>
      </c>
      <c r="E1208" s="41">
        <v>0</v>
      </c>
      <c r="F1208" s="41">
        <v>50000000</v>
      </c>
      <c r="G1208" s="41">
        <v>0</v>
      </c>
      <c r="H1208" s="41">
        <v>50000000</v>
      </c>
      <c r="I1208" s="41">
        <v>0</v>
      </c>
      <c r="J1208" s="41">
        <v>40000000</v>
      </c>
      <c r="K1208" s="41">
        <v>0</v>
      </c>
      <c r="L1208" s="41">
        <v>10000000</v>
      </c>
      <c r="M1208" s="41">
        <v>0</v>
      </c>
      <c r="N1208" s="41">
        <v>97516666.66666773</v>
      </c>
      <c r="O1208" s="41">
        <v>79166.666666666672</v>
      </c>
      <c r="P1208" s="41">
        <v>75000000</v>
      </c>
      <c r="Q1208" s="41">
        <v>0</v>
      </c>
      <c r="R1208" s="41">
        <v>50000000</v>
      </c>
      <c r="S1208" s="41">
        <v>0</v>
      </c>
      <c r="T1208" s="41">
        <v>35000000</v>
      </c>
      <c r="U1208" s="41">
        <v>0</v>
      </c>
      <c r="V1208" s="41">
        <v>477516666.6666677</v>
      </c>
      <c r="W1208" s="41">
        <v>79166.666666666672</v>
      </c>
      <c r="X1208" s="38">
        <f t="shared" si="108"/>
        <v>0.9550333333333354</v>
      </c>
      <c r="Y1208" s="39">
        <f t="shared" si="109"/>
        <v>1.5833333333333335E-4</v>
      </c>
      <c r="Z1208" s="39">
        <f t="shared" si="113"/>
        <v>1.658157699524367E-4</v>
      </c>
      <c r="AA1208" s="41">
        <f t="shared" si="110"/>
        <v>22483333.3333323</v>
      </c>
      <c r="AB1208" s="39">
        <f t="shared" si="111"/>
        <v>3.5211267605635421E-3</v>
      </c>
      <c r="AC1208" s="38">
        <f t="shared" si="112"/>
        <v>0.18632768829448007</v>
      </c>
      <c r="AD1208" s="3"/>
    </row>
    <row r="1209" spans="1:30" x14ac:dyDescent="0.25">
      <c r="A1209" s="37">
        <v>46845</v>
      </c>
      <c r="B1209" s="41">
        <v>20000000</v>
      </c>
      <c r="C1209" s="41">
        <v>0</v>
      </c>
      <c r="D1209" s="41">
        <v>50000000</v>
      </c>
      <c r="E1209" s="41">
        <v>0</v>
      </c>
      <c r="F1209" s="41">
        <v>50000000</v>
      </c>
      <c r="G1209" s="41">
        <v>0</v>
      </c>
      <c r="H1209" s="41">
        <v>50000000</v>
      </c>
      <c r="I1209" s="41">
        <v>0</v>
      </c>
      <c r="J1209" s="41">
        <v>40000000</v>
      </c>
      <c r="K1209" s="41">
        <v>0</v>
      </c>
      <c r="L1209" s="41">
        <v>10000000</v>
      </c>
      <c r="M1209" s="41">
        <v>0</v>
      </c>
      <c r="N1209" s="41">
        <v>97595833.333334401</v>
      </c>
      <c r="O1209" s="41">
        <v>79166.666666666672</v>
      </c>
      <c r="P1209" s="41">
        <v>75000000</v>
      </c>
      <c r="Q1209" s="41">
        <v>0</v>
      </c>
      <c r="R1209" s="41">
        <v>50000000</v>
      </c>
      <c r="S1209" s="41">
        <v>0</v>
      </c>
      <c r="T1209" s="41">
        <v>35000000</v>
      </c>
      <c r="U1209" s="41">
        <v>0</v>
      </c>
      <c r="V1209" s="41">
        <v>477595833.33333439</v>
      </c>
      <c r="W1209" s="41">
        <v>79166.666666666672</v>
      </c>
      <c r="X1209" s="38">
        <f t="shared" si="108"/>
        <v>0.95519166666666877</v>
      </c>
      <c r="Y1209" s="39">
        <f t="shared" si="109"/>
        <v>1.5833333333333335E-4</v>
      </c>
      <c r="Z1209" s="39">
        <f t="shared" si="113"/>
        <v>1.6578827964119892E-4</v>
      </c>
      <c r="AA1209" s="41">
        <f t="shared" si="110"/>
        <v>22404166.666665614</v>
      </c>
      <c r="AB1209" s="39">
        <f t="shared" si="111"/>
        <v>3.5335689045938061E-3</v>
      </c>
      <c r="AC1209" s="38">
        <f t="shared" si="112"/>
        <v>0.18629104871510876</v>
      </c>
      <c r="AD1209" s="3"/>
    </row>
    <row r="1210" spans="1:30" x14ac:dyDescent="0.25">
      <c r="A1210" s="37">
        <v>46846</v>
      </c>
      <c r="B1210" s="41">
        <v>20000000</v>
      </c>
      <c r="C1210" s="41">
        <v>0</v>
      </c>
      <c r="D1210" s="41">
        <v>50000000</v>
      </c>
      <c r="E1210" s="41">
        <v>0</v>
      </c>
      <c r="F1210" s="41">
        <v>50000000</v>
      </c>
      <c r="G1210" s="41">
        <v>0</v>
      </c>
      <c r="H1210" s="41">
        <v>50000000</v>
      </c>
      <c r="I1210" s="41">
        <v>0</v>
      </c>
      <c r="J1210" s="41">
        <v>40000000</v>
      </c>
      <c r="K1210" s="41">
        <v>0</v>
      </c>
      <c r="L1210" s="41">
        <v>10000000</v>
      </c>
      <c r="M1210" s="41">
        <v>0</v>
      </c>
      <c r="N1210" s="41">
        <v>97675000.000001073</v>
      </c>
      <c r="O1210" s="41">
        <v>79166.666666666672</v>
      </c>
      <c r="P1210" s="41">
        <v>75000000</v>
      </c>
      <c r="Q1210" s="41">
        <v>0</v>
      </c>
      <c r="R1210" s="41">
        <v>50000000</v>
      </c>
      <c r="S1210" s="41">
        <v>0</v>
      </c>
      <c r="T1210" s="41">
        <v>35000000</v>
      </c>
      <c r="U1210" s="41">
        <v>0</v>
      </c>
      <c r="V1210" s="41">
        <v>477675000.00000107</v>
      </c>
      <c r="W1210" s="41">
        <v>79166.666666666672</v>
      </c>
      <c r="X1210" s="38">
        <f t="shared" si="108"/>
        <v>0.95535000000000214</v>
      </c>
      <c r="Y1210" s="39">
        <f t="shared" si="109"/>
        <v>1.5833333333333335E-4</v>
      </c>
      <c r="Z1210" s="39">
        <f t="shared" si="113"/>
        <v>1.6576079844359299E-4</v>
      </c>
      <c r="AA1210" s="41">
        <f t="shared" si="110"/>
        <v>22324999.999998927</v>
      </c>
      <c r="AB1210" s="39">
        <f t="shared" si="111"/>
        <v>3.5460992907803126E-3</v>
      </c>
      <c r="AC1210" s="38">
        <f t="shared" si="112"/>
        <v>0.18625442354255864</v>
      </c>
      <c r="AD1210" s="3"/>
    </row>
    <row r="1211" spans="1:30" x14ac:dyDescent="0.25">
      <c r="A1211" s="37">
        <v>46847</v>
      </c>
      <c r="B1211" s="41">
        <v>20000000</v>
      </c>
      <c r="C1211" s="41">
        <v>0</v>
      </c>
      <c r="D1211" s="41">
        <v>50000000</v>
      </c>
      <c r="E1211" s="41">
        <v>0</v>
      </c>
      <c r="F1211" s="41">
        <v>50000000</v>
      </c>
      <c r="G1211" s="41">
        <v>0</v>
      </c>
      <c r="H1211" s="41">
        <v>50000000</v>
      </c>
      <c r="I1211" s="41">
        <v>0</v>
      </c>
      <c r="J1211" s="41">
        <v>40000000</v>
      </c>
      <c r="K1211" s="41">
        <v>0</v>
      </c>
      <c r="L1211" s="41">
        <v>10000000</v>
      </c>
      <c r="M1211" s="41">
        <v>0</v>
      </c>
      <c r="N1211" s="41">
        <v>97754166.666667745</v>
      </c>
      <c r="O1211" s="41">
        <v>79166.666666666672</v>
      </c>
      <c r="P1211" s="41">
        <v>75000000</v>
      </c>
      <c r="Q1211" s="41">
        <v>0</v>
      </c>
      <c r="R1211" s="41">
        <v>50000000</v>
      </c>
      <c r="S1211" s="41">
        <v>0</v>
      </c>
      <c r="T1211" s="41">
        <v>35000000</v>
      </c>
      <c r="U1211" s="41">
        <v>0</v>
      </c>
      <c r="V1211" s="41">
        <v>477754166.66666782</v>
      </c>
      <c r="W1211" s="41">
        <v>79166.666666666672</v>
      </c>
      <c r="X1211" s="38">
        <f t="shared" si="108"/>
        <v>0.95550833333333562</v>
      </c>
      <c r="Y1211" s="39">
        <f t="shared" si="109"/>
        <v>1.5833333333333335E-4</v>
      </c>
      <c r="Z1211" s="39">
        <f t="shared" si="113"/>
        <v>1.6573332635508764E-4</v>
      </c>
      <c r="AA1211" s="41">
        <f t="shared" si="110"/>
        <v>22245833.333332181</v>
      </c>
      <c r="AB1211" s="39">
        <f t="shared" si="111"/>
        <v>3.558718861210149E-3</v>
      </c>
      <c r="AC1211" s="38">
        <f t="shared" si="112"/>
        <v>0.18621781276833416</v>
      </c>
      <c r="AD1211" s="3"/>
    </row>
    <row r="1212" spans="1:30" x14ac:dyDescent="0.25">
      <c r="A1212" s="37">
        <v>46848</v>
      </c>
      <c r="B1212" s="41">
        <v>20000000</v>
      </c>
      <c r="C1212" s="41">
        <v>0</v>
      </c>
      <c r="D1212" s="41">
        <v>50000000</v>
      </c>
      <c r="E1212" s="41">
        <v>0</v>
      </c>
      <c r="F1212" s="41">
        <v>50000000</v>
      </c>
      <c r="G1212" s="41">
        <v>0</v>
      </c>
      <c r="H1212" s="41">
        <v>50000000</v>
      </c>
      <c r="I1212" s="41">
        <v>0</v>
      </c>
      <c r="J1212" s="41">
        <v>40000000</v>
      </c>
      <c r="K1212" s="41">
        <v>0</v>
      </c>
      <c r="L1212" s="41">
        <v>10000000</v>
      </c>
      <c r="M1212" s="41">
        <v>0</v>
      </c>
      <c r="N1212" s="41">
        <v>97833333.333334416</v>
      </c>
      <c r="O1212" s="41">
        <v>79166.666666666672</v>
      </c>
      <c r="P1212" s="41">
        <v>75000000</v>
      </c>
      <c r="Q1212" s="41">
        <v>0</v>
      </c>
      <c r="R1212" s="41">
        <v>50000000</v>
      </c>
      <c r="S1212" s="41">
        <v>0</v>
      </c>
      <c r="T1212" s="41">
        <v>35000000</v>
      </c>
      <c r="U1212" s="41">
        <v>0</v>
      </c>
      <c r="V1212" s="41">
        <v>477833333.33333439</v>
      </c>
      <c r="W1212" s="41">
        <v>79166.666666666672</v>
      </c>
      <c r="X1212" s="38">
        <f t="shared" si="108"/>
        <v>0.95566666666666877</v>
      </c>
      <c r="Y1212" s="39">
        <f t="shared" si="109"/>
        <v>1.5833333333333335E-4</v>
      </c>
      <c r="Z1212" s="39">
        <f t="shared" si="113"/>
        <v>1.6570586337115458E-4</v>
      </c>
      <c r="AA1212" s="41">
        <f t="shared" si="110"/>
        <v>22166666.666665614</v>
      </c>
      <c r="AB1212" s="39">
        <f t="shared" si="111"/>
        <v>3.5714285714287413E-3</v>
      </c>
      <c r="AC1212" s="38">
        <f t="shared" si="112"/>
        <v>0.18618121638394655</v>
      </c>
      <c r="AD1212" s="3"/>
    </row>
    <row r="1213" spans="1:30" x14ac:dyDescent="0.25">
      <c r="A1213" s="37">
        <v>46849</v>
      </c>
      <c r="B1213" s="41">
        <v>20000000</v>
      </c>
      <c r="C1213" s="41">
        <v>0</v>
      </c>
      <c r="D1213" s="41">
        <v>50000000</v>
      </c>
      <c r="E1213" s="41">
        <v>0</v>
      </c>
      <c r="F1213" s="41">
        <v>50000000</v>
      </c>
      <c r="G1213" s="41">
        <v>0</v>
      </c>
      <c r="H1213" s="41">
        <v>50000000</v>
      </c>
      <c r="I1213" s="41">
        <v>0</v>
      </c>
      <c r="J1213" s="41">
        <v>40000000</v>
      </c>
      <c r="K1213" s="41">
        <v>0</v>
      </c>
      <c r="L1213" s="41">
        <v>10000000</v>
      </c>
      <c r="M1213" s="41">
        <v>0</v>
      </c>
      <c r="N1213" s="41">
        <v>97912500.000001088</v>
      </c>
      <c r="O1213" s="41">
        <v>79166.666666666672</v>
      </c>
      <c r="P1213" s="41">
        <v>75000000</v>
      </c>
      <c r="Q1213" s="41">
        <v>0</v>
      </c>
      <c r="R1213" s="41">
        <v>50000000</v>
      </c>
      <c r="S1213" s="41">
        <v>0</v>
      </c>
      <c r="T1213" s="41">
        <v>35000000</v>
      </c>
      <c r="U1213" s="41">
        <v>0</v>
      </c>
      <c r="V1213" s="41">
        <v>477912500.00000107</v>
      </c>
      <c r="W1213" s="41">
        <v>79166.666666666672</v>
      </c>
      <c r="X1213" s="38">
        <f t="shared" si="108"/>
        <v>0.95582500000000215</v>
      </c>
      <c r="Y1213" s="39">
        <f t="shared" si="109"/>
        <v>1.5833333333333335E-4</v>
      </c>
      <c r="Z1213" s="39">
        <f t="shared" si="113"/>
        <v>1.6567840948726858E-4</v>
      </c>
      <c r="AA1213" s="41">
        <f t="shared" si="110"/>
        <v>22087499.999998927</v>
      </c>
      <c r="AB1213" s="39">
        <f t="shared" si="111"/>
        <v>3.5842293906811779E-3</v>
      </c>
      <c r="AC1213" s="38">
        <f t="shared" si="112"/>
        <v>0.18614463438091347</v>
      </c>
      <c r="AD1213" s="3"/>
    </row>
    <row r="1214" spans="1:30" x14ac:dyDescent="0.25">
      <c r="A1214" s="37">
        <v>46850</v>
      </c>
      <c r="B1214" s="41">
        <v>20000000</v>
      </c>
      <c r="C1214" s="41">
        <v>0</v>
      </c>
      <c r="D1214" s="41">
        <v>50000000</v>
      </c>
      <c r="E1214" s="41">
        <v>0</v>
      </c>
      <c r="F1214" s="41">
        <v>50000000</v>
      </c>
      <c r="G1214" s="41">
        <v>0</v>
      </c>
      <c r="H1214" s="41">
        <v>50000000</v>
      </c>
      <c r="I1214" s="41">
        <v>0</v>
      </c>
      <c r="J1214" s="41">
        <v>40000000</v>
      </c>
      <c r="K1214" s="41">
        <v>0</v>
      </c>
      <c r="L1214" s="41">
        <v>10000000</v>
      </c>
      <c r="M1214" s="41">
        <v>0</v>
      </c>
      <c r="N1214" s="41">
        <v>97991666.666667759</v>
      </c>
      <c r="O1214" s="41">
        <v>79166.666666666672</v>
      </c>
      <c r="P1214" s="41">
        <v>75000000</v>
      </c>
      <c r="Q1214" s="41">
        <v>0</v>
      </c>
      <c r="R1214" s="41">
        <v>50000000</v>
      </c>
      <c r="S1214" s="41">
        <v>0</v>
      </c>
      <c r="T1214" s="41">
        <v>35000000</v>
      </c>
      <c r="U1214" s="41">
        <v>0</v>
      </c>
      <c r="V1214" s="41">
        <v>477991666.66666782</v>
      </c>
      <c r="W1214" s="41">
        <v>79166.666666666672</v>
      </c>
      <c r="X1214" s="38">
        <f t="shared" si="108"/>
        <v>0.95598333333333563</v>
      </c>
      <c r="Y1214" s="39">
        <f t="shared" si="109"/>
        <v>1.5833333333333335E-4</v>
      </c>
      <c r="Z1214" s="39">
        <f t="shared" si="113"/>
        <v>1.6565096469890723E-4</v>
      </c>
      <c r="AA1214" s="41">
        <f t="shared" si="110"/>
        <v>22008333.333332181</v>
      </c>
      <c r="AB1214" s="39">
        <f t="shared" si="111"/>
        <v>3.5971223021584618E-3</v>
      </c>
      <c r="AC1214" s="38">
        <f t="shared" si="112"/>
        <v>0.18610806675075942</v>
      </c>
      <c r="AD1214" s="3"/>
    </row>
    <row r="1215" spans="1:30" x14ac:dyDescent="0.25">
      <c r="A1215" s="37">
        <v>46851</v>
      </c>
      <c r="B1215" s="41">
        <v>20000000</v>
      </c>
      <c r="C1215" s="41">
        <v>0</v>
      </c>
      <c r="D1215" s="41">
        <v>50000000</v>
      </c>
      <c r="E1215" s="41">
        <v>0</v>
      </c>
      <c r="F1215" s="41">
        <v>50000000</v>
      </c>
      <c r="G1215" s="41">
        <v>0</v>
      </c>
      <c r="H1215" s="41">
        <v>50000000</v>
      </c>
      <c r="I1215" s="41">
        <v>0</v>
      </c>
      <c r="J1215" s="41">
        <v>40000000</v>
      </c>
      <c r="K1215" s="41">
        <v>0</v>
      </c>
      <c r="L1215" s="41">
        <v>10000000</v>
      </c>
      <c r="M1215" s="41">
        <v>0</v>
      </c>
      <c r="N1215" s="41">
        <v>98070833.333334431</v>
      </c>
      <c r="O1215" s="41">
        <v>79166.666666666672</v>
      </c>
      <c r="P1215" s="41">
        <v>75000000</v>
      </c>
      <c r="Q1215" s="41">
        <v>0</v>
      </c>
      <c r="R1215" s="41">
        <v>50000000</v>
      </c>
      <c r="S1215" s="41">
        <v>0</v>
      </c>
      <c r="T1215" s="41">
        <v>35000000</v>
      </c>
      <c r="U1215" s="41">
        <v>0</v>
      </c>
      <c r="V1215" s="41">
        <v>478070833.33333439</v>
      </c>
      <c r="W1215" s="41">
        <v>79166.666666666672</v>
      </c>
      <c r="X1215" s="38">
        <f t="shared" si="108"/>
        <v>0.95614166666666878</v>
      </c>
      <c r="Y1215" s="39">
        <f t="shared" si="109"/>
        <v>1.5833333333333335E-4</v>
      </c>
      <c r="Z1215" s="39">
        <f t="shared" si="113"/>
        <v>1.6562352900155125E-4</v>
      </c>
      <c r="AA1215" s="41">
        <f t="shared" si="110"/>
        <v>21929166.666665614</v>
      </c>
      <c r="AB1215" s="39">
        <f t="shared" si="111"/>
        <v>3.6101083032492711E-3</v>
      </c>
      <c r="AC1215" s="38">
        <f t="shared" si="112"/>
        <v>0.18607151348501558</v>
      </c>
      <c r="AD1215" s="3"/>
    </row>
    <row r="1216" spans="1:30" x14ac:dyDescent="0.25">
      <c r="A1216" s="37">
        <v>46852</v>
      </c>
      <c r="B1216" s="41">
        <v>20000000</v>
      </c>
      <c r="C1216" s="41">
        <v>0</v>
      </c>
      <c r="D1216" s="41">
        <v>50000000</v>
      </c>
      <c r="E1216" s="41">
        <v>0</v>
      </c>
      <c r="F1216" s="41">
        <v>50000000</v>
      </c>
      <c r="G1216" s="41">
        <v>0</v>
      </c>
      <c r="H1216" s="41">
        <v>50000000</v>
      </c>
      <c r="I1216" s="41">
        <v>0</v>
      </c>
      <c r="J1216" s="41">
        <v>40000000</v>
      </c>
      <c r="K1216" s="41">
        <v>0</v>
      </c>
      <c r="L1216" s="41">
        <v>10000000</v>
      </c>
      <c r="M1216" s="41">
        <v>0</v>
      </c>
      <c r="N1216" s="41">
        <v>98150000.000001103</v>
      </c>
      <c r="O1216" s="41">
        <v>79166.666666666672</v>
      </c>
      <c r="P1216" s="41">
        <v>75000000</v>
      </c>
      <c r="Q1216" s="41">
        <v>0</v>
      </c>
      <c r="R1216" s="41">
        <v>50000000</v>
      </c>
      <c r="S1216" s="41">
        <v>0</v>
      </c>
      <c r="T1216" s="41">
        <v>35000000</v>
      </c>
      <c r="U1216" s="41">
        <v>0</v>
      </c>
      <c r="V1216" s="41">
        <v>478150000.00000107</v>
      </c>
      <c r="W1216" s="41">
        <v>79166.666666666672</v>
      </c>
      <c r="X1216" s="38">
        <f t="shared" si="108"/>
        <v>0.95630000000000215</v>
      </c>
      <c r="Y1216" s="39">
        <f t="shared" si="109"/>
        <v>1.5833333333333335E-4</v>
      </c>
      <c r="Z1216" s="39">
        <f t="shared" si="113"/>
        <v>1.6559610239068442E-4</v>
      </c>
      <c r="AA1216" s="41">
        <f t="shared" si="110"/>
        <v>21849999.999998927</v>
      </c>
      <c r="AB1216" s="39">
        <f t="shared" si="111"/>
        <v>3.6231884057972797E-3</v>
      </c>
      <c r="AC1216" s="38">
        <f t="shared" si="112"/>
        <v>0.18603497457521964</v>
      </c>
      <c r="AD1216" s="3"/>
    </row>
    <row r="1217" spans="1:30" x14ac:dyDescent="0.25">
      <c r="A1217" s="37">
        <v>46853</v>
      </c>
      <c r="B1217" s="41">
        <v>20000000</v>
      </c>
      <c r="C1217" s="41">
        <v>0</v>
      </c>
      <c r="D1217" s="41">
        <v>50000000</v>
      </c>
      <c r="E1217" s="41">
        <v>0</v>
      </c>
      <c r="F1217" s="41">
        <v>50000000</v>
      </c>
      <c r="G1217" s="41">
        <v>0</v>
      </c>
      <c r="H1217" s="41">
        <v>50000000</v>
      </c>
      <c r="I1217" s="41">
        <v>0</v>
      </c>
      <c r="J1217" s="41">
        <v>40000000</v>
      </c>
      <c r="K1217" s="41">
        <v>0</v>
      </c>
      <c r="L1217" s="41">
        <v>10000000</v>
      </c>
      <c r="M1217" s="41">
        <v>0</v>
      </c>
      <c r="N1217" s="41">
        <v>98229166.666667774</v>
      </c>
      <c r="O1217" s="41">
        <v>79166.666666666672</v>
      </c>
      <c r="P1217" s="41">
        <v>75000000</v>
      </c>
      <c r="Q1217" s="41">
        <v>0</v>
      </c>
      <c r="R1217" s="41">
        <v>50000000</v>
      </c>
      <c r="S1217" s="41">
        <v>0</v>
      </c>
      <c r="T1217" s="41">
        <v>35000000</v>
      </c>
      <c r="U1217" s="41">
        <v>0</v>
      </c>
      <c r="V1217" s="41">
        <v>478229166.66666782</v>
      </c>
      <c r="W1217" s="41">
        <v>79166.666666666672</v>
      </c>
      <c r="X1217" s="38">
        <f t="shared" si="108"/>
        <v>0.95645833333333563</v>
      </c>
      <c r="Y1217" s="39">
        <f t="shared" si="109"/>
        <v>1.5833333333333335E-4</v>
      </c>
      <c r="Z1217" s="39">
        <f t="shared" si="113"/>
        <v>1.6556868486179336E-4</v>
      </c>
      <c r="AA1217" s="41">
        <f t="shared" si="110"/>
        <v>21770833.333332181</v>
      </c>
      <c r="AB1217" s="39">
        <f t="shared" si="111"/>
        <v>3.6363636363638289E-3</v>
      </c>
      <c r="AC1217" s="38">
        <f t="shared" si="112"/>
        <v>0.18599845001291604</v>
      </c>
      <c r="AD1217" s="3"/>
    </row>
    <row r="1218" spans="1:30" x14ac:dyDescent="0.25">
      <c r="A1218" s="37">
        <v>46854</v>
      </c>
      <c r="B1218" s="41">
        <v>20000000</v>
      </c>
      <c r="C1218" s="41">
        <v>0</v>
      </c>
      <c r="D1218" s="41">
        <v>50000000</v>
      </c>
      <c r="E1218" s="41">
        <v>0</v>
      </c>
      <c r="F1218" s="41">
        <v>50000000</v>
      </c>
      <c r="G1218" s="41">
        <v>0</v>
      </c>
      <c r="H1218" s="41">
        <v>50000000</v>
      </c>
      <c r="I1218" s="41">
        <v>0</v>
      </c>
      <c r="J1218" s="41">
        <v>40000000</v>
      </c>
      <c r="K1218" s="41">
        <v>0</v>
      </c>
      <c r="L1218" s="41">
        <v>10000000</v>
      </c>
      <c r="M1218" s="41">
        <v>0</v>
      </c>
      <c r="N1218" s="41">
        <v>98308333.333334446</v>
      </c>
      <c r="O1218" s="41">
        <v>79166.666666666672</v>
      </c>
      <c r="P1218" s="41">
        <v>75000000</v>
      </c>
      <c r="Q1218" s="41">
        <v>0</v>
      </c>
      <c r="R1218" s="41">
        <v>50000000</v>
      </c>
      <c r="S1218" s="41">
        <v>0</v>
      </c>
      <c r="T1218" s="41">
        <v>35000000</v>
      </c>
      <c r="U1218" s="41">
        <v>0</v>
      </c>
      <c r="V1218" s="41">
        <v>478308333.33333439</v>
      </c>
      <c r="W1218" s="41">
        <v>79166.666666666672</v>
      </c>
      <c r="X1218" s="38">
        <f t="shared" si="108"/>
        <v>0.95661666666666878</v>
      </c>
      <c r="Y1218" s="39">
        <f t="shared" si="109"/>
        <v>1.5833333333333335E-4</v>
      </c>
      <c r="Z1218" s="39">
        <f t="shared" si="113"/>
        <v>1.6554127641036772E-4</v>
      </c>
      <c r="AA1218" s="41">
        <f t="shared" si="110"/>
        <v>21691666.666665614</v>
      </c>
      <c r="AB1218" s="39">
        <f t="shared" si="111"/>
        <v>3.6496350364965276E-3</v>
      </c>
      <c r="AC1218" s="38">
        <f t="shared" si="112"/>
        <v>0.18596193978965589</v>
      </c>
      <c r="AD1218" s="3"/>
    </row>
    <row r="1219" spans="1:30" x14ac:dyDescent="0.25">
      <c r="A1219" s="37">
        <v>46855</v>
      </c>
      <c r="B1219" s="41">
        <v>20000000</v>
      </c>
      <c r="C1219" s="41">
        <v>0</v>
      </c>
      <c r="D1219" s="41">
        <v>50000000</v>
      </c>
      <c r="E1219" s="41">
        <v>0</v>
      </c>
      <c r="F1219" s="41">
        <v>50000000</v>
      </c>
      <c r="G1219" s="41">
        <v>0</v>
      </c>
      <c r="H1219" s="41">
        <v>50000000</v>
      </c>
      <c r="I1219" s="41">
        <v>0</v>
      </c>
      <c r="J1219" s="41">
        <v>40000000</v>
      </c>
      <c r="K1219" s="41">
        <v>0</v>
      </c>
      <c r="L1219" s="41">
        <v>10000000</v>
      </c>
      <c r="M1219" s="41">
        <v>0</v>
      </c>
      <c r="N1219" s="41">
        <v>98387500.000001118</v>
      </c>
      <c r="O1219" s="41">
        <v>79166.666666666672</v>
      </c>
      <c r="P1219" s="41">
        <v>75000000</v>
      </c>
      <c r="Q1219" s="41">
        <v>0</v>
      </c>
      <c r="R1219" s="41">
        <v>50000000</v>
      </c>
      <c r="S1219" s="41">
        <v>0</v>
      </c>
      <c r="T1219" s="41">
        <v>35000000</v>
      </c>
      <c r="U1219" s="41">
        <v>0</v>
      </c>
      <c r="V1219" s="41">
        <v>478387500.00000107</v>
      </c>
      <c r="W1219" s="41">
        <v>79166.666666666672</v>
      </c>
      <c r="X1219" s="38">
        <f t="shared" si="108"/>
        <v>0.95677500000000215</v>
      </c>
      <c r="Y1219" s="39">
        <f t="shared" si="109"/>
        <v>1.5833333333333335E-4</v>
      </c>
      <c r="Z1219" s="39">
        <f t="shared" si="113"/>
        <v>1.6551387703190026E-4</v>
      </c>
      <c r="AA1219" s="41">
        <f t="shared" si="110"/>
        <v>21612499.999998927</v>
      </c>
      <c r="AB1219" s="39">
        <f t="shared" si="111"/>
        <v>3.6630036630038451E-3</v>
      </c>
      <c r="AC1219" s="38">
        <f t="shared" si="112"/>
        <v>0.18592544389699681</v>
      </c>
      <c r="AD1219" s="3"/>
    </row>
    <row r="1220" spans="1:30" x14ac:dyDescent="0.25">
      <c r="A1220" s="37">
        <v>46856</v>
      </c>
      <c r="B1220" s="41">
        <v>20000000</v>
      </c>
      <c r="C1220" s="41">
        <v>0</v>
      </c>
      <c r="D1220" s="41">
        <v>50000000</v>
      </c>
      <c r="E1220" s="41">
        <v>0</v>
      </c>
      <c r="F1220" s="41">
        <v>50000000</v>
      </c>
      <c r="G1220" s="41">
        <v>0</v>
      </c>
      <c r="H1220" s="41">
        <v>50000000</v>
      </c>
      <c r="I1220" s="41">
        <v>0</v>
      </c>
      <c r="J1220" s="41">
        <v>40000000</v>
      </c>
      <c r="K1220" s="41">
        <v>0</v>
      </c>
      <c r="L1220" s="41">
        <v>10000000</v>
      </c>
      <c r="M1220" s="41">
        <v>0</v>
      </c>
      <c r="N1220" s="41">
        <v>98466666.666667789</v>
      </c>
      <c r="O1220" s="41">
        <v>79166.666666666672</v>
      </c>
      <c r="P1220" s="41">
        <v>75000000</v>
      </c>
      <c r="Q1220" s="41">
        <v>0</v>
      </c>
      <c r="R1220" s="41">
        <v>50000000</v>
      </c>
      <c r="S1220" s="41">
        <v>0</v>
      </c>
      <c r="T1220" s="41">
        <v>35000000</v>
      </c>
      <c r="U1220" s="41">
        <v>0</v>
      </c>
      <c r="V1220" s="41">
        <v>478466666.66666782</v>
      </c>
      <c r="W1220" s="41">
        <v>79166.666666666672</v>
      </c>
      <c r="X1220" s="38">
        <f t="shared" si="108"/>
        <v>0.95693333333333563</v>
      </c>
      <c r="Y1220" s="39">
        <f t="shared" si="109"/>
        <v>1.5833333333333335E-4</v>
      </c>
      <c r="Z1220" s="39">
        <f t="shared" si="113"/>
        <v>1.6548648672188654E-4</v>
      </c>
      <c r="AA1220" s="41">
        <f t="shared" si="110"/>
        <v>21533333.333332181</v>
      </c>
      <c r="AB1220" s="39">
        <f t="shared" si="111"/>
        <v>3.676470588235491E-3</v>
      </c>
      <c r="AC1220" s="38">
        <f t="shared" si="112"/>
        <v>0.18588896232650309</v>
      </c>
      <c r="AD1220" s="3"/>
    </row>
    <row r="1221" spans="1:30" x14ac:dyDescent="0.25">
      <c r="A1221" s="37">
        <v>46857</v>
      </c>
      <c r="B1221" s="41">
        <v>20000000</v>
      </c>
      <c r="C1221" s="41">
        <v>0</v>
      </c>
      <c r="D1221" s="41">
        <v>50000000</v>
      </c>
      <c r="E1221" s="41">
        <v>0</v>
      </c>
      <c r="F1221" s="41">
        <v>50000000</v>
      </c>
      <c r="G1221" s="41">
        <v>0</v>
      </c>
      <c r="H1221" s="41">
        <v>50000000</v>
      </c>
      <c r="I1221" s="41">
        <v>0</v>
      </c>
      <c r="J1221" s="41">
        <v>40000000</v>
      </c>
      <c r="K1221" s="41">
        <v>0</v>
      </c>
      <c r="L1221" s="41">
        <v>10000000</v>
      </c>
      <c r="M1221" s="41">
        <v>0</v>
      </c>
      <c r="N1221" s="41">
        <v>98545833.333334461</v>
      </c>
      <c r="O1221" s="41">
        <v>79166.666666666672</v>
      </c>
      <c r="P1221" s="41">
        <v>75000000</v>
      </c>
      <c r="Q1221" s="41">
        <v>0</v>
      </c>
      <c r="R1221" s="41">
        <v>50000000</v>
      </c>
      <c r="S1221" s="41">
        <v>0</v>
      </c>
      <c r="T1221" s="41">
        <v>35000000</v>
      </c>
      <c r="U1221" s="41">
        <v>0</v>
      </c>
      <c r="V1221" s="41">
        <v>478545833.33333439</v>
      </c>
      <c r="W1221" s="41">
        <v>79166.666666666672</v>
      </c>
      <c r="X1221" s="38">
        <f t="shared" si="108"/>
        <v>0.95709166666666878</v>
      </c>
      <c r="Y1221" s="39">
        <f t="shared" si="109"/>
        <v>1.5833333333333335E-4</v>
      </c>
      <c r="Z1221" s="39">
        <f t="shared" si="113"/>
        <v>1.6545910547582517E-4</v>
      </c>
      <c r="AA1221" s="41">
        <f t="shared" si="110"/>
        <v>21454166.666665614</v>
      </c>
      <c r="AB1221" s="39">
        <f t="shared" si="111"/>
        <v>3.6900369003691849E-3</v>
      </c>
      <c r="AC1221" s="38">
        <f t="shared" si="112"/>
        <v>0.18585249506974583</v>
      </c>
      <c r="AD1221" s="3"/>
    </row>
    <row r="1222" spans="1:30" x14ac:dyDescent="0.25">
      <c r="A1222" s="37">
        <v>46858</v>
      </c>
      <c r="B1222" s="41">
        <v>20000000</v>
      </c>
      <c r="C1222" s="41">
        <v>0</v>
      </c>
      <c r="D1222" s="41">
        <v>50000000</v>
      </c>
      <c r="E1222" s="41">
        <v>0</v>
      </c>
      <c r="F1222" s="41">
        <v>50000000</v>
      </c>
      <c r="G1222" s="41">
        <v>0</v>
      </c>
      <c r="H1222" s="41">
        <v>50000000</v>
      </c>
      <c r="I1222" s="41">
        <v>0</v>
      </c>
      <c r="J1222" s="41">
        <v>40000000</v>
      </c>
      <c r="K1222" s="41">
        <v>0</v>
      </c>
      <c r="L1222" s="41">
        <v>10000000</v>
      </c>
      <c r="M1222" s="41">
        <v>0</v>
      </c>
      <c r="N1222" s="41">
        <v>98625000.000001132</v>
      </c>
      <c r="O1222" s="41">
        <v>79166.666666666672</v>
      </c>
      <c r="P1222" s="41">
        <v>75000000</v>
      </c>
      <c r="Q1222" s="41">
        <v>0</v>
      </c>
      <c r="R1222" s="41">
        <v>50000000</v>
      </c>
      <c r="S1222" s="41">
        <v>0</v>
      </c>
      <c r="T1222" s="41">
        <v>35000000</v>
      </c>
      <c r="U1222" s="41">
        <v>0</v>
      </c>
      <c r="V1222" s="41">
        <v>478625000.00000107</v>
      </c>
      <c r="W1222" s="41">
        <v>79166.666666666672</v>
      </c>
      <c r="X1222" s="38">
        <f t="shared" si="108"/>
        <v>0.95725000000000215</v>
      </c>
      <c r="Y1222" s="39">
        <f t="shared" si="109"/>
        <v>1.5833333333333335E-4</v>
      </c>
      <c r="Z1222" s="39">
        <f t="shared" si="113"/>
        <v>1.6543173328921785E-4</v>
      </c>
      <c r="AA1222" s="41">
        <f t="shared" si="110"/>
        <v>21374999.999998927</v>
      </c>
      <c r="AB1222" s="39">
        <f t="shared" si="111"/>
        <v>3.7037037037038899E-3</v>
      </c>
      <c r="AC1222" s="38">
        <f t="shared" si="112"/>
        <v>0.18581604211830238</v>
      </c>
      <c r="AD1222" s="3"/>
    </row>
    <row r="1223" spans="1:30" x14ac:dyDescent="0.25">
      <c r="A1223" s="37">
        <v>46859</v>
      </c>
      <c r="B1223" s="41">
        <v>20000000</v>
      </c>
      <c r="C1223" s="41">
        <v>0</v>
      </c>
      <c r="D1223" s="41">
        <v>50000000</v>
      </c>
      <c r="E1223" s="41">
        <v>0</v>
      </c>
      <c r="F1223" s="41">
        <v>50000000</v>
      </c>
      <c r="G1223" s="41">
        <v>0</v>
      </c>
      <c r="H1223" s="41">
        <v>50000000</v>
      </c>
      <c r="I1223" s="41">
        <v>0</v>
      </c>
      <c r="J1223" s="41">
        <v>40000000</v>
      </c>
      <c r="K1223" s="41">
        <v>0</v>
      </c>
      <c r="L1223" s="41">
        <v>10000000</v>
      </c>
      <c r="M1223" s="41">
        <v>0</v>
      </c>
      <c r="N1223" s="41">
        <v>98704166.666667804</v>
      </c>
      <c r="O1223" s="41">
        <v>79166.666666666672</v>
      </c>
      <c r="P1223" s="41">
        <v>75000000</v>
      </c>
      <c r="Q1223" s="41">
        <v>0</v>
      </c>
      <c r="R1223" s="41">
        <v>50000000</v>
      </c>
      <c r="S1223" s="41">
        <v>0</v>
      </c>
      <c r="T1223" s="41">
        <v>35000000</v>
      </c>
      <c r="U1223" s="41">
        <v>0</v>
      </c>
      <c r="V1223" s="41">
        <v>478704166.66666782</v>
      </c>
      <c r="W1223" s="41">
        <v>79166.666666666672</v>
      </c>
      <c r="X1223" s="38">
        <f t="shared" si="108"/>
        <v>0.95740833333333564</v>
      </c>
      <c r="Y1223" s="39">
        <f t="shared" si="109"/>
        <v>1.5833333333333335E-4</v>
      </c>
      <c r="Z1223" s="39">
        <f t="shared" si="113"/>
        <v>1.6540437015756906E-4</v>
      </c>
      <c r="AA1223" s="41">
        <f t="shared" si="110"/>
        <v>21295833.333332181</v>
      </c>
      <c r="AB1223" s="39">
        <f t="shared" si="111"/>
        <v>3.7174721189593093E-3</v>
      </c>
      <c r="AC1223" s="38">
        <f t="shared" si="112"/>
        <v>0.18577960346375696</v>
      </c>
      <c r="AD1223" s="3"/>
    </row>
    <row r="1224" spans="1:30" x14ac:dyDescent="0.25">
      <c r="A1224" s="37">
        <v>46860</v>
      </c>
      <c r="B1224" s="41">
        <v>20000000</v>
      </c>
      <c r="C1224" s="41">
        <v>0</v>
      </c>
      <c r="D1224" s="41">
        <v>50000000</v>
      </c>
      <c r="E1224" s="41">
        <v>0</v>
      </c>
      <c r="F1224" s="41">
        <v>50000000</v>
      </c>
      <c r="G1224" s="41">
        <v>0</v>
      </c>
      <c r="H1224" s="41">
        <v>50000000</v>
      </c>
      <c r="I1224" s="41">
        <v>0</v>
      </c>
      <c r="J1224" s="41">
        <v>40000000</v>
      </c>
      <c r="K1224" s="41">
        <v>0</v>
      </c>
      <c r="L1224" s="41">
        <v>10000000</v>
      </c>
      <c r="M1224" s="41">
        <v>0</v>
      </c>
      <c r="N1224" s="41">
        <v>98783333.333334476</v>
      </c>
      <c r="O1224" s="41">
        <v>79166.666666666672</v>
      </c>
      <c r="P1224" s="41">
        <v>75000000</v>
      </c>
      <c r="Q1224" s="41">
        <v>0</v>
      </c>
      <c r="R1224" s="41">
        <v>50000000</v>
      </c>
      <c r="S1224" s="41">
        <v>0</v>
      </c>
      <c r="T1224" s="41">
        <v>35000000</v>
      </c>
      <c r="U1224" s="41">
        <v>0</v>
      </c>
      <c r="V1224" s="41">
        <v>478783333.33333439</v>
      </c>
      <c r="W1224" s="41">
        <v>79166.666666666672</v>
      </c>
      <c r="X1224" s="38">
        <f t="shared" si="108"/>
        <v>0.95756666666666879</v>
      </c>
      <c r="Y1224" s="39">
        <f t="shared" si="109"/>
        <v>1.5833333333333335E-4</v>
      </c>
      <c r="Z1224" s="39">
        <f t="shared" si="113"/>
        <v>1.653770160763864E-4</v>
      </c>
      <c r="AA1224" s="41">
        <f t="shared" si="110"/>
        <v>21216666.666665614</v>
      </c>
      <c r="AB1224" s="39">
        <f t="shared" si="111"/>
        <v>3.7313432835822751E-3</v>
      </c>
      <c r="AC1224" s="38">
        <f t="shared" si="112"/>
        <v>0.18574317909770044</v>
      </c>
      <c r="AD1224" s="3"/>
    </row>
    <row r="1225" spans="1:30" x14ac:dyDescent="0.25">
      <c r="A1225" s="37">
        <v>46861</v>
      </c>
      <c r="B1225" s="41">
        <v>20000000</v>
      </c>
      <c r="C1225" s="41">
        <v>0</v>
      </c>
      <c r="D1225" s="41">
        <v>50000000</v>
      </c>
      <c r="E1225" s="41">
        <v>0</v>
      </c>
      <c r="F1225" s="41">
        <v>50000000</v>
      </c>
      <c r="G1225" s="41">
        <v>0</v>
      </c>
      <c r="H1225" s="41">
        <v>50000000</v>
      </c>
      <c r="I1225" s="41">
        <v>0</v>
      </c>
      <c r="J1225" s="41">
        <v>40000000</v>
      </c>
      <c r="K1225" s="41">
        <v>0</v>
      </c>
      <c r="L1225" s="41">
        <v>10000000</v>
      </c>
      <c r="M1225" s="41">
        <v>0</v>
      </c>
      <c r="N1225" s="41">
        <v>98862500.000001147</v>
      </c>
      <c r="O1225" s="41">
        <v>79166.666666666672</v>
      </c>
      <c r="P1225" s="41">
        <v>75000000</v>
      </c>
      <c r="Q1225" s="41">
        <v>0</v>
      </c>
      <c r="R1225" s="41">
        <v>50000000</v>
      </c>
      <c r="S1225" s="41">
        <v>0</v>
      </c>
      <c r="T1225" s="41">
        <v>35000000</v>
      </c>
      <c r="U1225" s="41">
        <v>0</v>
      </c>
      <c r="V1225" s="41">
        <v>478862500.00000107</v>
      </c>
      <c r="W1225" s="41">
        <v>79166.666666666672</v>
      </c>
      <c r="X1225" s="38">
        <f t="shared" si="108"/>
        <v>0.95772500000000216</v>
      </c>
      <c r="Y1225" s="39">
        <f t="shared" si="109"/>
        <v>1.5833333333333335E-4</v>
      </c>
      <c r="Z1225" s="39">
        <f t="shared" si="113"/>
        <v>1.653496710411804E-4</v>
      </c>
      <c r="AA1225" s="41">
        <f t="shared" si="110"/>
        <v>21137499.999998927</v>
      </c>
      <c r="AB1225" s="39">
        <f t="shared" si="111"/>
        <v>3.7453183520601155E-3</v>
      </c>
      <c r="AC1225" s="38">
        <f t="shared" si="112"/>
        <v>0.18570676901172997</v>
      </c>
      <c r="AD1225" s="3"/>
    </row>
    <row r="1226" spans="1:30" x14ac:dyDescent="0.25">
      <c r="A1226" s="37">
        <v>46862</v>
      </c>
      <c r="B1226" s="41">
        <v>20000000</v>
      </c>
      <c r="C1226" s="41">
        <v>0</v>
      </c>
      <c r="D1226" s="41">
        <v>50000000</v>
      </c>
      <c r="E1226" s="41">
        <v>0</v>
      </c>
      <c r="F1226" s="41">
        <v>50000000</v>
      </c>
      <c r="G1226" s="41">
        <v>0</v>
      </c>
      <c r="H1226" s="41">
        <v>50000000</v>
      </c>
      <c r="I1226" s="41">
        <v>0</v>
      </c>
      <c r="J1226" s="41">
        <v>40000000</v>
      </c>
      <c r="K1226" s="41">
        <v>0</v>
      </c>
      <c r="L1226" s="41">
        <v>10000000</v>
      </c>
      <c r="M1226" s="41">
        <v>0</v>
      </c>
      <c r="N1226" s="41">
        <v>98941666.666667819</v>
      </c>
      <c r="O1226" s="41">
        <v>79166.666666666672</v>
      </c>
      <c r="P1226" s="41">
        <v>75000000</v>
      </c>
      <c r="Q1226" s="41">
        <v>0</v>
      </c>
      <c r="R1226" s="41">
        <v>50000000</v>
      </c>
      <c r="S1226" s="41">
        <v>0</v>
      </c>
      <c r="T1226" s="41">
        <v>35000000</v>
      </c>
      <c r="U1226" s="41">
        <v>0</v>
      </c>
      <c r="V1226" s="41">
        <v>478941666.66666782</v>
      </c>
      <c r="W1226" s="41">
        <v>79166.666666666672</v>
      </c>
      <c r="X1226" s="38">
        <f t="shared" si="108"/>
        <v>0.95788333333333564</v>
      </c>
      <c r="Y1226" s="39">
        <f t="shared" si="109"/>
        <v>1.5833333333333335E-4</v>
      </c>
      <c r="Z1226" s="39">
        <f t="shared" si="113"/>
        <v>1.6532233504746455E-4</v>
      </c>
      <c r="AA1226" s="41">
        <f t="shared" si="110"/>
        <v>21058333.333332181</v>
      </c>
      <c r="AB1226" s="39">
        <f t="shared" si="111"/>
        <v>3.7593984962408073E-3</v>
      </c>
      <c r="AC1226" s="38">
        <f t="shared" si="112"/>
        <v>0.18567037319744958</v>
      </c>
      <c r="AD1226" s="3"/>
    </row>
    <row r="1227" spans="1:30" x14ac:dyDescent="0.25">
      <c r="A1227" s="37">
        <v>46863</v>
      </c>
      <c r="B1227" s="41">
        <v>20000000</v>
      </c>
      <c r="C1227" s="41">
        <v>0</v>
      </c>
      <c r="D1227" s="41">
        <v>50000000</v>
      </c>
      <c r="E1227" s="41">
        <v>0</v>
      </c>
      <c r="F1227" s="41">
        <v>50000000</v>
      </c>
      <c r="G1227" s="41">
        <v>0</v>
      </c>
      <c r="H1227" s="41">
        <v>50000000</v>
      </c>
      <c r="I1227" s="41">
        <v>0</v>
      </c>
      <c r="J1227" s="41">
        <v>40000000</v>
      </c>
      <c r="K1227" s="41">
        <v>0</v>
      </c>
      <c r="L1227" s="41">
        <v>10000000</v>
      </c>
      <c r="M1227" s="41">
        <v>0</v>
      </c>
      <c r="N1227" s="41">
        <v>99020833.333334491</v>
      </c>
      <c r="O1227" s="41">
        <v>79166.666666666672</v>
      </c>
      <c r="P1227" s="41">
        <v>75000000</v>
      </c>
      <c r="Q1227" s="41">
        <v>0</v>
      </c>
      <c r="R1227" s="41">
        <v>50000000</v>
      </c>
      <c r="S1227" s="41">
        <v>0</v>
      </c>
      <c r="T1227" s="41">
        <v>35000000</v>
      </c>
      <c r="U1227" s="41">
        <v>0</v>
      </c>
      <c r="V1227" s="41">
        <v>479020833.33333451</v>
      </c>
      <c r="W1227" s="41">
        <v>79166.666666666672</v>
      </c>
      <c r="X1227" s="38">
        <f t="shared" si="108"/>
        <v>0.95804166666666901</v>
      </c>
      <c r="Y1227" s="39">
        <f t="shared" si="109"/>
        <v>1.5833333333333335E-4</v>
      </c>
      <c r="Z1227" s="39">
        <f t="shared" si="113"/>
        <v>1.6529500809075526E-4</v>
      </c>
      <c r="AA1227" s="41">
        <f t="shared" si="110"/>
        <v>20979166.666665494</v>
      </c>
      <c r="AB1227" s="39">
        <f t="shared" si="111"/>
        <v>3.7735849056605886E-3</v>
      </c>
      <c r="AC1227" s="38">
        <f t="shared" si="112"/>
        <v>0.18563399164646985</v>
      </c>
      <c r="AD1227" s="3"/>
    </row>
    <row r="1228" spans="1:30" x14ac:dyDescent="0.25">
      <c r="A1228" s="37">
        <v>46864</v>
      </c>
      <c r="B1228" s="41">
        <v>20000000</v>
      </c>
      <c r="C1228" s="41">
        <v>0</v>
      </c>
      <c r="D1228" s="41">
        <v>50000000</v>
      </c>
      <c r="E1228" s="41">
        <v>0</v>
      </c>
      <c r="F1228" s="41">
        <v>50000000</v>
      </c>
      <c r="G1228" s="41">
        <v>0</v>
      </c>
      <c r="H1228" s="41">
        <v>50000000</v>
      </c>
      <c r="I1228" s="41">
        <v>0</v>
      </c>
      <c r="J1228" s="41">
        <v>40000000</v>
      </c>
      <c r="K1228" s="41">
        <v>0</v>
      </c>
      <c r="L1228" s="41">
        <v>10000000</v>
      </c>
      <c r="M1228" s="41">
        <v>0</v>
      </c>
      <c r="N1228" s="41">
        <v>99100000.000001162</v>
      </c>
      <c r="O1228" s="41">
        <v>79166.666666666672</v>
      </c>
      <c r="P1228" s="41">
        <v>75000000</v>
      </c>
      <c r="Q1228" s="41">
        <v>0</v>
      </c>
      <c r="R1228" s="41">
        <v>50000000</v>
      </c>
      <c r="S1228" s="41">
        <v>0</v>
      </c>
      <c r="T1228" s="41">
        <v>35000000</v>
      </c>
      <c r="U1228" s="41">
        <v>0</v>
      </c>
      <c r="V1228" s="41">
        <v>479100000.00000119</v>
      </c>
      <c r="W1228" s="41">
        <v>79166.666666666672</v>
      </c>
      <c r="X1228" s="38">
        <f t="shared" si="108"/>
        <v>0.95820000000000238</v>
      </c>
      <c r="Y1228" s="39">
        <f t="shared" si="109"/>
        <v>1.5833333333333335E-4</v>
      </c>
      <c r="Z1228" s="39">
        <f t="shared" si="113"/>
        <v>1.6526769016657203E-4</v>
      </c>
      <c r="AA1228" s="41">
        <f t="shared" si="110"/>
        <v>20899999.999998808</v>
      </c>
      <c r="AB1228" s="39">
        <f t="shared" si="111"/>
        <v>3.787878787879004E-3</v>
      </c>
      <c r="AC1228" s="38">
        <f t="shared" si="112"/>
        <v>0.18559762435040777</v>
      </c>
      <c r="AD1228" s="3"/>
    </row>
    <row r="1229" spans="1:30" x14ac:dyDescent="0.25">
      <c r="A1229" s="37">
        <v>46865</v>
      </c>
      <c r="B1229" s="41">
        <v>20000000</v>
      </c>
      <c r="C1229" s="41">
        <v>0</v>
      </c>
      <c r="D1229" s="41">
        <v>50000000</v>
      </c>
      <c r="E1229" s="41">
        <v>0</v>
      </c>
      <c r="F1229" s="41">
        <v>50000000</v>
      </c>
      <c r="G1229" s="41">
        <v>0</v>
      </c>
      <c r="H1229" s="41">
        <v>50000000</v>
      </c>
      <c r="I1229" s="41">
        <v>0</v>
      </c>
      <c r="J1229" s="41">
        <v>40000000</v>
      </c>
      <c r="K1229" s="41">
        <v>0</v>
      </c>
      <c r="L1229" s="41">
        <v>10000000</v>
      </c>
      <c r="M1229" s="41">
        <v>0</v>
      </c>
      <c r="N1229" s="41">
        <v>99179166.666667834</v>
      </c>
      <c r="O1229" s="41">
        <v>79166.666666666672</v>
      </c>
      <c r="P1229" s="41">
        <v>75000000</v>
      </c>
      <c r="Q1229" s="41">
        <v>0</v>
      </c>
      <c r="R1229" s="41">
        <v>50000000</v>
      </c>
      <c r="S1229" s="41">
        <v>0</v>
      </c>
      <c r="T1229" s="41">
        <v>35000000</v>
      </c>
      <c r="U1229" s="41">
        <v>0</v>
      </c>
      <c r="V1229" s="41">
        <v>479179166.66666782</v>
      </c>
      <c r="W1229" s="41">
        <v>79166.666666666672</v>
      </c>
      <c r="X1229" s="38">
        <f t="shared" si="108"/>
        <v>0.95835833333333564</v>
      </c>
      <c r="Y1229" s="39">
        <f t="shared" si="109"/>
        <v>1.5833333333333335E-4</v>
      </c>
      <c r="Z1229" s="39">
        <f t="shared" si="113"/>
        <v>1.6524038127043722E-4</v>
      </c>
      <c r="AA1229" s="41">
        <f t="shared" si="110"/>
        <v>20820833.333332181</v>
      </c>
      <c r="AB1229" s="39">
        <f t="shared" si="111"/>
        <v>3.8022813688215035E-3</v>
      </c>
      <c r="AC1229" s="38">
        <f t="shared" si="112"/>
        <v>0.18556127130088707</v>
      </c>
      <c r="AD1229" s="3"/>
    </row>
    <row r="1230" spans="1:30" x14ac:dyDescent="0.25">
      <c r="A1230" s="37">
        <v>46866</v>
      </c>
      <c r="B1230" s="41">
        <v>20000000</v>
      </c>
      <c r="C1230" s="41">
        <v>0</v>
      </c>
      <c r="D1230" s="41">
        <v>50000000</v>
      </c>
      <c r="E1230" s="41">
        <v>0</v>
      </c>
      <c r="F1230" s="41">
        <v>50000000</v>
      </c>
      <c r="G1230" s="41">
        <v>0</v>
      </c>
      <c r="H1230" s="41">
        <v>50000000</v>
      </c>
      <c r="I1230" s="41">
        <v>0</v>
      </c>
      <c r="J1230" s="41">
        <v>40000000</v>
      </c>
      <c r="K1230" s="41">
        <v>0</v>
      </c>
      <c r="L1230" s="41">
        <v>10000000</v>
      </c>
      <c r="M1230" s="41">
        <v>0</v>
      </c>
      <c r="N1230" s="41">
        <v>99258333.333334506</v>
      </c>
      <c r="O1230" s="41">
        <v>79166.666666666672</v>
      </c>
      <c r="P1230" s="41">
        <v>75000000</v>
      </c>
      <c r="Q1230" s="41">
        <v>0</v>
      </c>
      <c r="R1230" s="41">
        <v>50000000</v>
      </c>
      <c r="S1230" s="41">
        <v>0</v>
      </c>
      <c r="T1230" s="41">
        <v>35000000</v>
      </c>
      <c r="U1230" s="41">
        <v>0</v>
      </c>
      <c r="V1230" s="41">
        <v>479258333.33333451</v>
      </c>
      <c r="W1230" s="41">
        <v>79166.666666666672</v>
      </c>
      <c r="X1230" s="38">
        <f t="shared" si="108"/>
        <v>0.95851666666666901</v>
      </c>
      <c r="Y1230" s="39">
        <f t="shared" si="109"/>
        <v>1.5833333333333335E-4</v>
      </c>
      <c r="Z1230" s="39">
        <f t="shared" si="113"/>
        <v>1.652130813978762E-4</v>
      </c>
      <c r="AA1230" s="41">
        <f t="shared" si="110"/>
        <v>20741666.666665494</v>
      </c>
      <c r="AB1230" s="39">
        <f t="shared" si="111"/>
        <v>3.8167938931299868E-3</v>
      </c>
      <c r="AC1230" s="38">
        <f t="shared" si="112"/>
        <v>0.18552493248953791</v>
      </c>
      <c r="AD1230" s="3"/>
    </row>
    <row r="1231" spans="1:30" x14ac:dyDescent="0.25">
      <c r="A1231" s="37">
        <v>46867</v>
      </c>
      <c r="B1231" s="41">
        <v>20000000</v>
      </c>
      <c r="C1231" s="41">
        <v>0</v>
      </c>
      <c r="D1231" s="41">
        <v>50000000</v>
      </c>
      <c r="E1231" s="41">
        <v>0</v>
      </c>
      <c r="F1231" s="41">
        <v>50000000</v>
      </c>
      <c r="G1231" s="41">
        <v>0</v>
      </c>
      <c r="H1231" s="41">
        <v>50000000</v>
      </c>
      <c r="I1231" s="41">
        <v>0</v>
      </c>
      <c r="J1231" s="41">
        <v>40000000</v>
      </c>
      <c r="K1231" s="41">
        <v>0</v>
      </c>
      <c r="L1231" s="41">
        <v>10000000</v>
      </c>
      <c r="M1231" s="41">
        <v>0</v>
      </c>
      <c r="N1231" s="41">
        <v>99337500.000001177</v>
      </c>
      <c r="O1231" s="41">
        <v>79166.666666666672</v>
      </c>
      <c r="P1231" s="41">
        <v>75000000</v>
      </c>
      <c r="Q1231" s="41">
        <v>0</v>
      </c>
      <c r="R1231" s="41">
        <v>50000000</v>
      </c>
      <c r="S1231" s="41">
        <v>0</v>
      </c>
      <c r="T1231" s="41">
        <v>35000000</v>
      </c>
      <c r="U1231" s="41">
        <v>0</v>
      </c>
      <c r="V1231" s="41">
        <v>479337500.00000119</v>
      </c>
      <c r="W1231" s="41">
        <v>79166.666666666672</v>
      </c>
      <c r="X1231" s="38">
        <f t="shared" si="108"/>
        <v>0.95867500000000239</v>
      </c>
      <c r="Y1231" s="39">
        <f t="shared" si="109"/>
        <v>1.5833333333333335E-4</v>
      </c>
      <c r="Z1231" s="39">
        <f t="shared" si="113"/>
        <v>1.6518579054441719E-4</v>
      </c>
      <c r="AA1231" s="41">
        <f t="shared" si="110"/>
        <v>20662499.999998808</v>
      </c>
      <c r="AB1231" s="39">
        <f t="shared" si="111"/>
        <v>3.8314176245212942E-3</v>
      </c>
      <c r="AC1231" s="38">
        <f t="shared" si="112"/>
        <v>0.18548860790799709</v>
      </c>
      <c r="AD1231" s="3"/>
    </row>
    <row r="1232" spans="1:30" x14ac:dyDescent="0.25">
      <c r="A1232" s="37">
        <v>46868</v>
      </c>
      <c r="B1232" s="41">
        <v>20000000</v>
      </c>
      <c r="C1232" s="41">
        <v>0</v>
      </c>
      <c r="D1232" s="41">
        <v>50000000</v>
      </c>
      <c r="E1232" s="41">
        <v>0</v>
      </c>
      <c r="F1232" s="41">
        <v>50000000</v>
      </c>
      <c r="G1232" s="41">
        <v>0</v>
      </c>
      <c r="H1232" s="41">
        <v>50000000</v>
      </c>
      <c r="I1232" s="41">
        <v>0</v>
      </c>
      <c r="J1232" s="41">
        <v>40000000</v>
      </c>
      <c r="K1232" s="41">
        <v>0</v>
      </c>
      <c r="L1232" s="41">
        <v>10000000</v>
      </c>
      <c r="M1232" s="41">
        <v>0</v>
      </c>
      <c r="N1232" s="41">
        <v>99416666.666667849</v>
      </c>
      <c r="O1232" s="41">
        <v>79166.666666666672</v>
      </c>
      <c r="P1232" s="41">
        <v>75000000</v>
      </c>
      <c r="Q1232" s="41">
        <v>0</v>
      </c>
      <c r="R1232" s="41">
        <v>50000000</v>
      </c>
      <c r="S1232" s="41">
        <v>0</v>
      </c>
      <c r="T1232" s="41">
        <v>35000000</v>
      </c>
      <c r="U1232" s="41">
        <v>0</v>
      </c>
      <c r="V1232" s="41">
        <v>479416666.66666782</v>
      </c>
      <c r="W1232" s="41">
        <v>79166.666666666672</v>
      </c>
      <c r="X1232" s="38">
        <f t="shared" si="108"/>
        <v>0.95883333333333565</v>
      </c>
      <c r="Y1232" s="39">
        <f t="shared" si="109"/>
        <v>1.5833333333333335E-4</v>
      </c>
      <c r="Z1232" s="39">
        <f t="shared" si="113"/>
        <v>1.6515850870559151E-4</v>
      </c>
      <c r="AA1232" s="41">
        <f t="shared" si="110"/>
        <v>20583333.333332181</v>
      </c>
      <c r="AB1232" s="39">
        <f t="shared" si="111"/>
        <v>3.8461538461540619E-3</v>
      </c>
      <c r="AC1232" s="38">
        <f t="shared" si="112"/>
        <v>0.18545229754790798</v>
      </c>
      <c r="AD1232" s="3"/>
    </row>
    <row r="1233" spans="1:30" x14ac:dyDescent="0.25">
      <c r="A1233" s="37">
        <v>46869</v>
      </c>
      <c r="B1233" s="41">
        <v>20000000</v>
      </c>
      <c r="C1233" s="41">
        <v>0</v>
      </c>
      <c r="D1233" s="41">
        <v>50000000</v>
      </c>
      <c r="E1233" s="41">
        <v>0</v>
      </c>
      <c r="F1233" s="41">
        <v>50000000</v>
      </c>
      <c r="G1233" s="41">
        <v>0</v>
      </c>
      <c r="H1233" s="41">
        <v>50000000</v>
      </c>
      <c r="I1233" s="41">
        <v>0</v>
      </c>
      <c r="J1233" s="41">
        <v>40000000</v>
      </c>
      <c r="K1233" s="41">
        <v>0</v>
      </c>
      <c r="L1233" s="41">
        <v>10000000</v>
      </c>
      <c r="M1233" s="41">
        <v>0</v>
      </c>
      <c r="N1233" s="41">
        <v>99495833.33333452</v>
      </c>
      <c r="O1233" s="41">
        <v>79166.666666666672</v>
      </c>
      <c r="P1233" s="41">
        <v>75000000</v>
      </c>
      <c r="Q1233" s="41">
        <v>0</v>
      </c>
      <c r="R1233" s="41">
        <v>50000000</v>
      </c>
      <c r="S1233" s="41">
        <v>0</v>
      </c>
      <c r="T1233" s="41">
        <v>35000000</v>
      </c>
      <c r="U1233" s="41">
        <v>0</v>
      </c>
      <c r="V1233" s="41">
        <v>479495833.33333451</v>
      </c>
      <c r="W1233" s="41">
        <v>79166.666666666672</v>
      </c>
      <c r="X1233" s="38">
        <f t="shared" si="108"/>
        <v>0.95899166666666902</v>
      </c>
      <c r="Y1233" s="39">
        <f t="shared" si="109"/>
        <v>1.5833333333333335E-4</v>
      </c>
      <c r="Z1233" s="39">
        <f t="shared" si="113"/>
        <v>1.6513123587693338E-4</v>
      </c>
      <c r="AA1233" s="41">
        <f t="shared" si="110"/>
        <v>20504166.666665494</v>
      </c>
      <c r="AB1233" s="39">
        <f t="shared" si="111"/>
        <v>3.8610038610040818E-3</v>
      </c>
      <c r="AC1233" s="38">
        <f t="shared" si="112"/>
        <v>0.18541600140092035</v>
      </c>
      <c r="AD1233" s="3"/>
    </row>
    <row r="1234" spans="1:30" x14ac:dyDescent="0.25">
      <c r="A1234" s="37">
        <v>46870</v>
      </c>
      <c r="B1234" s="41">
        <v>20000000</v>
      </c>
      <c r="C1234" s="41">
        <v>0</v>
      </c>
      <c r="D1234" s="41">
        <v>50000000</v>
      </c>
      <c r="E1234" s="41">
        <v>0</v>
      </c>
      <c r="F1234" s="41">
        <v>50000000</v>
      </c>
      <c r="G1234" s="41">
        <v>0</v>
      </c>
      <c r="H1234" s="41">
        <v>50000000</v>
      </c>
      <c r="I1234" s="41">
        <v>0</v>
      </c>
      <c r="J1234" s="41">
        <v>40000000</v>
      </c>
      <c r="K1234" s="41">
        <v>0</v>
      </c>
      <c r="L1234" s="41">
        <v>10000000</v>
      </c>
      <c r="M1234" s="41">
        <v>0</v>
      </c>
      <c r="N1234" s="41">
        <v>99575000.000001192</v>
      </c>
      <c r="O1234" s="41">
        <v>79166.666666666672</v>
      </c>
      <c r="P1234" s="41">
        <v>75000000</v>
      </c>
      <c r="Q1234" s="41">
        <v>0</v>
      </c>
      <c r="R1234" s="41">
        <v>50000000</v>
      </c>
      <c r="S1234" s="41">
        <v>0</v>
      </c>
      <c r="T1234" s="41">
        <v>35000000</v>
      </c>
      <c r="U1234" s="41">
        <v>0</v>
      </c>
      <c r="V1234" s="41">
        <v>479575000.00000119</v>
      </c>
      <c r="W1234" s="41">
        <v>79166.666666666672</v>
      </c>
      <c r="X1234" s="38">
        <f t="shared" si="108"/>
        <v>0.95915000000000239</v>
      </c>
      <c r="Y1234" s="39">
        <f t="shared" si="109"/>
        <v>1.5833333333333335E-4</v>
      </c>
      <c r="Z1234" s="39">
        <f t="shared" si="113"/>
        <v>1.6510397205397992E-4</v>
      </c>
      <c r="AA1234" s="41">
        <f t="shared" si="110"/>
        <v>20424999.999998808</v>
      </c>
      <c r="AB1234" s="39">
        <f t="shared" si="111"/>
        <v>3.8759689922482883E-3</v>
      </c>
      <c r="AC1234" s="38">
        <f t="shared" si="112"/>
        <v>0.18537971945869067</v>
      </c>
      <c r="AD1234" s="3"/>
    </row>
    <row r="1235" spans="1:30" x14ac:dyDescent="0.25">
      <c r="A1235" s="37">
        <v>46871</v>
      </c>
      <c r="B1235" s="41">
        <v>20000000</v>
      </c>
      <c r="C1235" s="41">
        <v>0</v>
      </c>
      <c r="D1235" s="41">
        <v>50000000</v>
      </c>
      <c r="E1235" s="41">
        <v>0</v>
      </c>
      <c r="F1235" s="41">
        <v>50000000</v>
      </c>
      <c r="G1235" s="41">
        <v>0</v>
      </c>
      <c r="H1235" s="41">
        <v>50000000</v>
      </c>
      <c r="I1235" s="41">
        <v>0</v>
      </c>
      <c r="J1235" s="41">
        <v>40000000</v>
      </c>
      <c r="K1235" s="41">
        <v>0</v>
      </c>
      <c r="L1235" s="41">
        <v>10000000</v>
      </c>
      <c r="M1235" s="41">
        <v>0</v>
      </c>
      <c r="N1235" s="41">
        <v>99654166.666667864</v>
      </c>
      <c r="O1235" s="41">
        <v>79166.666666666672</v>
      </c>
      <c r="P1235" s="41">
        <v>75000000</v>
      </c>
      <c r="Q1235" s="41">
        <v>0</v>
      </c>
      <c r="R1235" s="41">
        <v>50000000</v>
      </c>
      <c r="S1235" s="41">
        <v>0</v>
      </c>
      <c r="T1235" s="41">
        <v>35000000</v>
      </c>
      <c r="U1235" s="41">
        <v>0</v>
      </c>
      <c r="V1235" s="41">
        <v>479654166.66666788</v>
      </c>
      <c r="W1235" s="41">
        <v>79166.666666666672</v>
      </c>
      <c r="X1235" s="38">
        <f t="shared" si="108"/>
        <v>0.95930833333333576</v>
      </c>
      <c r="Y1235" s="39">
        <f t="shared" si="109"/>
        <v>1.5833333333333335E-4</v>
      </c>
      <c r="Z1235" s="39">
        <f t="shared" si="113"/>
        <v>1.6507671723227122E-4</v>
      </c>
      <c r="AA1235" s="41">
        <f t="shared" si="110"/>
        <v>20345833.333332121</v>
      </c>
      <c r="AB1235" s="39">
        <f t="shared" si="111"/>
        <v>3.8910505836578196E-3</v>
      </c>
      <c r="AC1235" s="38">
        <f t="shared" si="112"/>
        <v>0.18534345171288186</v>
      </c>
      <c r="AD1235" s="3"/>
    </row>
    <row r="1236" spans="1:30" x14ac:dyDescent="0.25">
      <c r="A1236" s="37">
        <v>46872</v>
      </c>
      <c r="B1236" s="41">
        <v>20000000</v>
      </c>
      <c r="C1236" s="41">
        <v>0</v>
      </c>
      <c r="D1236" s="41">
        <v>50000000</v>
      </c>
      <c r="E1236" s="41">
        <v>0</v>
      </c>
      <c r="F1236" s="41">
        <v>50000000</v>
      </c>
      <c r="G1236" s="41">
        <v>0</v>
      </c>
      <c r="H1236" s="41">
        <v>50000000</v>
      </c>
      <c r="I1236" s="41">
        <v>0</v>
      </c>
      <c r="J1236" s="41">
        <v>40000000</v>
      </c>
      <c r="K1236" s="41">
        <v>0</v>
      </c>
      <c r="L1236" s="41">
        <v>10000000</v>
      </c>
      <c r="M1236" s="41">
        <v>0</v>
      </c>
      <c r="N1236" s="41">
        <v>99733333.333334535</v>
      </c>
      <c r="O1236" s="41">
        <v>79166.666666666672</v>
      </c>
      <c r="P1236" s="41">
        <v>75000000</v>
      </c>
      <c r="Q1236" s="41">
        <v>0</v>
      </c>
      <c r="R1236" s="41">
        <v>50000000</v>
      </c>
      <c r="S1236" s="41">
        <v>0</v>
      </c>
      <c r="T1236" s="41">
        <v>35000000</v>
      </c>
      <c r="U1236" s="41">
        <v>0</v>
      </c>
      <c r="V1236" s="41">
        <v>479733333.33333462</v>
      </c>
      <c r="W1236" s="41">
        <v>79166.666666666672</v>
      </c>
      <c r="X1236" s="38">
        <f t="shared" si="108"/>
        <v>0.95946666666666924</v>
      </c>
      <c r="Y1236" s="39">
        <f t="shared" si="109"/>
        <v>1.5833333333333335E-4</v>
      </c>
      <c r="Z1236" s="39">
        <f t="shared" si="113"/>
        <v>1.6504947140735037E-4</v>
      </c>
      <c r="AA1236" s="41">
        <f t="shared" si="110"/>
        <v>20266666.666665375</v>
      </c>
      <c r="AB1236" s="39">
        <f t="shared" si="111"/>
        <v>3.9062500000002489E-3</v>
      </c>
      <c r="AC1236" s="38">
        <f t="shared" si="112"/>
        <v>0.18530719815516331</v>
      </c>
      <c r="AD1236" s="3"/>
    </row>
    <row r="1237" spans="1:30" x14ac:dyDescent="0.25">
      <c r="A1237" s="37">
        <v>46873</v>
      </c>
      <c r="B1237" s="41">
        <v>20000000</v>
      </c>
      <c r="C1237" s="41">
        <v>0</v>
      </c>
      <c r="D1237" s="41">
        <v>50000000</v>
      </c>
      <c r="E1237" s="41">
        <v>0</v>
      </c>
      <c r="F1237" s="41">
        <v>50000000</v>
      </c>
      <c r="G1237" s="41">
        <v>0</v>
      </c>
      <c r="H1237" s="41">
        <v>50000000</v>
      </c>
      <c r="I1237" s="41">
        <v>0</v>
      </c>
      <c r="J1237" s="41">
        <v>40000000</v>
      </c>
      <c r="K1237" s="41">
        <v>0</v>
      </c>
      <c r="L1237" s="41">
        <v>10000000</v>
      </c>
      <c r="M1237" s="41">
        <v>0</v>
      </c>
      <c r="N1237" s="41">
        <v>99812500.000001207</v>
      </c>
      <c r="O1237" s="41">
        <v>79166.666666666672</v>
      </c>
      <c r="P1237" s="41">
        <v>75000000</v>
      </c>
      <c r="Q1237" s="41">
        <v>0</v>
      </c>
      <c r="R1237" s="41">
        <v>50000000</v>
      </c>
      <c r="S1237" s="41">
        <v>0</v>
      </c>
      <c r="T1237" s="41">
        <v>35000000</v>
      </c>
      <c r="U1237" s="41">
        <v>0</v>
      </c>
      <c r="V1237" s="41">
        <v>479812500.00000119</v>
      </c>
      <c r="W1237" s="41">
        <v>79166.666666666672</v>
      </c>
      <c r="X1237" s="38">
        <f t="shared" si="108"/>
        <v>0.95962500000000239</v>
      </c>
      <c r="Y1237" s="39">
        <f t="shared" si="109"/>
        <v>1.5833333333333335E-4</v>
      </c>
      <c r="Z1237" s="39">
        <f t="shared" si="113"/>
        <v>1.6502223457476333E-4</v>
      </c>
      <c r="AA1237" s="41">
        <f t="shared" si="110"/>
        <v>20187499.999998808</v>
      </c>
      <c r="AB1237" s="39">
        <f t="shared" si="111"/>
        <v>3.9215686274512119E-3</v>
      </c>
      <c r="AC1237" s="38">
        <f t="shared" si="112"/>
        <v>0.18527095877721111</v>
      </c>
      <c r="AD1237" s="3"/>
    </row>
    <row r="1238" spans="1:30" x14ac:dyDescent="0.25">
      <c r="A1238" s="37">
        <v>46874</v>
      </c>
      <c r="B1238" s="41">
        <v>20000000</v>
      </c>
      <c r="C1238" s="41">
        <v>0</v>
      </c>
      <c r="D1238" s="41">
        <v>50000000</v>
      </c>
      <c r="E1238" s="41">
        <v>0</v>
      </c>
      <c r="F1238" s="41">
        <v>50000000</v>
      </c>
      <c r="G1238" s="41">
        <v>0</v>
      </c>
      <c r="H1238" s="41">
        <v>50000000</v>
      </c>
      <c r="I1238" s="41">
        <v>0</v>
      </c>
      <c r="J1238" s="41">
        <v>40000000</v>
      </c>
      <c r="K1238" s="41">
        <v>0</v>
      </c>
      <c r="L1238" s="41">
        <v>10000000</v>
      </c>
      <c r="M1238" s="41">
        <v>0</v>
      </c>
      <c r="N1238" s="41">
        <v>99891666.666667879</v>
      </c>
      <c r="O1238" s="41">
        <v>79166.666666666672</v>
      </c>
      <c r="P1238" s="41">
        <v>75000000</v>
      </c>
      <c r="Q1238" s="41">
        <v>0</v>
      </c>
      <c r="R1238" s="41">
        <v>50000000</v>
      </c>
      <c r="S1238" s="41">
        <v>0</v>
      </c>
      <c r="T1238" s="41">
        <v>35000000</v>
      </c>
      <c r="U1238" s="41">
        <v>0</v>
      </c>
      <c r="V1238" s="41">
        <v>479891666.66666788</v>
      </c>
      <c r="W1238" s="41">
        <v>79166.666666666672</v>
      </c>
      <c r="X1238" s="38">
        <f t="shared" si="108"/>
        <v>0.95978333333333576</v>
      </c>
      <c r="Y1238" s="39">
        <f t="shared" si="109"/>
        <v>1.5833333333333335E-4</v>
      </c>
      <c r="Z1238" s="39">
        <f t="shared" si="113"/>
        <v>1.6499500673005908E-4</v>
      </c>
      <c r="AA1238" s="41">
        <f t="shared" si="110"/>
        <v>20108333.333332121</v>
      </c>
      <c r="AB1238" s="39">
        <f t="shared" si="111"/>
        <v>3.9370078740159856E-3</v>
      </c>
      <c r="AC1238" s="38">
        <f t="shared" si="112"/>
        <v>0.18523473357070766</v>
      </c>
      <c r="AD1238" s="3"/>
    </row>
    <row r="1239" spans="1:30" x14ac:dyDescent="0.25">
      <c r="A1239" s="37">
        <v>46875</v>
      </c>
      <c r="B1239" s="41">
        <v>20000000</v>
      </c>
      <c r="C1239" s="41">
        <v>0</v>
      </c>
      <c r="D1239" s="41">
        <v>50000000</v>
      </c>
      <c r="E1239" s="41">
        <v>0</v>
      </c>
      <c r="F1239" s="41">
        <v>50000000</v>
      </c>
      <c r="G1239" s="41">
        <v>0</v>
      </c>
      <c r="H1239" s="41">
        <v>50000000</v>
      </c>
      <c r="I1239" s="41">
        <v>0</v>
      </c>
      <c r="J1239" s="41">
        <v>40000000</v>
      </c>
      <c r="K1239" s="41">
        <v>0</v>
      </c>
      <c r="L1239" s="41">
        <v>10000000</v>
      </c>
      <c r="M1239" s="41">
        <v>0</v>
      </c>
      <c r="N1239" s="41">
        <v>99970833.33333455</v>
      </c>
      <c r="O1239" s="41">
        <v>79166.666666666672</v>
      </c>
      <c r="P1239" s="41">
        <v>75000000</v>
      </c>
      <c r="Q1239" s="41">
        <v>0</v>
      </c>
      <c r="R1239" s="41">
        <v>50000000</v>
      </c>
      <c r="S1239" s="41">
        <v>0</v>
      </c>
      <c r="T1239" s="41">
        <v>35000000</v>
      </c>
      <c r="U1239" s="41">
        <v>0</v>
      </c>
      <c r="V1239" s="41">
        <v>479970833.33333462</v>
      </c>
      <c r="W1239" s="41">
        <v>79166.666666666672</v>
      </c>
      <c r="X1239" s="38">
        <f t="shared" ref="X1239:X1302" si="114">V1239/$B$6</f>
        <v>0.95994166666666925</v>
      </c>
      <c r="Y1239" s="39">
        <f t="shared" ref="Y1239:Y1302" si="115">W1239/$B$6</f>
        <v>1.5833333333333335E-4</v>
      </c>
      <c r="Z1239" s="39">
        <f t="shared" si="113"/>
        <v>1.6496778786878944E-4</v>
      </c>
      <c r="AA1239" s="41">
        <f t="shared" ref="AA1239:AA1302" si="116">$B$6-V1239</f>
        <v>20029166.666665375</v>
      </c>
      <c r="AB1239" s="39">
        <f t="shared" ref="AB1239:AB1302" si="117">W1239/AA1239</f>
        <v>3.952569169960729E-3</v>
      </c>
      <c r="AC1239" s="38">
        <f t="shared" ref="AC1239:AC1302" si="118" xml:space="preserve"> P1239/(V1239-P1239)</f>
        <v>0.18519852252734192</v>
      </c>
      <c r="AD1239" s="3"/>
    </row>
    <row r="1240" spans="1:30" x14ac:dyDescent="0.25">
      <c r="A1240" s="37">
        <v>46876</v>
      </c>
      <c r="B1240" s="41">
        <v>20000000</v>
      </c>
      <c r="C1240" s="41">
        <v>0</v>
      </c>
      <c r="D1240" s="41">
        <v>50000000</v>
      </c>
      <c r="E1240" s="41">
        <v>0</v>
      </c>
      <c r="F1240" s="41">
        <v>50000000</v>
      </c>
      <c r="G1240" s="41">
        <v>0</v>
      </c>
      <c r="H1240" s="41">
        <v>50000000</v>
      </c>
      <c r="I1240" s="41">
        <v>0</v>
      </c>
      <c r="J1240" s="41">
        <v>40000000</v>
      </c>
      <c r="K1240" s="41">
        <v>0</v>
      </c>
      <c r="L1240" s="41">
        <v>10000000</v>
      </c>
      <c r="M1240" s="41">
        <v>0</v>
      </c>
      <c r="N1240" s="41">
        <v>100050000.00000121</v>
      </c>
      <c r="O1240" s="41">
        <v>79166.666666666672</v>
      </c>
      <c r="P1240" s="41">
        <v>75000000</v>
      </c>
      <c r="Q1240" s="41">
        <v>0</v>
      </c>
      <c r="R1240" s="41">
        <v>50000000</v>
      </c>
      <c r="S1240" s="41">
        <v>0</v>
      </c>
      <c r="T1240" s="41">
        <v>35000000</v>
      </c>
      <c r="U1240" s="41">
        <v>0</v>
      </c>
      <c r="V1240" s="41">
        <v>480050000.00000119</v>
      </c>
      <c r="W1240" s="41">
        <v>79166.666666666672</v>
      </c>
      <c r="X1240" s="38">
        <f t="shared" si="114"/>
        <v>0.9601000000000024</v>
      </c>
      <c r="Y1240" s="39">
        <f t="shared" si="115"/>
        <v>1.5833333333333335E-4</v>
      </c>
      <c r="Z1240" s="39">
        <f t="shared" ref="Z1240:Z1303" si="119">W1240/V1239</f>
        <v>1.6494057798650916E-4</v>
      </c>
      <c r="AA1240" s="41">
        <f t="shared" si="116"/>
        <v>19949999.999998808</v>
      </c>
      <c r="AB1240" s="39">
        <f t="shared" si="117"/>
        <v>3.9682539682542057E-3</v>
      </c>
      <c r="AC1240" s="38">
        <f t="shared" si="118"/>
        <v>0.18516232563880947</v>
      </c>
      <c r="AD1240" s="3"/>
    </row>
    <row r="1241" spans="1:30" x14ac:dyDescent="0.25">
      <c r="A1241" s="37">
        <v>46877</v>
      </c>
      <c r="B1241" s="41">
        <v>20000000</v>
      </c>
      <c r="C1241" s="41">
        <v>0</v>
      </c>
      <c r="D1241" s="41">
        <v>50000000</v>
      </c>
      <c r="E1241" s="41">
        <v>0</v>
      </c>
      <c r="F1241" s="41">
        <v>50000000</v>
      </c>
      <c r="G1241" s="41">
        <v>0</v>
      </c>
      <c r="H1241" s="41">
        <v>50000000</v>
      </c>
      <c r="I1241" s="41">
        <v>0</v>
      </c>
      <c r="J1241" s="41">
        <v>40000000</v>
      </c>
      <c r="K1241" s="41">
        <v>0</v>
      </c>
      <c r="L1241" s="41">
        <v>10000000</v>
      </c>
      <c r="M1241" s="41">
        <v>0</v>
      </c>
      <c r="N1241" s="41">
        <v>100129166.66666789</v>
      </c>
      <c r="O1241" s="41">
        <v>79166.666666666672</v>
      </c>
      <c r="P1241" s="41">
        <v>75000000</v>
      </c>
      <c r="Q1241" s="41">
        <v>0</v>
      </c>
      <c r="R1241" s="41">
        <v>50000000</v>
      </c>
      <c r="S1241" s="41">
        <v>0</v>
      </c>
      <c r="T1241" s="41">
        <v>35000000</v>
      </c>
      <c r="U1241" s="41">
        <v>0</v>
      </c>
      <c r="V1241" s="41">
        <v>480129166.66666788</v>
      </c>
      <c r="W1241" s="41">
        <v>79166.666666666672</v>
      </c>
      <c r="X1241" s="38">
        <f t="shared" si="114"/>
        <v>0.96025833333333577</v>
      </c>
      <c r="Y1241" s="39">
        <f t="shared" si="115"/>
        <v>1.5833333333333335E-4</v>
      </c>
      <c r="Z1241" s="39">
        <f t="shared" si="119"/>
        <v>1.6491337707877612E-4</v>
      </c>
      <c r="AA1241" s="41">
        <f t="shared" si="116"/>
        <v>19870833.333332121</v>
      </c>
      <c r="AB1241" s="39">
        <f t="shared" si="117"/>
        <v>3.984063745020164E-3</v>
      </c>
      <c r="AC1241" s="38">
        <f t="shared" si="118"/>
        <v>0.1851261428968122</v>
      </c>
      <c r="AD1241" s="3"/>
    </row>
    <row r="1242" spans="1:30" x14ac:dyDescent="0.25">
      <c r="A1242" s="37">
        <v>46878</v>
      </c>
      <c r="B1242" s="41">
        <v>20000000</v>
      </c>
      <c r="C1242" s="41">
        <v>0</v>
      </c>
      <c r="D1242" s="41">
        <v>50000000</v>
      </c>
      <c r="E1242" s="41">
        <v>0</v>
      </c>
      <c r="F1242" s="41">
        <v>50000000</v>
      </c>
      <c r="G1242" s="41">
        <v>0</v>
      </c>
      <c r="H1242" s="41">
        <v>50000000</v>
      </c>
      <c r="I1242" s="41">
        <v>0</v>
      </c>
      <c r="J1242" s="41">
        <v>40000000</v>
      </c>
      <c r="K1242" s="41">
        <v>0</v>
      </c>
      <c r="L1242" s="41">
        <v>10000000</v>
      </c>
      <c r="M1242" s="41">
        <v>0</v>
      </c>
      <c r="N1242" s="41">
        <v>100208333.33333459</v>
      </c>
      <c r="O1242" s="41">
        <v>79166.666666666672</v>
      </c>
      <c r="P1242" s="41">
        <v>75000000</v>
      </c>
      <c r="Q1242" s="41">
        <v>0</v>
      </c>
      <c r="R1242" s="41">
        <v>50000000</v>
      </c>
      <c r="S1242" s="41">
        <v>0</v>
      </c>
      <c r="T1242" s="41">
        <v>35000000</v>
      </c>
      <c r="U1242" s="41">
        <v>0</v>
      </c>
      <c r="V1242" s="41">
        <v>480208333.33333462</v>
      </c>
      <c r="W1242" s="41">
        <v>79166.666666666672</v>
      </c>
      <c r="X1242" s="38">
        <f t="shared" si="114"/>
        <v>0.96041666666666925</v>
      </c>
      <c r="Y1242" s="39">
        <f t="shared" si="115"/>
        <v>1.5833333333333335E-4</v>
      </c>
      <c r="Z1242" s="39">
        <f t="shared" si="119"/>
        <v>1.6488618514115086E-4</v>
      </c>
      <c r="AA1242" s="41">
        <f t="shared" si="116"/>
        <v>19791666.666665375</v>
      </c>
      <c r="AB1242" s="39">
        <f t="shared" si="117"/>
        <v>4.0000000000002612E-3</v>
      </c>
      <c r="AC1242" s="38">
        <f t="shared" si="118"/>
        <v>0.18508997429305854</v>
      </c>
      <c r="AD1242" s="3"/>
    </row>
    <row r="1243" spans="1:30" x14ac:dyDescent="0.25">
      <c r="A1243" s="37">
        <v>46879</v>
      </c>
      <c r="B1243" s="41">
        <v>20000000</v>
      </c>
      <c r="C1243" s="41">
        <v>0</v>
      </c>
      <c r="D1243" s="41">
        <v>50000000</v>
      </c>
      <c r="E1243" s="41">
        <v>0</v>
      </c>
      <c r="F1243" s="41">
        <v>50000000</v>
      </c>
      <c r="G1243" s="41">
        <v>0</v>
      </c>
      <c r="H1243" s="41">
        <v>50000000</v>
      </c>
      <c r="I1243" s="41">
        <v>0</v>
      </c>
      <c r="J1243" s="41">
        <v>40000000</v>
      </c>
      <c r="K1243" s="41">
        <v>0</v>
      </c>
      <c r="L1243" s="41">
        <v>10000000</v>
      </c>
      <c r="M1243" s="41">
        <v>0</v>
      </c>
      <c r="N1243" s="41">
        <v>100287500.00000121</v>
      </c>
      <c r="O1243" s="41">
        <v>79166.666666666672</v>
      </c>
      <c r="P1243" s="41">
        <v>75000000</v>
      </c>
      <c r="Q1243" s="41">
        <v>0</v>
      </c>
      <c r="R1243" s="41">
        <v>50000000</v>
      </c>
      <c r="S1243" s="41">
        <v>0</v>
      </c>
      <c r="T1243" s="41">
        <v>35000000</v>
      </c>
      <c r="U1243" s="41">
        <v>0</v>
      </c>
      <c r="V1243" s="41">
        <v>480287500.00000131</v>
      </c>
      <c r="W1243" s="41">
        <v>79166.666666666672</v>
      </c>
      <c r="X1243" s="38">
        <f t="shared" si="114"/>
        <v>0.96057500000000262</v>
      </c>
      <c r="Y1243" s="39">
        <f t="shared" si="115"/>
        <v>1.5833333333333335E-4</v>
      </c>
      <c r="Z1243" s="39">
        <f t="shared" si="119"/>
        <v>1.6485900216919695E-4</v>
      </c>
      <c r="AA1243" s="41">
        <f t="shared" si="116"/>
        <v>19712499.999998689</v>
      </c>
      <c r="AB1243" s="39">
        <f t="shared" si="117"/>
        <v>4.0160642570283801E-3</v>
      </c>
      <c r="AC1243" s="38">
        <f t="shared" si="118"/>
        <v>0.1850538198192635</v>
      </c>
      <c r="AD1243" s="3"/>
    </row>
    <row r="1244" spans="1:30" x14ac:dyDescent="0.25">
      <c r="A1244" s="37">
        <v>46880</v>
      </c>
      <c r="B1244" s="41">
        <v>20000000</v>
      </c>
      <c r="C1244" s="41">
        <v>0</v>
      </c>
      <c r="D1244" s="41">
        <v>50000000</v>
      </c>
      <c r="E1244" s="41">
        <v>0</v>
      </c>
      <c r="F1244" s="41">
        <v>50000000</v>
      </c>
      <c r="G1244" s="41">
        <v>0</v>
      </c>
      <c r="H1244" s="41">
        <v>50000000</v>
      </c>
      <c r="I1244" s="41">
        <v>0</v>
      </c>
      <c r="J1244" s="41">
        <v>40000000</v>
      </c>
      <c r="K1244" s="41">
        <v>0</v>
      </c>
      <c r="L1244" s="41">
        <v>10000000</v>
      </c>
      <c r="M1244" s="41">
        <v>0</v>
      </c>
      <c r="N1244" s="41">
        <v>100366666.66666789</v>
      </c>
      <c r="O1244" s="41">
        <v>79166.666666666672</v>
      </c>
      <c r="P1244" s="41">
        <v>75000000</v>
      </c>
      <c r="Q1244" s="41">
        <v>0</v>
      </c>
      <c r="R1244" s="41">
        <v>50000000</v>
      </c>
      <c r="S1244" s="41">
        <v>0</v>
      </c>
      <c r="T1244" s="41">
        <v>35000000</v>
      </c>
      <c r="U1244" s="41">
        <v>0</v>
      </c>
      <c r="V1244" s="41">
        <v>480366666.66666788</v>
      </c>
      <c r="W1244" s="41">
        <v>79166.666666666672</v>
      </c>
      <c r="X1244" s="38">
        <f t="shared" si="114"/>
        <v>0.96073333333333577</v>
      </c>
      <c r="Y1244" s="39">
        <f t="shared" si="115"/>
        <v>1.5833333333333335E-4</v>
      </c>
      <c r="Z1244" s="39">
        <f t="shared" si="119"/>
        <v>1.6483182815848102E-4</v>
      </c>
      <c r="AA1244" s="41">
        <f t="shared" si="116"/>
        <v>19633333.333332121</v>
      </c>
      <c r="AB1244" s="39">
        <f t="shared" si="117"/>
        <v>4.0322580645163779E-3</v>
      </c>
      <c r="AC1244" s="38">
        <f t="shared" si="118"/>
        <v>0.18501767946714853</v>
      </c>
      <c r="AD1244" s="3"/>
    </row>
    <row r="1245" spans="1:30" x14ac:dyDescent="0.25">
      <c r="A1245" s="37">
        <v>46881</v>
      </c>
      <c r="B1245" s="41">
        <v>20000000</v>
      </c>
      <c r="C1245" s="41">
        <v>0</v>
      </c>
      <c r="D1245" s="41">
        <v>50000000</v>
      </c>
      <c r="E1245" s="41">
        <v>0</v>
      </c>
      <c r="F1245" s="41">
        <v>50000000</v>
      </c>
      <c r="G1245" s="41">
        <v>0</v>
      </c>
      <c r="H1245" s="41">
        <v>50000000</v>
      </c>
      <c r="I1245" s="41">
        <v>0</v>
      </c>
      <c r="J1245" s="41">
        <v>40000000</v>
      </c>
      <c r="K1245" s="41">
        <v>0</v>
      </c>
      <c r="L1245" s="41">
        <v>10000000</v>
      </c>
      <c r="M1245" s="41">
        <v>0</v>
      </c>
      <c r="N1245" s="41">
        <v>100445833.33333459</v>
      </c>
      <c r="O1245" s="41">
        <v>79166.666666666672</v>
      </c>
      <c r="P1245" s="41">
        <v>75000000</v>
      </c>
      <c r="Q1245" s="41">
        <v>0</v>
      </c>
      <c r="R1245" s="41">
        <v>50000000</v>
      </c>
      <c r="S1245" s="41">
        <v>0</v>
      </c>
      <c r="T1245" s="41">
        <v>35000000</v>
      </c>
      <c r="U1245" s="41">
        <v>0</v>
      </c>
      <c r="V1245" s="41">
        <v>480445833.33333462</v>
      </c>
      <c r="W1245" s="41">
        <v>79166.666666666672</v>
      </c>
      <c r="X1245" s="38">
        <f t="shared" si="114"/>
        <v>0.96089166666666925</v>
      </c>
      <c r="Y1245" s="39">
        <f t="shared" si="115"/>
        <v>1.5833333333333335E-4</v>
      </c>
      <c r="Z1245" s="39">
        <f t="shared" si="119"/>
        <v>1.648046631045725E-4</v>
      </c>
      <c r="AA1245" s="41">
        <f t="shared" si="116"/>
        <v>19554166.666665375</v>
      </c>
      <c r="AB1245" s="39">
        <f t="shared" si="117"/>
        <v>4.0485829959516851E-3</v>
      </c>
      <c r="AC1245" s="38">
        <f t="shared" si="118"/>
        <v>0.18498155322844134</v>
      </c>
      <c r="AD1245" s="3"/>
    </row>
    <row r="1246" spans="1:30" x14ac:dyDescent="0.25">
      <c r="A1246" s="37">
        <v>46882</v>
      </c>
      <c r="B1246" s="41">
        <v>20000000</v>
      </c>
      <c r="C1246" s="41">
        <v>0</v>
      </c>
      <c r="D1246" s="41">
        <v>50000000</v>
      </c>
      <c r="E1246" s="41">
        <v>0</v>
      </c>
      <c r="F1246" s="41">
        <v>50000000</v>
      </c>
      <c r="G1246" s="41">
        <v>0</v>
      </c>
      <c r="H1246" s="41">
        <v>50000000</v>
      </c>
      <c r="I1246" s="41">
        <v>0</v>
      </c>
      <c r="J1246" s="41">
        <v>40000000</v>
      </c>
      <c r="K1246" s="41">
        <v>0</v>
      </c>
      <c r="L1246" s="41">
        <v>10000000</v>
      </c>
      <c r="M1246" s="41">
        <v>0</v>
      </c>
      <c r="N1246" s="41">
        <v>100525000.0000013</v>
      </c>
      <c r="O1246" s="41">
        <v>79166.666666666672</v>
      </c>
      <c r="P1246" s="41">
        <v>75000000</v>
      </c>
      <c r="Q1246" s="41">
        <v>0</v>
      </c>
      <c r="R1246" s="41">
        <v>50000000</v>
      </c>
      <c r="S1246" s="41">
        <v>0</v>
      </c>
      <c r="T1246" s="41">
        <v>35000000</v>
      </c>
      <c r="U1246" s="41">
        <v>0</v>
      </c>
      <c r="V1246" s="41">
        <v>480525000.00000131</v>
      </c>
      <c r="W1246" s="41">
        <v>79166.666666666672</v>
      </c>
      <c r="X1246" s="38">
        <f t="shared" si="114"/>
        <v>0.96105000000000262</v>
      </c>
      <c r="Y1246" s="39">
        <f t="shared" si="115"/>
        <v>1.5833333333333335E-4</v>
      </c>
      <c r="Z1246" s="39">
        <f t="shared" si="119"/>
        <v>1.6477750700304362E-4</v>
      </c>
      <c r="AA1246" s="41">
        <f t="shared" si="116"/>
        <v>19474999.999998689</v>
      </c>
      <c r="AB1246" s="39">
        <f t="shared" si="117"/>
        <v>4.0650406504067777E-3</v>
      </c>
      <c r="AC1246" s="38">
        <f t="shared" si="118"/>
        <v>0.1849454410948764</v>
      </c>
      <c r="AD1246" s="3"/>
    </row>
    <row r="1247" spans="1:30" x14ac:dyDescent="0.25">
      <c r="A1247" s="37">
        <v>46883</v>
      </c>
      <c r="B1247" s="41">
        <v>20000000</v>
      </c>
      <c r="C1247" s="41">
        <v>0</v>
      </c>
      <c r="D1247" s="41">
        <v>50000000</v>
      </c>
      <c r="E1247" s="41">
        <v>0</v>
      </c>
      <c r="F1247" s="41">
        <v>50000000</v>
      </c>
      <c r="G1247" s="41">
        <v>0</v>
      </c>
      <c r="H1247" s="41">
        <v>50000000</v>
      </c>
      <c r="I1247" s="41">
        <v>0</v>
      </c>
      <c r="J1247" s="41">
        <v>40000000</v>
      </c>
      <c r="K1247" s="41">
        <v>0</v>
      </c>
      <c r="L1247" s="41">
        <v>10000000</v>
      </c>
      <c r="M1247" s="41">
        <v>0</v>
      </c>
      <c r="N1247" s="41">
        <v>100604166.66666789</v>
      </c>
      <c r="O1247" s="41">
        <v>79166.666666666672</v>
      </c>
      <c r="P1247" s="41">
        <v>75000000</v>
      </c>
      <c r="Q1247" s="41">
        <v>0</v>
      </c>
      <c r="R1247" s="41">
        <v>50000000</v>
      </c>
      <c r="S1247" s="41">
        <v>0</v>
      </c>
      <c r="T1247" s="41">
        <v>35000000</v>
      </c>
      <c r="U1247" s="41">
        <v>0</v>
      </c>
      <c r="V1247" s="41">
        <v>480604166.66666788</v>
      </c>
      <c r="W1247" s="41">
        <v>79166.666666666672</v>
      </c>
      <c r="X1247" s="38">
        <f t="shared" si="114"/>
        <v>0.96120833333333577</v>
      </c>
      <c r="Y1247" s="39">
        <f t="shared" si="115"/>
        <v>1.5833333333333335E-4</v>
      </c>
      <c r="Z1247" s="39">
        <f t="shared" si="119"/>
        <v>1.6475035984946977E-4</v>
      </c>
      <c r="AA1247" s="41">
        <f t="shared" si="116"/>
        <v>19395833.333332121</v>
      </c>
      <c r="AB1247" s="39">
        <f t="shared" si="117"/>
        <v>4.0816326530614799E-3</v>
      </c>
      <c r="AC1247" s="38">
        <f t="shared" si="118"/>
        <v>0.18490934305819454</v>
      </c>
      <c r="AD1247" s="3"/>
    </row>
    <row r="1248" spans="1:30" x14ac:dyDescent="0.25">
      <c r="A1248" s="37">
        <v>46884</v>
      </c>
      <c r="B1248" s="41">
        <v>20000000</v>
      </c>
      <c r="C1248" s="41">
        <v>0</v>
      </c>
      <c r="D1248" s="41">
        <v>50000000</v>
      </c>
      <c r="E1248" s="41">
        <v>0</v>
      </c>
      <c r="F1248" s="41">
        <v>50000000</v>
      </c>
      <c r="G1248" s="41">
        <v>0</v>
      </c>
      <c r="H1248" s="41">
        <v>50000000</v>
      </c>
      <c r="I1248" s="41">
        <v>0</v>
      </c>
      <c r="J1248" s="41">
        <v>40000000</v>
      </c>
      <c r="K1248" s="41">
        <v>0</v>
      </c>
      <c r="L1248" s="41">
        <v>10000000</v>
      </c>
      <c r="M1248" s="41">
        <v>0</v>
      </c>
      <c r="N1248" s="41">
        <v>100683333.33333459</v>
      </c>
      <c r="O1248" s="41">
        <v>79166.666666666672</v>
      </c>
      <c r="P1248" s="41">
        <v>75000000</v>
      </c>
      <c r="Q1248" s="41">
        <v>0</v>
      </c>
      <c r="R1248" s="41">
        <v>50000000</v>
      </c>
      <c r="S1248" s="41">
        <v>0</v>
      </c>
      <c r="T1248" s="41">
        <v>35000000</v>
      </c>
      <c r="U1248" s="41">
        <v>0</v>
      </c>
      <c r="V1248" s="41">
        <v>480683333.33333462</v>
      </c>
      <c r="W1248" s="41">
        <v>79166.666666666672</v>
      </c>
      <c r="X1248" s="38">
        <f t="shared" si="114"/>
        <v>0.96136666666666926</v>
      </c>
      <c r="Y1248" s="39">
        <f t="shared" si="115"/>
        <v>1.5833333333333335E-4</v>
      </c>
      <c r="Z1248" s="39">
        <f t="shared" si="119"/>
        <v>1.6472322163942914E-4</v>
      </c>
      <c r="AA1248" s="41">
        <f t="shared" si="116"/>
        <v>19316666.666665375</v>
      </c>
      <c r="AB1248" s="39">
        <f t="shared" si="117"/>
        <v>4.0983606557379792E-3</v>
      </c>
      <c r="AC1248" s="38">
        <f t="shared" si="118"/>
        <v>0.1848732591101428</v>
      </c>
      <c r="AD1248" s="3"/>
    </row>
    <row r="1249" spans="1:30" x14ac:dyDescent="0.25">
      <c r="A1249" s="37">
        <v>46885</v>
      </c>
      <c r="B1249" s="41">
        <v>20000000</v>
      </c>
      <c r="C1249" s="41">
        <v>0</v>
      </c>
      <c r="D1249" s="41">
        <v>50000000</v>
      </c>
      <c r="E1249" s="41">
        <v>0</v>
      </c>
      <c r="F1249" s="41">
        <v>50000000</v>
      </c>
      <c r="G1249" s="41">
        <v>0</v>
      </c>
      <c r="H1249" s="41">
        <v>50000000</v>
      </c>
      <c r="I1249" s="41">
        <v>0</v>
      </c>
      <c r="J1249" s="41">
        <v>40000000</v>
      </c>
      <c r="K1249" s="41">
        <v>0</v>
      </c>
      <c r="L1249" s="41">
        <v>10000000</v>
      </c>
      <c r="M1249" s="41">
        <v>0</v>
      </c>
      <c r="N1249" s="41">
        <v>100762500.0000013</v>
      </c>
      <c r="O1249" s="41">
        <v>79166.666666666672</v>
      </c>
      <c r="P1249" s="41">
        <v>75000000</v>
      </c>
      <c r="Q1249" s="41">
        <v>0</v>
      </c>
      <c r="R1249" s="41">
        <v>50000000</v>
      </c>
      <c r="S1249" s="41">
        <v>0</v>
      </c>
      <c r="T1249" s="41">
        <v>35000000</v>
      </c>
      <c r="U1249" s="41">
        <v>0</v>
      </c>
      <c r="V1249" s="41">
        <v>480762500.00000131</v>
      </c>
      <c r="W1249" s="41">
        <v>79166.666666666672</v>
      </c>
      <c r="X1249" s="38">
        <f t="shared" si="114"/>
        <v>0.96152500000000263</v>
      </c>
      <c r="Y1249" s="39">
        <f t="shared" si="115"/>
        <v>1.5833333333333335E-4</v>
      </c>
      <c r="Z1249" s="39">
        <f t="shared" si="119"/>
        <v>1.6469609236850275E-4</v>
      </c>
      <c r="AA1249" s="41">
        <f t="shared" si="116"/>
        <v>19237499.999998689</v>
      </c>
      <c r="AB1249" s="39">
        <f t="shared" si="117"/>
        <v>4.1152263374488402E-3</v>
      </c>
      <c r="AC1249" s="38">
        <f t="shared" si="118"/>
        <v>0.184837189242475</v>
      </c>
      <c r="AD1249" s="3"/>
    </row>
    <row r="1250" spans="1:30" x14ac:dyDescent="0.25">
      <c r="A1250" s="37">
        <v>46886</v>
      </c>
      <c r="B1250" s="41">
        <v>20000000</v>
      </c>
      <c r="C1250" s="41">
        <v>0</v>
      </c>
      <c r="D1250" s="41">
        <v>50000000</v>
      </c>
      <c r="E1250" s="41">
        <v>0</v>
      </c>
      <c r="F1250" s="41">
        <v>50000000</v>
      </c>
      <c r="G1250" s="41">
        <v>0</v>
      </c>
      <c r="H1250" s="41">
        <v>50000000</v>
      </c>
      <c r="I1250" s="41">
        <v>0</v>
      </c>
      <c r="J1250" s="41">
        <v>40000000</v>
      </c>
      <c r="K1250" s="41">
        <v>0</v>
      </c>
      <c r="L1250" s="41">
        <v>10000000</v>
      </c>
      <c r="M1250" s="41">
        <v>0</v>
      </c>
      <c r="N1250" s="41">
        <v>100841666.66666789</v>
      </c>
      <c r="O1250" s="41">
        <v>79166.666666666672</v>
      </c>
      <c r="P1250" s="41">
        <v>75000000</v>
      </c>
      <c r="Q1250" s="41">
        <v>0</v>
      </c>
      <c r="R1250" s="41">
        <v>50000000</v>
      </c>
      <c r="S1250" s="41">
        <v>0</v>
      </c>
      <c r="T1250" s="41">
        <v>35000000</v>
      </c>
      <c r="U1250" s="41">
        <v>0</v>
      </c>
      <c r="V1250" s="41">
        <v>480841666.66666788</v>
      </c>
      <c r="W1250" s="41">
        <v>79166.666666666672</v>
      </c>
      <c r="X1250" s="38">
        <f t="shared" si="114"/>
        <v>0.96168333333333578</v>
      </c>
      <c r="Y1250" s="39">
        <f t="shared" si="115"/>
        <v>1.5833333333333335E-4</v>
      </c>
      <c r="Z1250" s="39">
        <f t="shared" si="119"/>
        <v>1.6466897203227469E-4</v>
      </c>
      <c r="AA1250" s="41">
        <f t="shared" si="116"/>
        <v>19158333.333332121</v>
      </c>
      <c r="AB1250" s="39">
        <f t="shared" si="117"/>
        <v>4.1322314049589397E-3</v>
      </c>
      <c r="AC1250" s="38">
        <f t="shared" si="118"/>
        <v>0.18480113344695126</v>
      </c>
      <c r="AD1250" s="3"/>
    </row>
    <row r="1251" spans="1:30" x14ac:dyDescent="0.25">
      <c r="A1251" s="37">
        <v>46887</v>
      </c>
      <c r="B1251" s="41">
        <v>20000000</v>
      </c>
      <c r="C1251" s="41">
        <v>0</v>
      </c>
      <c r="D1251" s="41">
        <v>50000000</v>
      </c>
      <c r="E1251" s="41">
        <v>0</v>
      </c>
      <c r="F1251" s="41">
        <v>50000000</v>
      </c>
      <c r="G1251" s="41">
        <v>0</v>
      </c>
      <c r="H1251" s="41">
        <v>50000000</v>
      </c>
      <c r="I1251" s="41">
        <v>0</v>
      </c>
      <c r="J1251" s="41">
        <v>40000000</v>
      </c>
      <c r="K1251" s="41">
        <v>0</v>
      </c>
      <c r="L1251" s="41">
        <v>10000000</v>
      </c>
      <c r="M1251" s="41">
        <v>0</v>
      </c>
      <c r="N1251" s="41">
        <v>100920833.33333459</v>
      </c>
      <c r="O1251" s="41">
        <v>79166.666666666672</v>
      </c>
      <c r="P1251" s="41">
        <v>75000000</v>
      </c>
      <c r="Q1251" s="41">
        <v>0</v>
      </c>
      <c r="R1251" s="41">
        <v>50000000</v>
      </c>
      <c r="S1251" s="41">
        <v>0</v>
      </c>
      <c r="T1251" s="41">
        <v>35000000</v>
      </c>
      <c r="U1251" s="41">
        <v>0</v>
      </c>
      <c r="V1251" s="41">
        <v>480920833.33333462</v>
      </c>
      <c r="W1251" s="41">
        <v>79166.666666666672</v>
      </c>
      <c r="X1251" s="38">
        <f t="shared" si="114"/>
        <v>0.96184166666666926</v>
      </c>
      <c r="Y1251" s="39">
        <f t="shared" si="115"/>
        <v>1.5833333333333335E-4</v>
      </c>
      <c r="Z1251" s="39">
        <f t="shared" si="119"/>
        <v>1.646418606263319E-4</v>
      </c>
      <c r="AA1251" s="41">
        <f t="shared" si="116"/>
        <v>19079166.666665375</v>
      </c>
      <c r="AB1251" s="39">
        <f t="shared" si="117"/>
        <v>4.1493775933612769E-3</v>
      </c>
      <c r="AC1251" s="38">
        <f t="shared" si="118"/>
        <v>0.184765091715338</v>
      </c>
      <c r="AD1251" s="3"/>
    </row>
    <row r="1252" spans="1:30" x14ac:dyDescent="0.25">
      <c r="A1252" s="37">
        <v>46888</v>
      </c>
      <c r="B1252" s="41">
        <v>20000000</v>
      </c>
      <c r="C1252" s="41">
        <v>0</v>
      </c>
      <c r="D1252" s="41">
        <v>50000000</v>
      </c>
      <c r="E1252" s="41">
        <v>0</v>
      </c>
      <c r="F1252" s="41">
        <v>50000000</v>
      </c>
      <c r="G1252" s="41">
        <v>0</v>
      </c>
      <c r="H1252" s="41">
        <v>50000000</v>
      </c>
      <c r="I1252" s="41">
        <v>0</v>
      </c>
      <c r="J1252" s="41">
        <v>40000000</v>
      </c>
      <c r="K1252" s="41">
        <v>0</v>
      </c>
      <c r="L1252" s="41">
        <v>10000000</v>
      </c>
      <c r="M1252" s="41">
        <v>0</v>
      </c>
      <c r="N1252" s="41">
        <v>101000000.0000013</v>
      </c>
      <c r="O1252" s="41">
        <v>79166.666666666672</v>
      </c>
      <c r="P1252" s="41">
        <v>75000000</v>
      </c>
      <c r="Q1252" s="41">
        <v>0</v>
      </c>
      <c r="R1252" s="41">
        <v>50000000</v>
      </c>
      <c r="S1252" s="41">
        <v>0</v>
      </c>
      <c r="T1252" s="41">
        <v>35000000</v>
      </c>
      <c r="U1252" s="41">
        <v>0</v>
      </c>
      <c r="V1252" s="41">
        <v>481000000.00000131</v>
      </c>
      <c r="W1252" s="41">
        <v>79166.666666666672</v>
      </c>
      <c r="X1252" s="38">
        <f t="shared" si="114"/>
        <v>0.96200000000000263</v>
      </c>
      <c r="Y1252" s="39">
        <f t="shared" si="115"/>
        <v>1.5833333333333335E-4</v>
      </c>
      <c r="Z1252" s="39">
        <f t="shared" si="119"/>
        <v>1.646147581462641E-4</v>
      </c>
      <c r="AA1252" s="41">
        <f t="shared" si="116"/>
        <v>18999999.999998689</v>
      </c>
      <c r="AB1252" s="39">
        <f t="shared" si="117"/>
        <v>4.1666666666669546E-3</v>
      </c>
      <c r="AC1252" s="38">
        <f t="shared" si="118"/>
        <v>0.18472906403940828</v>
      </c>
      <c r="AD1252" s="3"/>
    </row>
    <row r="1253" spans="1:30" x14ac:dyDescent="0.25">
      <c r="A1253" s="37">
        <v>46889</v>
      </c>
      <c r="B1253" s="41">
        <v>20000000</v>
      </c>
      <c r="C1253" s="41">
        <v>0</v>
      </c>
      <c r="D1253" s="41">
        <v>50000000</v>
      </c>
      <c r="E1253" s="41">
        <v>0</v>
      </c>
      <c r="F1253" s="41">
        <v>50000000</v>
      </c>
      <c r="G1253" s="41">
        <v>0</v>
      </c>
      <c r="H1253" s="41">
        <v>50000000</v>
      </c>
      <c r="I1253" s="41">
        <v>0</v>
      </c>
      <c r="J1253" s="41">
        <v>40000000</v>
      </c>
      <c r="K1253" s="41">
        <v>0</v>
      </c>
      <c r="L1253" s="41">
        <v>10000000</v>
      </c>
      <c r="M1253" s="41">
        <v>0</v>
      </c>
      <c r="N1253" s="41">
        <v>101079166.666668</v>
      </c>
      <c r="O1253" s="41">
        <v>79166.666666666672</v>
      </c>
      <c r="P1253" s="41">
        <v>75000000</v>
      </c>
      <c r="Q1253" s="41">
        <v>0</v>
      </c>
      <c r="R1253" s="41">
        <v>50000000</v>
      </c>
      <c r="S1253" s="41">
        <v>0</v>
      </c>
      <c r="T1253" s="41">
        <v>35000000</v>
      </c>
      <c r="U1253" s="41">
        <v>0</v>
      </c>
      <c r="V1253" s="41">
        <v>481079166.66666788</v>
      </c>
      <c r="W1253" s="41">
        <v>79166.666666666672</v>
      </c>
      <c r="X1253" s="38">
        <f t="shared" si="114"/>
        <v>0.96215833333333578</v>
      </c>
      <c r="Y1253" s="39">
        <f t="shared" si="115"/>
        <v>1.5833333333333335E-4</v>
      </c>
      <c r="Z1253" s="39">
        <f t="shared" si="119"/>
        <v>1.6458766458766415E-4</v>
      </c>
      <c r="AA1253" s="41">
        <f t="shared" si="116"/>
        <v>18920833.333332121</v>
      </c>
      <c r="AB1253" s="39">
        <f t="shared" si="117"/>
        <v>4.1841004184103104E-3</v>
      </c>
      <c r="AC1253" s="38">
        <f t="shared" si="118"/>
        <v>0.18469305041094147</v>
      </c>
      <c r="AD1253" s="3"/>
    </row>
    <row r="1254" spans="1:30" x14ac:dyDescent="0.25">
      <c r="A1254" s="37">
        <v>46890</v>
      </c>
      <c r="B1254" s="41">
        <v>20000000</v>
      </c>
      <c r="C1254" s="41">
        <v>0</v>
      </c>
      <c r="D1254" s="41">
        <v>50000000</v>
      </c>
      <c r="E1254" s="41">
        <v>0</v>
      </c>
      <c r="F1254" s="41">
        <v>50000000</v>
      </c>
      <c r="G1254" s="41">
        <v>0</v>
      </c>
      <c r="H1254" s="41">
        <v>50000000</v>
      </c>
      <c r="I1254" s="41">
        <v>0</v>
      </c>
      <c r="J1254" s="41">
        <v>40000000</v>
      </c>
      <c r="K1254" s="41">
        <v>0</v>
      </c>
      <c r="L1254" s="41">
        <v>10000000</v>
      </c>
      <c r="M1254" s="41">
        <v>0</v>
      </c>
      <c r="N1254" s="41">
        <v>101158333.33333459</v>
      </c>
      <c r="O1254" s="41">
        <v>79166.666666666672</v>
      </c>
      <c r="P1254" s="41">
        <v>75000000</v>
      </c>
      <c r="Q1254" s="41">
        <v>0</v>
      </c>
      <c r="R1254" s="41">
        <v>50000000</v>
      </c>
      <c r="S1254" s="41">
        <v>0</v>
      </c>
      <c r="T1254" s="41">
        <v>35000000</v>
      </c>
      <c r="U1254" s="41">
        <v>0</v>
      </c>
      <c r="V1254" s="41">
        <v>481158333.33333462</v>
      </c>
      <c r="W1254" s="41">
        <v>79166.666666666672</v>
      </c>
      <c r="X1254" s="38">
        <f t="shared" si="114"/>
        <v>0.96231666666666926</v>
      </c>
      <c r="Y1254" s="39">
        <f t="shared" si="115"/>
        <v>1.5833333333333335E-4</v>
      </c>
      <c r="Z1254" s="39">
        <f t="shared" si="119"/>
        <v>1.6456057994612767E-4</v>
      </c>
      <c r="AA1254" s="41">
        <f t="shared" si="116"/>
        <v>18841666.666665375</v>
      </c>
      <c r="AB1254" s="39">
        <f t="shared" si="117"/>
        <v>4.2016806722691962E-3</v>
      </c>
      <c r="AC1254" s="38">
        <f t="shared" si="118"/>
        <v>0.18465705082172329</v>
      </c>
      <c r="AD1254" s="3"/>
    </row>
    <row r="1255" spans="1:30" x14ac:dyDescent="0.25">
      <c r="A1255" s="37">
        <v>46891</v>
      </c>
      <c r="B1255" s="41">
        <v>20000000</v>
      </c>
      <c r="C1255" s="41">
        <v>0</v>
      </c>
      <c r="D1255" s="41">
        <v>50000000</v>
      </c>
      <c r="E1255" s="41">
        <v>0</v>
      </c>
      <c r="F1255" s="41">
        <v>50000000</v>
      </c>
      <c r="G1255" s="41">
        <v>0</v>
      </c>
      <c r="H1255" s="41">
        <v>50000000</v>
      </c>
      <c r="I1255" s="41">
        <v>0</v>
      </c>
      <c r="J1255" s="41">
        <v>40000000</v>
      </c>
      <c r="K1255" s="41">
        <v>0</v>
      </c>
      <c r="L1255" s="41">
        <v>10000000</v>
      </c>
      <c r="M1255" s="41">
        <v>0</v>
      </c>
      <c r="N1255" s="41">
        <v>101237500.0000013</v>
      </c>
      <c r="O1255" s="41">
        <v>79166.666666666672</v>
      </c>
      <c r="P1255" s="41">
        <v>75000000</v>
      </c>
      <c r="Q1255" s="41">
        <v>0</v>
      </c>
      <c r="R1255" s="41">
        <v>50000000</v>
      </c>
      <c r="S1255" s="41">
        <v>0</v>
      </c>
      <c r="T1255" s="41">
        <v>35000000</v>
      </c>
      <c r="U1255" s="41">
        <v>0</v>
      </c>
      <c r="V1255" s="41">
        <v>481237500.00000131</v>
      </c>
      <c r="W1255" s="41">
        <v>79166.666666666672</v>
      </c>
      <c r="X1255" s="38">
        <f t="shared" si="114"/>
        <v>0.96247500000000263</v>
      </c>
      <c r="Y1255" s="39">
        <f t="shared" si="115"/>
        <v>1.5833333333333335E-4</v>
      </c>
      <c r="Z1255" s="39">
        <f t="shared" si="119"/>
        <v>1.6453350421725307E-4</v>
      </c>
      <c r="AA1255" s="41">
        <f t="shared" si="116"/>
        <v>18762499.999998689</v>
      </c>
      <c r="AB1255" s="39">
        <f t="shared" si="117"/>
        <v>4.2194092827007174E-3</v>
      </c>
      <c r="AC1255" s="38">
        <f t="shared" si="118"/>
        <v>0.18462106526354596</v>
      </c>
      <c r="AD1255" s="3"/>
    </row>
    <row r="1256" spans="1:30" x14ac:dyDescent="0.25">
      <c r="A1256" s="37">
        <v>46892</v>
      </c>
      <c r="B1256" s="41">
        <v>20000000</v>
      </c>
      <c r="C1256" s="41">
        <v>0</v>
      </c>
      <c r="D1256" s="41">
        <v>50000000</v>
      </c>
      <c r="E1256" s="41">
        <v>0</v>
      </c>
      <c r="F1256" s="41">
        <v>50000000</v>
      </c>
      <c r="G1256" s="41">
        <v>0</v>
      </c>
      <c r="H1256" s="41">
        <v>50000000</v>
      </c>
      <c r="I1256" s="41">
        <v>0</v>
      </c>
      <c r="J1256" s="41">
        <v>40000000</v>
      </c>
      <c r="K1256" s="41">
        <v>0</v>
      </c>
      <c r="L1256" s="41">
        <v>10000000</v>
      </c>
      <c r="M1256" s="41">
        <v>0</v>
      </c>
      <c r="N1256" s="41">
        <v>101316666.666668</v>
      </c>
      <c r="O1256" s="41">
        <v>79166.666666666672</v>
      </c>
      <c r="P1256" s="41">
        <v>75000000</v>
      </c>
      <c r="Q1256" s="41">
        <v>0</v>
      </c>
      <c r="R1256" s="41">
        <v>50000000</v>
      </c>
      <c r="S1256" s="41">
        <v>0</v>
      </c>
      <c r="T1256" s="41">
        <v>35000000</v>
      </c>
      <c r="U1256" s="41">
        <v>0</v>
      </c>
      <c r="V1256" s="41">
        <v>481316666.66666788</v>
      </c>
      <c r="W1256" s="41">
        <v>79166.666666666672</v>
      </c>
      <c r="X1256" s="38">
        <f t="shared" si="114"/>
        <v>0.96263333333333578</v>
      </c>
      <c r="Y1256" s="39">
        <f t="shared" si="115"/>
        <v>1.5833333333333335E-4</v>
      </c>
      <c r="Z1256" s="39">
        <f t="shared" si="119"/>
        <v>1.6450643739664191E-4</v>
      </c>
      <c r="AA1256" s="41">
        <f t="shared" si="116"/>
        <v>18683333.333332121</v>
      </c>
      <c r="AB1256" s="39">
        <f t="shared" si="117"/>
        <v>4.2372881355934953E-3</v>
      </c>
      <c r="AC1256" s="38">
        <f t="shared" si="118"/>
        <v>0.18458509372820817</v>
      </c>
      <c r="AD1256" s="3"/>
    </row>
    <row r="1257" spans="1:30" x14ac:dyDescent="0.25">
      <c r="A1257" s="37">
        <v>46893</v>
      </c>
      <c r="B1257" s="41">
        <v>20000000</v>
      </c>
      <c r="C1257" s="41">
        <v>0</v>
      </c>
      <c r="D1257" s="41">
        <v>50000000</v>
      </c>
      <c r="E1257" s="41">
        <v>0</v>
      </c>
      <c r="F1257" s="41">
        <v>50000000</v>
      </c>
      <c r="G1257" s="41">
        <v>0</v>
      </c>
      <c r="H1257" s="41">
        <v>50000000</v>
      </c>
      <c r="I1257" s="41">
        <v>0</v>
      </c>
      <c r="J1257" s="41">
        <v>40000000</v>
      </c>
      <c r="K1257" s="41">
        <v>0</v>
      </c>
      <c r="L1257" s="41">
        <v>10000000</v>
      </c>
      <c r="M1257" s="41">
        <v>0</v>
      </c>
      <c r="N1257" s="41">
        <v>101395833.33333459</v>
      </c>
      <c r="O1257" s="41">
        <v>79166.666666666672</v>
      </c>
      <c r="P1257" s="41">
        <v>75000000</v>
      </c>
      <c r="Q1257" s="41">
        <v>0</v>
      </c>
      <c r="R1257" s="41">
        <v>50000000</v>
      </c>
      <c r="S1257" s="41">
        <v>0</v>
      </c>
      <c r="T1257" s="41">
        <v>35000000</v>
      </c>
      <c r="U1257" s="41">
        <v>0</v>
      </c>
      <c r="V1257" s="41">
        <v>481395833.33333462</v>
      </c>
      <c r="W1257" s="41">
        <v>79166.666666666672</v>
      </c>
      <c r="X1257" s="38">
        <f t="shared" si="114"/>
        <v>0.96279166666666927</v>
      </c>
      <c r="Y1257" s="39">
        <f t="shared" si="115"/>
        <v>1.5833333333333335E-4</v>
      </c>
      <c r="Z1257" s="39">
        <f t="shared" si="119"/>
        <v>1.644793794798985E-4</v>
      </c>
      <c r="AA1257" s="41">
        <f t="shared" si="116"/>
        <v>18604166.666665375</v>
      </c>
      <c r="AB1257" s="39">
        <f t="shared" si="117"/>
        <v>4.2553191489364661E-3</v>
      </c>
      <c r="AC1257" s="38">
        <f t="shared" si="118"/>
        <v>0.18454913620751467</v>
      </c>
      <c r="AD1257" s="3"/>
    </row>
    <row r="1258" spans="1:30" x14ac:dyDescent="0.25">
      <c r="A1258" s="37">
        <v>46894</v>
      </c>
      <c r="B1258" s="41">
        <v>20000000</v>
      </c>
      <c r="C1258" s="41">
        <v>0</v>
      </c>
      <c r="D1258" s="41">
        <v>50000000</v>
      </c>
      <c r="E1258" s="41">
        <v>0</v>
      </c>
      <c r="F1258" s="41">
        <v>50000000</v>
      </c>
      <c r="G1258" s="41">
        <v>0</v>
      </c>
      <c r="H1258" s="41">
        <v>50000000</v>
      </c>
      <c r="I1258" s="41">
        <v>0</v>
      </c>
      <c r="J1258" s="41">
        <v>40000000</v>
      </c>
      <c r="K1258" s="41">
        <v>0</v>
      </c>
      <c r="L1258" s="41">
        <v>10000000</v>
      </c>
      <c r="M1258" s="41">
        <v>0</v>
      </c>
      <c r="N1258" s="41">
        <v>101475000.0000013</v>
      </c>
      <c r="O1258" s="41">
        <v>79166.666666666672</v>
      </c>
      <c r="P1258" s="41">
        <v>75000000</v>
      </c>
      <c r="Q1258" s="41">
        <v>0</v>
      </c>
      <c r="R1258" s="41">
        <v>50000000</v>
      </c>
      <c r="S1258" s="41">
        <v>0</v>
      </c>
      <c r="T1258" s="41">
        <v>35000000</v>
      </c>
      <c r="U1258" s="41">
        <v>0</v>
      </c>
      <c r="V1258" s="41">
        <v>481475000.00000131</v>
      </c>
      <c r="W1258" s="41">
        <v>79166.666666666672</v>
      </c>
      <c r="X1258" s="38">
        <f t="shared" si="114"/>
        <v>0.96295000000000264</v>
      </c>
      <c r="Y1258" s="39">
        <f t="shared" si="115"/>
        <v>1.5833333333333335E-4</v>
      </c>
      <c r="Z1258" s="39">
        <f t="shared" si="119"/>
        <v>1.6445233046262993E-4</v>
      </c>
      <c r="AA1258" s="41">
        <f t="shared" si="116"/>
        <v>18524999.999998689</v>
      </c>
      <c r="AB1258" s="39">
        <f t="shared" si="117"/>
        <v>4.2735042735045766E-3</v>
      </c>
      <c r="AC1258" s="38">
        <f t="shared" si="118"/>
        <v>0.18451319269327698</v>
      </c>
      <c r="AD1258" s="3"/>
    </row>
    <row r="1259" spans="1:30" x14ac:dyDescent="0.25">
      <c r="A1259" s="37">
        <v>46895</v>
      </c>
      <c r="B1259" s="41">
        <v>20000000</v>
      </c>
      <c r="C1259" s="41">
        <v>0</v>
      </c>
      <c r="D1259" s="41">
        <v>50000000</v>
      </c>
      <c r="E1259" s="41">
        <v>0</v>
      </c>
      <c r="F1259" s="41">
        <v>50000000</v>
      </c>
      <c r="G1259" s="41">
        <v>0</v>
      </c>
      <c r="H1259" s="41">
        <v>50000000</v>
      </c>
      <c r="I1259" s="41">
        <v>0</v>
      </c>
      <c r="J1259" s="41">
        <v>40000000</v>
      </c>
      <c r="K1259" s="41">
        <v>0</v>
      </c>
      <c r="L1259" s="41">
        <v>10000000</v>
      </c>
      <c r="M1259" s="41">
        <v>0</v>
      </c>
      <c r="N1259" s="41">
        <v>101554166.666668</v>
      </c>
      <c r="O1259" s="41">
        <v>79166.666666666672</v>
      </c>
      <c r="P1259" s="41">
        <v>75000000</v>
      </c>
      <c r="Q1259" s="41">
        <v>0</v>
      </c>
      <c r="R1259" s="41">
        <v>50000000</v>
      </c>
      <c r="S1259" s="41">
        <v>0</v>
      </c>
      <c r="T1259" s="41">
        <v>35000000</v>
      </c>
      <c r="U1259" s="41">
        <v>0</v>
      </c>
      <c r="V1259" s="41">
        <v>481554166.666668</v>
      </c>
      <c r="W1259" s="41">
        <v>79166.666666666672</v>
      </c>
      <c r="X1259" s="38">
        <f t="shared" si="114"/>
        <v>0.96310833333333601</v>
      </c>
      <c r="Y1259" s="39">
        <f t="shared" si="115"/>
        <v>1.5833333333333335E-4</v>
      </c>
      <c r="Z1259" s="39">
        <f t="shared" si="119"/>
        <v>1.6442529034044645E-4</v>
      </c>
      <c r="AA1259" s="41">
        <f t="shared" si="116"/>
        <v>18445833.333332002</v>
      </c>
      <c r="AB1259" s="39">
        <f t="shared" si="117"/>
        <v>4.2918454935625414E-3</v>
      </c>
      <c r="AC1259" s="38">
        <f t="shared" si="118"/>
        <v>0.18447726317731281</v>
      </c>
      <c r="AD1259" s="3"/>
    </row>
    <row r="1260" spans="1:30" x14ac:dyDescent="0.25">
      <c r="A1260" s="37">
        <v>46896</v>
      </c>
      <c r="B1260" s="41">
        <v>20000000</v>
      </c>
      <c r="C1260" s="41">
        <v>0</v>
      </c>
      <c r="D1260" s="41">
        <v>50000000</v>
      </c>
      <c r="E1260" s="41">
        <v>0</v>
      </c>
      <c r="F1260" s="41">
        <v>50000000</v>
      </c>
      <c r="G1260" s="41">
        <v>0</v>
      </c>
      <c r="H1260" s="41">
        <v>50000000</v>
      </c>
      <c r="I1260" s="41">
        <v>0</v>
      </c>
      <c r="J1260" s="41">
        <v>40000000</v>
      </c>
      <c r="K1260" s="41">
        <v>0</v>
      </c>
      <c r="L1260" s="41">
        <v>10000000</v>
      </c>
      <c r="M1260" s="41">
        <v>0</v>
      </c>
      <c r="N1260" s="41">
        <v>101633333.3333347</v>
      </c>
      <c r="O1260" s="41">
        <v>79166.666666666672</v>
      </c>
      <c r="P1260" s="41">
        <v>75000000</v>
      </c>
      <c r="Q1260" s="41">
        <v>0</v>
      </c>
      <c r="R1260" s="41">
        <v>50000000</v>
      </c>
      <c r="S1260" s="41">
        <v>0</v>
      </c>
      <c r="T1260" s="41">
        <v>35000000</v>
      </c>
      <c r="U1260" s="41">
        <v>0</v>
      </c>
      <c r="V1260" s="41">
        <v>481633333.33333468</v>
      </c>
      <c r="W1260" s="41">
        <v>79166.666666666672</v>
      </c>
      <c r="X1260" s="38">
        <f t="shared" si="114"/>
        <v>0.96326666666666938</v>
      </c>
      <c r="Y1260" s="39">
        <f t="shared" si="115"/>
        <v>1.5833333333333335E-4</v>
      </c>
      <c r="Z1260" s="39">
        <f t="shared" si="119"/>
        <v>1.6439825910896099E-4</v>
      </c>
      <c r="AA1260" s="41">
        <f t="shared" si="116"/>
        <v>18366666.666665316</v>
      </c>
      <c r="AB1260" s="39">
        <f t="shared" si="117"/>
        <v>4.3103448275865243E-3</v>
      </c>
      <c r="AC1260" s="38">
        <f t="shared" si="118"/>
        <v>0.18444134765144624</v>
      </c>
      <c r="AD1260" s="3"/>
    </row>
    <row r="1261" spans="1:30" x14ac:dyDescent="0.25">
      <c r="A1261" s="37">
        <v>46897</v>
      </c>
      <c r="B1261" s="41">
        <v>20000000</v>
      </c>
      <c r="C1261" s="41">
        <v>0</v>
      </c>
      <c r="D1261" s="41">
        <v>50000000</v>
      </c>
      <c r="E1261" s="41">
        <v>0</v>
      </c>
      <c r="F1261" s="41">
        <v>50000000</v>
      </c>
      <c r="G1261" s="41">
        <v>0</v>
      </c>
      <c r="H1261" s="41">
        <v>50000000</v>
      </c>
      <c r="I1261" s="41">
        <v>0</v>
      </c>
      <c r="J1261" s="41">
        <v>40000000</v>
      </c>
      <c r="K1261" s="41">
        <v>0</v>
      </c>
      <c r="L1261" s="41">
        <v>10000000</v>
      </c>
      <c r="M1261" s="41">
        <v>0</v>
      </c>
      <c r="N1261" s="41">
        <v>101712500.0000013</v>
      </c>
      <c r="O1261" s="41">
        <v>79166.666666666672</v>
      </c>
      <c r="P1261" s="41">
        <v>75000000</v>
      </c>
      <c r="Q1261" s="41">
        <v>0</v>
      </c>
      <c r="R1261" s="41">
        <v>50000000</v>
      </c>
      <c r="S1261" s="41">
        <v>0</v>
      </c>
      <c r="T1261" s="41">
        <v>35000000</v>
      </c>
      <c r="U1261" s="41">
        <v>0</v>
      </c>
      <c r="V1261" s="41">
        <v>481712500.00000131</v>
      </c>
      <c r="W1261" s="41">
        <v>79166.666666666672</v>
      </c>
      <c r="X1261" s="38">
        <f t="shared" si="114"/>
        <v>0.96342500000000264</v>
      </c>
      <c r="Y1261" s="39">
        <f t="shared" si="115"/>
        <v>1.5833333333333335E-4</v>
      </c>
      <c r="Z1261" s="39">
        <f t="shared" si="119"/>
        <v>1.6437123676378944E-4</v>
      </c>
      <c r="AA1261" s="41">
        <f t="shared" si="116"/>
        <v>18287499.999998689</v>
      </c>
      <c r="AB1261" s="39">
        <f t="shared" si="117"/>
        <v>4.3290043290046395E-3</v>
      </c>
      <c r="AC1261" s="38">
        <f t="shared" si="118"/>
        <v>0.18440544610750778</v>
      </c>
      <c r="AD1261" s="3"/>
    </row>
    <row r="1262" spans="1:30" x14ac:dyDescent="0.25">
      <c r="A1262" s="37">
        <v>46898</v>
      </c>
      <c r="B1262" s="41">
        <v>20000000</v>
      </c>
      <c r="C1262" s="41">
        <v>0</v>
      </c>
      <c r="D1262" s="41">
        <v>50000000</v>
      </c>
      <c r="E1262" s="41">
        <v>0</v>
      </c>
      <c r="F1262" s="41">
        <v>50000000</v>
      </c>
      <c r="G1262" s="41">
        <v>0</v>
      </c>
      <c r="H1262" s="41">
        <v>50000000</v>
      </c>
      <c r="I1262" s="41">
        <v>0</v>
      </c>
      <c r="J1262" s="41">
        <v>40000000</v>
      </c>
      <c r="K1262" s="41">
        <v>0</v>
      </c>
      <c r="L1262" s="41">
        <v>10000000</v>
      </c>
      <c r="M1262" s="41">
        <v>0</v>
      </c>
      <c r="N1262" s="41">
        <v>101791666.666668</v>
      </c>
      <c r="O1262" s="41">
        <v>79166.666666666672</v>
      </c>
      <c r="P1262" s="41">
        <v>75000000</v>
      </c>
      <c r="Q1262" s="41">
        <v>0</v>
      </c>
      <c r="R1262" s="41">
        <v>50000000</v>
      </c>
      <c r="S1262" s="41">
        <v>0</v>
      </c>
      <c r="T1262" s="41">
        <v>35000000</v>
      </c>
      <c r="U1262" s="41">
        <v>0</v>
      </c>
      <c r="V1262" s="41">
        <v>481791666.666668</v>
      </c>
      <c r="W1262" s="41">
        <v>79166.666666666672</v>
      </c>
      <c r="X1262" s="38">
        <f t="shared" si="114"/>
        <v>0.96358333333333601</v>
      </c>
      <c r="Y1262" s="39">
        <f t="shared" si="115"/>
        <v>1.5833333333333335E-4</v>
      </c>
      <c r="Z1262" s="39">
        <f t="shared" si="119"/>
        <v>1.6434422330055055E-4</v>
      </c>
      <c r="AA1262" s="41">
        <f t="shared" si="116"/>
        <v>18208333.333332002</v>
      </c>
      <c r="AB1262" s="39">
        <f t="shared" si="117"/>
        <v>4.3478260869568401E-3</v>
      </c>
      <c r="AC1262" s="38">
        <f t="shared" si="118"/>
        <v>0.18436955853733422</v>
      </c>
      <c r="AD1262" s="3"/>
    </row>
    <row r="1263" spans="1:30" x14ac:dyDescent="0.25">
      <c r="A1263" s="37">
        <v>46899</v>
      </c>
      <c r="B1263" s="41">
        <v>20000000</v>
      </c>
      <c r="C1263" s="41">
        <v>0</v>
      </c>
      <c r="D1263" s="41">
        <v>50000000</v>
      </c>
      <c r="E1263" s="41">
        <v>0</v>
      </c>
      <c r="F1263" s="41">
        <v>50000000</v>
      </c>
      <c r="G1263" s="41">
        <v>0</v>
      </c>
      <c r="H1263" s="41">
        <v>50000000</v>
      </c>
      <c r="I1263" s="41">
        <v>0</v>
      </c>
      <c r="J1263" s="41">
        <v>40000000</v>
      </c>
      <c r="K1263" s="41">
        <v>0</v>
      </c>
      <c r="L1263" s="41">
        <v>10000000</v>
      </c>
      <c r="M1263" s="41">
        <v>0</v>
      </c>
      <c r="N1263" s="41">
        <v>101870833.3333347</v>
      </c>
      <c r="O1263" s="41">
        <v>79166.666666666672</v>
      </c>
      <c r="P1263" s="41">
        <v>75000000</v>
      </c>
      <c r="Q1263" s="41">
        <v>0</v>
      </c>
      <c r="R1263" s="41">
        <v>50000000</v>
      </c>
      <c r="S1263" s="41">
        <v>0</v>
      </c>
      <c r="T1263" s="41">
        <v>35000000</v>
      </c>
      <c r="U1263" s="41">
        <v>0</v>
      </c>
      <c r="V1263" s="41">
        <v>481870833.33333468</v>
      </c>
      <c r="W1263" s="41">
        <v>79166.666666666672</v>
      </c>
      <c r="X1263" s="38">
        <f t="shared" si="114"/>
        <v>0.96374166666666938</v>
      </c>
      <c r="Y1263" s="39">
        <f t="shared" si="115"/>
        <v>1.5833333333333335E-4</v>
      </c>
      <c r="Z1263" s="39">
        <f t="shared" si="119"/>
        <v>1.6431721871486594E-4</v>
      </c>
      <c r="AA1263" s="41">
        <f t="shared" si="116"/>
        <v>18129166.666665316</v>
      </c>
      <c r="AB1263" s="39">
        <f t="shared" si="117"/>
        <v>4.3668122270745617E-3</v>
      </c>
      <c r="AC1263" s="38">
        <f t="shared" si="118"/>
        <v>0.1843336849327688</v>
      </c>
      <c r="AD1263" s="3"/>
    </row>
    <row r="1264" spans="1:30" x14ac:dyDescent="0.25">
      <c r="A1264" s="37">
        <v>46900</v>
      </c>
      <c r="B1264" s="41">
        <v>20000000</v>
      </c>
      <c r="C1264" s="41">
        <v>0</v>
      </c>
      <c r="D1264" s="41">
        <v>50000000</v>
      </c>
      <c r="E1264" s="41">
        <v>0</v>
      </c>
      <c r="F1264" s="41">
        <v>50000000</v>
      </c>
      <c r="G1264" s="41">
        <v>0</v>
      </c>
      <c r="H1264" s="41">
        <v>50000000</v>
      </c>
      <c r="I1264" s="41">
        <v>0</v>
      </c>
      <c r="J1264" s="41">
        <v>40000000</v>
      </c>
      <c r="K1264" s="41">
        <v>0</v>
      </c>
      <c r="L1264" s="41">
        <v>10000000</v>
      </c>
      <c r="M1264" s="41">
        <v>0</v>
      </c>
      <c r="N1264" s="41">
        <v>101950000.0000013</v>
      </c>
      <c r="O1264" s="41">
        <v>79166.666666666672</v>
      </c>
      <c r="P1264" s="41">
        <v>75000000</v>
      </c>
      <c r="Q1264" s="41">
        <v>0</v>
      </c>
      <c r="R1264" s="41">
        <v>50000000</v>
      </c>
      <c r="S1264" s="41">
        <v>0</v>
      </c>
      <c r="T1264" s="41">
        <v>35000000</v>
      </c>
      <c r="U1264" s="41">
        <v>0</v>
      </c>
      <c r="V1264" s="41">
        <v>481950000.00000131</v>
      </c>
      <c r="W1264" s="41">
        <v>79166.666666666672</v>
      </c>
      <c r="X1264" s="38">
        <f t="shared" si="114"/>
        <v>0.96390000000000264</v>
      </c>
      <c r="Y1264" s="39">
        <f t="shared" si="115"/>
        <v>1.5833333333333335E-4</v>
      </c>
      <c r="Z1264" s="39">
        <f t="shared" si="119"/>
        <v>1.6429022300236014E-4</v>
      </c>
      <c r="AA1264" s="41">
        <f t="shared" si="116"/>
        <v>18049999.999998689</v>
      </c>
      <c r="AB1264" s="39">
        <f t="shared" si="117"/>
        <v>4.3859649122810207E-3</v>
      </c>
      <c r="AC1264" s="38">
        <f t="shared" si="118"/>
        <v>0.18429782528566105</v>
      </c>
      <c r="AD1264" s="3"/>
    </row>
    <row r="1265" spans="1:30" x14ac:dyDescent="0.25">
      <c r="A1265" s="37">
        <v>46901</v>
      </c>
      <c r="B1265" s="41">
        <v>20000000</v>
      </c>
      <c r="C1265" s="41">
        <v>0</v>
      </c>
      <c r="D1265" s="41">
        <v>50000000</v>
      </c>
      <c r="E1265" s="41">
        <v>0</v>
      </c>
      <c r="F1265" s="41">
        <v>50000000</v>
      </c>
      <c r="G1265" s="41">
        <v>0</v>
      </c>
      <c r="H1265" s="41">
        <v>50000000</v>
      </c>
      <c r="I1265" s="41">
        <v>0</v>
      </c>
      <c r="J1265" s="41">
        <v>40000000</v>
      </c>
      <c r="K1265" s="41">
        <v>0</v>
      </c>
      <c r="L1265" s="41">
        <v>10000000</v>
      </c>
      <c r="M1265" s="41">
        <v>0</v>
      </c>
      <c r="N1265" s="41">
        <v>102029166.666668</v>
      </c>
      <c r="O1265" s="41">
        <v>79166.666666666672</v>
      </c>
      <c r="P1265" s="41">
        <v>75000000</v>
      </c>
      <c r="Q1265" s="41">
        <v>0</v>
      </c>
      <c r="R1265" s="41">
        <v>50000000</v>
      </c>
      <c r="S1265" s="41">
        <v>0</v>
      </c>
      <c r="T1265" s="41">
        <v>35000000</v>
      </c>
      <c r="U1265" s="41">
        <v>0</v>
      </c>
      <c r="V1265" s="41">
        <v>482029166.666668</v>
      </c>
      <c r="W1265" s="41">
        <v>79166.666666666672</v>
      </c>
      <c r="X1265" s="38">
        <f t="shared" si="114"/>
        <v>0.96405833333333601</v>
      </c>
      <c r="Y1265" s="39">
        <f t="shared" si="115"/>
        <v>1.5833333333333335E-4</v>
      </c>
      <c r="Z1265" s="39">
        <f t="shared" si="119"/>
        <v>1.6426323615866055E-4</v>
      </c>
      <c r="AA1265" s="41">
        <f t="shared" si="116"/>
        <v>17970833.333332002</v>
      </c>
      <c r="AB1265" s="39">
        <f t="shared" si="117"/>
        <v>4.4052863436126613E-3</v>
      </c>
      <c r="AC1265" s="38">
        <f t="shared" si="118"/>
        <v>0.18426197958786678</v>
      </c>
      <c r="AD1265" s="3"/>
    </row>
    <row r="1266" spans="1:30" x14ac:dyDescent="0.25">
      <c r="A1266" s="37">
        <v>46902</v>
      </c>
      <c r="B1266" s="41">
        <v>20000000</v>
      </c>
      <c r="C1266" s="41">
        <v>0</v>
      </c>
      <c r="D1266" s="41">
        <v>50000000</v>
      </c>
      <c r="E1266" s="41">
        <v>0</v>
      </c>
      <c r="F1266" s="41">
        <v>50000000</v>
      </c>
      <c r="G1266" s="41">
        <v>0</v>
      </c>
      <c r="H1266" s="41">
        <v>50000000</v>
      </c>
      <c r="I1266" s="41">
        <v>0</v>
      </c>
      <c r="J1266" s="41">
        <v>40000000</v>
      </c>
      <c r="K1266" s="41">
        <v>0</v>
      </c>
      <c r="L1266" s="41">
        <v>10000000</v>
      </c>
      <c r="M1266" s="41">
        <v>0</v>
      </c>
      <c r="N1266" s="41">
        <v>102108333.3333347</v>
      </c>
      <c r="O1266" s="41">
        <v>79166.666666666672</v>
      </c>
      <c r="P1266" s="41">
        <v>75000000</v>
      </c>
      <c r="Q1266" s="41">
        <v>0</v>
      </c>
      <c r="R1266" s="41">
        <v>50000000</v>
      </c>
      <c r="S1266" s="41">
        <v>0</v>
      </c>
      <c r="T1266" s="41">
        <v>35000000</v>
      </c>
      <c r="U1266" s="41">
        <v>0</v>
      </c>
      <c r="V1266" s="41">
        <v>482108333.33333468</v>
      </c>
      <c r="W1266" s="41">
        <v>79166.666666666672</v>
      </c>
      <c r="X1266" s="38">
        <f t="shared" si="114"/>
        <v>0.96421666666666939</v>
      </c>
      <c r="Y1266" s="39">
        <f t="shared" si="115"/>
        <v>1.5833333333333335E-4</v>
      </c>
      <c r="Z1266" s="39">
        <f t="shared" si="119"/>
        <v>1.6423625817939741E-4</v>
      </c>
      <c r="AA1266" s="41">
        <f t="shared" si="116"/>
        <v>17891666.666665316</v>
      </c>
      <c r="AB1266" s="39">
        <f t="shared" si="117"/>
        <v>4.4247787610622816E-3</v>
      </c>
      <c r="AC1266" s="38">
        <f t="shared" si="118"/>
        <v>0.18422614783124824</v>
      </c>
      <c r="AD1266" s="3"/>
    </row>
    <row r="1267" spans="1:30" x14ac:dyDescent="0.25">
      <c r="A1267" s="37">
        <v>46903</v>
      </c>
      <c r="B1267" s="41">
        <v>20000000</v>
      </c>
      <c r="C1267" s="41">
        <v>0</v>
      </c>
      <c r="D1267" s="41">
        <v>50000000</v>
      </c>
      <c r="E1267" s="41">
        <v>0</v>
      </c>
      <c r="F1267" s="41">
        <v>50000000</v>
      </c>
      <c r="G1267" s="41">
        <v>0</v>
      </c>
      <c r="H1267" s="41">
        <v>50000000</v>
      </c>
      <c r="I1267" s="41">
        <v>0</v>
      </c>
      <c r="J1267" s="41">
        <v>40000000</v>
      </c>
      <c r="K1267" s="41">
        <v>0</v>
      </c>
      <c r="L1267" s="41">
        <v>10000000</v>
      </c>
      <c r="M1267" s="41">
        <v>0</v>
      </c>
      <c r="N1267" s="41">
        <v>102187500.0000014</v>
      </c>
      <c r="O1267" s="41">
        <v>79166.666666666672</v>
      </c>
      <c r="P1267" s="41">
        <v>75000000</v>
      </c>
      <c r="Q1267" s="41">
        <v>0</v>
      </c>
      <c r="R1267" s="41">
        <v>50000000</v>
      </c>
      <c r="S1267" s="41">
        <v>0</v>
      </c>
      <c r="T1267" s="41">
        <v>35000000</v>
      </c>
      <c r="U1267" s="41">
        <v>0</v>
      </c>
      <c r="V1267" s="41">
        <v>482187500.00000137</v>
      </c>
      <c r="W1267" s="41">
        <v>79166.666666666672</v>
      </c>
      <c r="X1267" s="38">
        <f t="shared" si="114"/>
        <v>0.96437500000000276</v>
      </c>
      <c r="Y1267" s="39">
        <f t="shared" si="115"/>
        <v>1.5833333333333335E-4</v>
      </c>
      <c r="Z1267" s="39">
        <f t="shared" si="119"/>
        <v>1.6420928906020387E-4</v>
      </c>
      <c r="AA1267" s="41">
        <f t="shared" si="116"/>
        <v>17812499.999998629</v>
      </c>
      <c r="AB1267" s="39">
        <f t="shared" si="117"/>
        <v>4.444444444444787E-3</v>
      </c>
      <c r="AC1267" s="38">
        <f t="shared" si="118"/>
        <v>0.18419033000767399</v>
      </c>
      <c r="AD1267" s="3"/>
    </row>
    <row r="1268" spans="1:30" x14ac:dyDescent="0.25">
      <c r="A1268" s="37">
        <v>46904</v>
      </c>
      <c r="B1268" s="41">
        <v>20000000</v>
      </c>
      <c r="C1268" s="41">
        <v>0</v>
      </c>
      <c r="D1268" s="41">
        <v>50000000</v>
      </c>
      <c r="E1268" s="41">
        <v>0</v>
      </c>
      <c r="F1268" s="41">
        <v>50000000</v>
      </c>
      <c r="G1268" s="41">
        <v>0</v>
      </c>
      <c r="H1268" s="41">
        <v>50000000</v>
      </c>
      <c r="I1268" s="41">
        <v>0</v>
      </c>
      <c r="J1268" s="41">
        <v>40000000</v>
      </c>
      <c r="K1268" s="41">
        <v>0</v>
      </c>
      <c r="L1268" s="41">
        <v>10000000</v>
      </c>
      <c r="M1268" s="41">
        <v>0</v>
      </c>
      <c r="N1268" s="41">
        <v>102266666.666668</v>
      </c>
      <c r="O1268" s="41">
        <v>79166.666666666672</v>
      </c>
      <c r="P1268" s="41">
        <v>75000000</v>
      </c>
      <c r="Q1268" s="41">
        <v>0</v>
      </c>
      <c r="R1268" s="41">
        <v>50000000</v>
      </c>
      <c r="S1268" s="41">
        <v>0</v>
      </c>
      <c r="T1268" s="41">
        <v>35000000</v>
      </c>
      <c r="U1268" s="41">
        <v>0</v>
      </c>
      <c r="V1268" s="41">
        <v>482266666.66666812</v>
      </c>
      <c r="W1268" s="41">
        <v>79166.666666666672</v>
      </c>
      <c r="X1268" s="38">
        <f t="shared" si="114"/>
        <v>0.96453333333333624</v>
      </c>
      <c r="Y1268" s="39">
        <f t="shared" si="115"/>
        <v>1.5833333333333335E-4</v>
      </c>
      <c r="Z1268" s="39">
        <f t="shared" si="119"/>
        <v>1.641823287967159E-4</v>
      </c>
      <c r="AA1268" s="41">
        <f t="shared" si="116"/>
        <v>17733333.333331883</v>
      </c>
      <c r="AB1268" s="39">
        <f t="shared" si="117"/>
        <v>4.4642857142860801E-3</v>
      </c>
      <c r="AC1268" s="38">
        <f t="shared" si="118"/>
        <v>0.18415452610901883</v>
      </c>
      <c r="AD1268" s="3"/>
    </row>
    <row r="1269" spans="1:30" x14ac:dyDescent="0.25">
      <c r="A1269" s="37">
        <v>46905</v>
      </c>
      <c r="B1269" s="41">
        <v>20000000</v>
      </c>
      <c r="C1269" s="41">
        <v>0</v>
      </c>
      <c r="D1269" s="41">
        <v>50000000</v>
      </c>
      <c r="E1269" s="41">
        <v>0</v>
      </c>
      <c r="F1269" s="41">
        <v>50000000</v>
      </c>
      <c r="G1269" s="41">
        <v>0</v>
      </c>
      <c r="H1269" s="41">
        <v>50000000</v>
      </c>
      <c r="I1269" s="41">
        <v>0</v>
      </c>
      <c r="J1269" s="41">
        <v>40000000</v>
      </c>
      <c r="K1269" s="41">
        <v>0</v>
      </c>
      <c r="L1269" s="41">
        <v>10000000</v>
      </c>
      <c r="M1269" s="41">
        <v>0</v>
      </c>
      <c r="N1269" s="41">
        <v>102345833.3333347</v>
      </c>
      <c r="O1269" s="41">
        <v>79166.666666666672</v>
      </c>
      <c r="P1269" s="41">
        <v>75000000</v>
      </c>
      <c r="Q1269" s="41">
        <v>0</v>
      </c>
      <c r="R1269" s="41">
        <v>50000000</v>
      </c>
      <c r="S1269" s="41">
        <v>0</v>
      </c>
      <c r="T1269" s="41">
        <v>35000000</v>
      </c>
      <c r="U1269" s="41">
        <v>0</v>
      </c>
      <c r="V1269" s="41">
        <v>482345833.33333468</v>
      </c>
      <c r="W1269" s="41">
        <v>79166.666666666672</v>
      </c>
      <c r="X1269" s="38">
        <f t="shared" si="114"/>
        <v>0.96469166666666939</v>
      </c>
      <c r="Y1269" s="39">
        <f t="shared" si="115"/>
        <v>1.5833333333333335E-4</v>
      </c>
      <c r="Z1269" s="39">
        <f t="shared" si="119"/>
        <v>1.6415537738457238E-4</v>
      </c>
      <c r="AA1269" s="41">
        <f t="shared" si="116"/>
        <v>17654166.666665316</v>
      </c>
      <c r="AB1269" s="39">
        <f t="shared" si="117"/>
        <v>4.4843049327357694E-3</v>
      </c>
      <c r="AC1269" s="38">
        <f t="shared" si="118"/>
        <v>0.18411873612716406</v>
      </c>
      <c r="AD1269" s="3"/>
    </row>
    <row r="1270" spans="1:30" x14ac:dyDescent="0.25">
      <c r="A1270" s="37">
        <v>46906</v>
      </c>
      <c r="B1270" s="41">
        <v>20000000</v>
      </c>
      <c r="C1270" s="41">
        <v>0</v>
      </c>
      <c r="D1270" s="41">
        <v>50000000</v>
      </c>
      <c r="E1270" s="41">
        <v>0</v>
      </c>
      <c r="F1270" s="41">
        <v>50000000</v>
      </c>
      <c r="G1270" s="41">
        <v>0</v>
      </c>
      <c r="H1270" s="41">
        <v>50000000</v>
      </c>
      <c r="I1270" s="41">
        <v>0</v>
      </c>
      <c r="J1270" s="41">
        <v>40000000</v>
      </c>
      <c r="K1270" s="41">
        <v>0</v>
      </c>
      <c r="L1270" s="41">
        <v>10000000</v>
      </c>
      <c r="M1270" s="41">
        <v>0</v>
      </c>
      <c r="N1270" s="41">
        <v>102425000.0000014</v>
      </c>
      <c r="O1270" s="41">
        <v>79166.666666666672</v>
      </c>
      <c r="P1270" s="41">
        <v>75000000</v>
      </c>
      <c r="Q1270" s="41">
        <v>0</v>
      </c>
      <c r="R1270" s="41">
        <v>50000000</v>
      </c>
      <c r="S1270" s="41">
        <v>0</v>
      </c>
      <c r="T1270" s="41">
        <v>35000000</v>
      </c>
      <c r="U1270" s="41">
        <v>0</v>
      </c>
      <c r="V1270" s="41">
        <v>482425000.00000137</v>
      </c>
      <c r="W1270" s="41">
        <v>79166.666666666672</v>
      </c>
      <c r="X1270" s="38">
        <f t="shared" si="114"/>
        <v>0.96485000000000276</v>
      </c>
      <c r="Y1270" s="39">
        <f t="shared" si="115"/>
        <v>1.5833333333333335E-4</v>
      </c>
      <c r="Z1270" s="39">
        <f t="shared" si="119"/>
        <v>1.6412843481941508E-4</v>
      </c>
      <c r="AA1270" s="41">
        <f t="shared" si="116"/>
        <v>17574999.999998629</v>
      </c>
      <c r="AB1270" s="39">
        <f t="shared" si="117"/>
        <v>4.5045045045048557E-3</v>
      </c>
      <c r="AC1270" s="38">
        <f t="shared" si="118"/>
        <v>0.18408296005399705</v>
      </c>
      <c r="AD1270" s="3"/>
    </row>
    <row r="1271" spans="1:30" x14ac:dyDescent="0.25">
      <c r="A1271" s="37">
        <v>46907</v>
      </c>
      <c r="B1271" s="41">
        <v>20000000</v>
      </c>
      <c r="C1271" s="41">
        <v>0</v>
      </c>
      <c r="D1271" s="41">
        <v>50000000</v>
      </c>
      <c r="E1271" s="41">
        <v>0</v>
      </c>
      <c r="F1271" s="41">
        <v>50000000</v>
      </c>
      <c r="G1271" s="41">
        <v>0</v>
      </c>
      <c r="H1271" s="41">
        <v>50000000</v>
      </c>
      <c r="I1271" s="41">
        <v>0</v>
      </c>
      <c r="J1271" s="41">
        <v>40000000</v>
      </c>
      <c r="K1271" s="41">
        <v>0</v>
      </c>
      <c r="L1271" s="41">
        <v>10000000</v>
      </c>
      <c r="M1271" s="41">
        <v>0</v>
      </c>
      <c r="N1271" s="41">
        <v>102504166.666668</v>
      </c>
      <c r="O1271" s="41">
        <v>79166.666666666672</v>
      </c>
      <c r="P1271" s="41">
        <v>75000000</v>
      </c>
      <c r="Q1271" s="41">
        <v>0</v>
      </c>
      <c r="R1271" s="41">
        <v>50000000</v>
      </c>
      <c r="S1271" s="41">
        <v>0</v>
      </c>
      <c r="T1271" s="41">
        <v>35000000</v>
      </c>
      <c r="U1271" s="41">
        <v>0</v>
      </c>
      <c r="V1271" s="41">
        <v>482504166.66666812</v>
      </c>
      <c r="W1271" s="41">
        <v>79166.666666666672</v>
      </c>
      <c r="X1271" s="38">
        <f t="shared" si="114"/>
        <v>0.96500833333333624</v>
      </c>
      <c r="Y1271" s="39">
        <f t="shared" si="115"/>
        <v>1.5833333333333335E-4</v>
      </c>
      <c r="Z1271" s="39">
        <f t="shared" si="119"/>
        <v>1.6410150109688853E-4</v>
      </c>
      <c r="AA1271" s="41">
        <f t="shared" si="116"/>
        <v>17495833.333331883</v>
      </c>
      <c r="AB1271" s="39">
        <f t="shared" si="117"/>
        <v>4.5248868778284294E-3</v>
      </c>
      <c r="AC1271" s="38">
        <f t="shared" si="118"/>
        <v>0.18404719788141161</v>
      </c>
      <c r="AD1271" s="3"/>
    </row>
    <row r="1272" spans="1:30" x14ac:dyDescent="0.25">
      <c r="A1272" s="37">
        <v>46908</v>
      </c>
      <c r="B1272" s="41">
        <v>20000000</v>
      </c>
      <c r="C1272" s="41">
        <v>0</v>
      </c>
      <c r="D1272" s="41">
        <v>50000000</v>
      </c>
      <c r="E1272" s="41">
        <v>0</v>
      </c>
      <c r="F1272" s="41">
        <v>50000000</v>
      </c>
      <c r="G1272" s="41">
        <v>0</v>
      </c>
      <c r="H1272" s="41">
        <v>50000000</v>
      </c>
      <c r="I1272" s="41">
        <v>0</v>
      </c>
      <c r="J1272" s="41">
        <v>40000000</v>
      </c>
      <c r="K1272" s="41">
        <v>0</v>
      </c>
      <c r="L1272" s="41">
        <v>10000000</v>
      </c>
      <c r="M1272" s="41">
        <v>0</v>
      </c>
      <c r="N1272" s="41">
        <v>102583333.3333347</v>
      </c>
      <c r="O1272" s="41">
        <v>79166.666666666672</v>
      </c>
      <c r="P1272" s="41">
        <v>75000000</v>
      </c>
      <c r="Q1272" s="41">
        <v>0</v>
      </c>
      <c r="R1272" s="41">
        <v>50000000</v>
      </c>
      <c r="S1272" s="41">
        <v>0</v>
      </c>
      <c r="T1272" s="41">
        <v>35000000</v>
      </c>
      <c r="U1272" s="41">
        <v>0</v>
      </c>
      <c r="V1272" s="41">
        <v>482583333.33333468</v>
      </c>
      <c r="W1272" s="41">
        <v>79166.666666666672</v>
      </c>
      <c r="X1272" s="38">
        <f t="shared" si="114"/>
        <v>0.96516666666666939</v>
      </c>
      <c r="Y1272" s="39">
        <f t="shared" si="115"/>
        <v>1.5833333333333335E-4</v>
      </c>
      <c r="Z1272" s="39">
        <f t="shared" si="119"/>
        <v>1.6407457621264016E-4</v>
      </c>
      <c r="AA1272" s="41">
        <f t="shared" si="116"/>
        <v>17416666.666665316</v>
      </c>
      <c r="AB1272" s="39">
        <f t="shared" si="117"/>
        <v>4.5454545454548982E-3</v>
      </c>
      <c r="AC1272" s="38">
        <f t="shared" si="118"/>
        <v>0.18401144960130791</v>
      </c>
      <c r="AD1272" s="3"/>
    </row>
    <row r="1273" spans="1:30" x14ac:dyDescent="0.25">
      <c r="A1273" s="37">
        <v>46909</v>
      </c>
      <c r="B1273" s="41">
        <v>20000000</v>
      </c>
      <c r="C1273" s="41">
        <v>0</v>
      </c>
      <c r="D1273" s="41">
        <v>50000000</v>
      </c>
      <c r="E1273" s="41">
        <v>0</v>
      </c>
      <c r="F1273" s="41">
        <v>50000000</v>
      </c>
      <c r="G1273" s="41">
        <v>0</v>
      </c>
      <c r="H1273" s="41">
        <v>50000000</v>
      </c>
      <c r="I1273" s="41">
        <v>0</v>
      </c>
      <c r="J1273" s="41">
        <v>40000000</v>
      </c>
      <c r="K1273" s="41">
        <v>0</v>
      </c>
      <c r="L1273" s="41">
        <v>10000000</v>
      </c>
      <c r="M1273" s="41">
        <v>0</v>
      </c>
      <c r="N1273" s="41">
        <v>102662500.0000014</v>
      </c>
      <c r="O1273" s="41">
        <v>79166.666666666672</v>
      </c>
      <c r="P1273" s="41">
        <v>75000000</v>
      </c>
      <c r="Q1273" s="41">
        <v>0</v>
      </c>
      <c r="R1273" s="41">
        <v>50000000</v>
      </c>
      <c r="S1273" s="41">
        <v>0</v>
      </c>
      <c r="T1273" s="41">
        <v>35000000</v>
      </c>
      <c r="U1273" s="41">
        <v>0</v>
      </c>
      <c r="V1273" s="41">
        <v>482662500.00000137</v>
      </c>
      <c r="W1273" s="41">
        <v>79166.666666666672</v>
      </c>
      <c r="X1273" s="38">
        <f t="shared" si="114"/>
        <v>0.96532500000000276</v>
      </c>
      <c r="Y1273" s="39">
        <f t="shared" si="115"/>
        <v>1.5833333333333335E-4</v>
      </c>
      <c r="Z1273" s="39">
        <f t="shared" si="119"/>
        <v>1.6404766016232038E-4</v>
      </c>
      <c r="AA1273" s="41">
        <f t="shared" si="116"/>
        <v>17337499.999998629</v>
      </c>
      <c r="AB1273" s="39">
        <f t="shared" si="117"/>
        <v>4.5662100456624619E-3</v>
      </c>
      <c r="AC1273" s="38">
        <f t="shared" si="118"/>
        <v>0.18397571520559225</v>
      </c>
      <c r="AD1273" s="3"/>
    </row>
    <row r="1274" spans="1:30" x14ac:dyDescent="0.25">
      <c r="A1274" s="37">
        <v>46910</v>
      </c>
      <c r="B1274" s="41">
        <v>20000000</v>
      </c>
      <c r="C1274" s="41">
        <v>0</v>
      </c>
      <c r="D1274" s="41">
        <v>50000000</v>
      </c>
      <c r="E1274" s="41">
        <v>0</v>
      </c>
      <c r="F1274" s="41">
        <v>50000000</v>
      </c>
      <c r="G1274" s="41">
        <v>0</v>
      </c>
      <c r="H1274" s="41">
        <v>50000000</v>
      </c>
      <c r="I1274" s="41">
        <v>0</v>
      </c>
      <c r="J1274" s="41">
        <v>40000000</v>
      </c>
      <c r="K1274" s="41">
        <v>0</v>
      </c>
      <c r="L1274" s="41">
        <v>10000000</v>
      </c>
      <c r="M1274" s="41">
        <v>0</v>
      </c>
      <c r="N1274" s="41">
        <v>102741666.6666681</v>
      </c>
      <c r="O1274" s="41">
        <v>79166.666666666672</v>
      </c>
      <c r="P1274" s="41">
        <v>75000000</v>
      </c>
      <c r="Q1274" s="41">
        <v>0</v>
      </c>
      <c r="R1274" s="41">
        <v>50000000</v>
      </c>
      <c r="S1274" s="41">
        <v>0</v>
      </c>
      <c r="T1274" s="41">
        <v>35000000</v>
      </c>
      <c r="U1274" s="41">
        <v>0</v>
      </c>
      <c r="V1274" s="41">
        <v>482741666.66666812</v>
      </c>
      <c r="W1274" s="41">
        <v>79166.666666666672</v>
      </c>
      <c r="X1274" s="38">
        <f t="shared" si="114"/>
        <v>0.96548333333333625</v>
      </c>
      <c r="Y1274" s="39">
        <f t="shared" si="115"/>
        <v>1.5833333333333335E-4</v>
      </c>
      <c r="Z1274" s="39">
        <f t="shared" si="119"/>
        <v>1.6402075294158226E-4</v>
      </c>
      <c r="AA1274" s="41">
        <f t="shared" si="116"/>
        <v>17258333.333331883</v>
      </c>
      <c r="AB1274" s="39">
        <f t="shared" si="117"/>
        <v>4.5871559633031377E-3</v>
      </c>
      <c r="AC1274" s="38">
        <f t="shared" si="118"/>
        <v>0.18393999468617728</v>
      </c>
      <c r="AD1274" s="3"/>
    </row>
    <row r="1275" spans="1:30" x14ac:dyDescent="0.25">
      <c r="A1275" s="37">
        <v>46911</v>
      </c>
      <c r="B1275" s="41">
        <v>20000000</v>
      </c>
      <c r="C1275" s="41">
        <v>0</v>
      </c>
      <c r="D1275" s="41">
        <v>50000000</v>
      </c>
      <c r="E1275" s="41">
        <v>0</v>
      </c>
      <c r="F1275" s="41">
        <v>50000000</v>
      </c>
      <c r="G1275" s="41">
        <v>0</v>
      </c>
      <c r="H1275" s="41">
        <v>50000000</v>
      </c>
      <c r="I1275" s="41">
        <v>0</v>
      </c>
      <c r="J1275" s="41">
        <v>40000000</v>
      </c>
      <c r="K1275" s="41">
        <v>0</v>
      </c>
      <c r="L1275" s="41">
        <v>10000000</v>
      </c>
      <c r="M1275" s="41">
        <v>0</v>
      </c>
      <c r="N1275" s="41">
        <v>102820833.3333347</v>
      </c>
      <c r="O1275" s="41">
        <v>79166.666666666672</v>
      </c>
      <c r="P1275" s="41">
        <v>75000000</v>
      </c>
      <c r="Q1275" s="41">
        <v>0</v>
      </c>
      <c r="R1275" s="41">
        <v>50000000</v>
      </c>
      <c r="S1275" s="41">
        <v>0</v>
      </c>
      <c r="T1275" s="41">
        <v>35000000</v>
      </c>
      <c r="U1275" s="41">
        <v>0</v>
      </c>
      <c r="V1275" s="41">
        <v>482820833.33333468</v>
      </c>
      <c r="W1275" s="41">
        <v>79166.666666666672</v>
      </c>
      <c r="X1275" s="38">
        <f t="shared" si="114"/>
        <v>0.9656416666666694</v>
      </c>
      <c r="Y1275" s="39">
        <f t="shared" si="115"/>
        <v>1.5833333333333335E-4</v>
      </c>
      <c r="Z1275" s="39">
        <f t="shared" si="119"/>
        <v>1.6399385454608179E-4</v>
      </c>
      <c r="AA1275" s="41">
        <f t="shared" si="116"/>
        <v>17179166.666665316</v>
      </c>
      <c r="AB1275" s="39">
        <f t="shared" si="117"/>
        <v>4.6082949308759386E-3</v>
      </c>
      <c r="AC1275" s="38">
        <f t="shared" si="118"/>
        <v>0.18390428803498207</v>
      </c>
      <c r="AD1275" s="3"/>
    </row>
    <row r="1276" spans="1:30" x14ac:dyDescent="0.25">
      <c r="A1276" s="37">
        <v>46912</v>
      </c>
      <c r="B1276" s="41">
        <v>20000000</v>
      </c>
      <c r="C1276" s="41">
        <v>0</v>
      </c>
      <c r="D1276" s="41">
        <v>50000000</v>
      </c>
      <c r="E1276" s="41">
        <v>0</v>
      </c>
      <c r="F1276" s="41">
        <v>50000000</v>
      </c>
      <c r="G1276" s="41">
        <v>0</v>
      </c>
      <c r="H1276" s="41">
        <v>50000000</v>
      </c>
      <c r="I1276" s="41">
        <v>0</v>
      </c>
      <c r="J1276" s="41">
        <v>40000000</v>
      </c>
      <c r="K1276" s="41">
        <v>0</v>
      </c>
      <c r="L1276" s="41">
        <v>10000000</v>
      </c>
      <c r="M1276" s="41">
        <v>0</v>
      </c>
      <c r="N1276" s="41">
        <v>102900000.0000014</v>
      </c>
      <c r="O1276" s="41">
        <v>79166.666666666672</v>
      </c>
      <c r="P1276" s="41">
        <v>75000000</v>
      </c>
      <c r="Q1276" s="41">
        <v>0</v>
      </c>
      <c r="R1276" s="41">
        <v>50000000</v>
      </c>
      <c r="S1276" s="41">
        <v>0</v>
      </c>
      <c r="T1276" s="41">
        <v>35000000</v>
      </c>
      <c r="U1276" s="41">
        <v>0</v>
      </c>
      <c r="V1276" s="41">
        <v>482900000.00000137</v>
      </c>
      <c r="W1276" s="41">
        <v>79166.666666666672</v>
      </c>
      <c r="X1276" s="38">
        <f t="shared" si="114"/>
        <v>0.96580000000000277</v>
      </c>
      <c r="Y1276" s="39">
        <f t="shared" si="115"/>
        <v>1.5833333333333335E-4</v>
      </c>
      <c r="Z1276" s="39">
        <f t="shared" si="119"/>
        <v>1.6396696497147792E-4</v>
      </c>
      <c r="AA1276" s="41">
        <f t="shared" si="116"/>
        <v>17099999.999998629</v>
      </c>
      <c r="AB1276" s="39">
        <f t="shared" si="117"/>
        <v>4.6296296296300015E-3</v>
      </c>
      <c r="AC1276" s="38">
        <f t="shared" si="118"/>
        <v>0.18386859524393173</v>
      </c>
      <c r="AD1276" s="3"/>
    </row>
    <row r="1277" spans="1:30" x14ac:dyDescent="0.25">
      <c r="A1277" s="37">
        <v>46913</v>
      </c>
      <c r="B1277" s="41">
        <v>20000000</v>
      </c>
      <c r="C1277" s="41">
        <v>0</v>
      </c>
      <c r="D1277" s="41">
        <v>50000000</v>
      </c>
      <c r="E1277" s="41">
        <v>0</v>
      </c>
      <c r="F1277" s="41">
        <v>50000000</v>
      </c>
      <c r="G1277" s="41">
        <v>0</v>
      </c>
      <c r="H1277" s="41">
        <v>50000000</v>
      </c>
      <c r="I1277" s="41">
        <v>0</v>
      </c>
      <c r="J1277" s="41">
        <v>40000000</v>
      </c>
      <c r="K1277" s="41">
        <v>0</v>
      </c>
      <c r="L1277" s="41">
        <v>10000000</v>
      </c>
      <c r="M1277" s="41">
        <v>0</v>
      </c>
      <c r="N1277" s="41">
        <v>102979166.6666681</v>
      </c>
      <c r="O1277" s="41">
        <v>79166.666666666672</v>
      </c>
      <c r="P1277" s="41">
        <v>75000000</v>
      </c>
      <c r="Q1277" s="41">
        <v>0</v>
      </c>
      <c r="R1277" s="41">
        <v>50000000</v>
      </c>
      <c r="S1277" s="41">
        <v>0</v>
      </c>
      <c r="T1277" s="41">
        <v>35000000</v>
      </c>
      <c r="U1277" s="41">
        <v>0</v>
      </c>
      <c r="V1277" s="41">
        <v>482979166.66666812</v>
      </c>
      <c r="W1277" s="41">
        <v>79166.666666666672</v>
      </c>
      <c r="X1277" s="38">
        <f t="shared" si="114"/>
        <v>0.96595833333333625</v>
      </c>
      <c r="Y1277" s="39">
        <f t="shared" si="115"/>
        <v>1.5833333333333335E-4</v>
      </c>
      <c r="Z1277" s="39">
        <f t="shared" si="119"/>
        <v>1.6394008421343227E-4</v>
      </c>
      <c r="AA1277" s="41">
        <f t="shared" si="116"/>
        <v>17020833.333331883</v>
      </c>
      <c r="AB1277" s="39">
        <f t="shared" si="117"/>
        <v>4.6511627906980707E-3</v>
      </c>
      <c r="AC1277" s="38">
        <f t="shared" si="118"/>
        <v>0.18383291630495774</v>
      </c>
      <c r="AD1277" s="3"/>
    </row>
    <row r="1278" spans="1:30" x14ac:dyDescent="0.25">
      <c r="A1278" s="37">
        <v>46914</v>
      </c>
      <c r="B1278" s="41">
        <v>20000000</v>
      </c>
      <c r="C1278" s="41">
        <v>0</v>
      </c>
      <c r="D1278" s="41">
        <v>50000000</v>
      </c>
      <c r="E1278" s="41">
        <v>0</v>
      </c>
      <c r="F1278" s="41">
        <v>50000000</v>
      </c>
      <c r="G1278" s="41">
        <v>0</v>
      </c>
      <c r="H1278" s="41">
        <v>50000000</v>
      </c>
      <c r="I1278" s="41">
        <v>0</v>
      </c>
      <c r="J1278" s="41">
        <v>40000000</v>
      </c>
      <c r="K1278" s="41">
        <v>0</v>
      </c>
      <c r="L1278" s="41">
        <v>10000000</v>
      </c>
      <c r="M1278" s="41">
        <v>0</v>
      </c>
      <c r="N1278" s="41">
        <v>103058333.3333347</v>
      </c>
      <c r="O1278" s="41">
        <v>79166.666666666672</v>
      </c>
      <c r="P1278" s="41">
        <v>75000000</v>
      </c>
      <c r="Q1278" s="41">
        <v>0</v>
      </c>
      <c r="R1278" s="41">
        <v>50000000</v>
      </c>
      <c r="S1278" s="41">
        <v>0</v>
      </c>
      <c r="T1278" s="41">
        <v>35000000</v>
      </c>
      <c r="U1278" s="41">
        <v>0</v>
      </c>
      <c r="V1278" s="41">
        <v>483058333.33333468</v>
      </c>
      <c r="W1278" s="41">
        <v>79166.666666666672</v>
      </c>
      <c r="X1278" s="38">
        <f t="shared" si="114"/>
        <v>0.9661166666666694</v>
      </c>
      <c r="Y1278" s="39">
        <f t="shared" si="115"/>
        <v>1.5833333333333335E-4</v>
      </c>
      <c r="Z1278" s="39">
        <f t="shared" si="119"/>
        <v>1.639132122676094E-4</v>
      </c>
      <c r="AA1278" s="41">
        <f t="shared" si="116"/>
        <v>16941666.666665316</v>
      </c>
      <c r="AB1278" s="39">
        <f t="shared" si="117"/>
        <v>4.6728971962620549E-3</v>
      </c>
      <c r="AC1278" s="38">
        <f t="shared" si="118"/>
        <v>0.18379725120999796</v>
      </c>
      <c r="AD1278" s="3"/>
    </row>
    <row r="1279" spans="1:30" x14ac:dyDescent="0.25">
      <c r="A1279" s="37">
        <v>46915</v>
      </c>
      <c r="B1279" s="41">
        <v>20000000</v>
      </c>
      <c r="C1279" s="41">
        <v>0</v>
      </c>
      <c r="D1279" s="41">
        <v>50000000</v>
      </c>
      <c r="E1279" s="41">
        <v>0</v>
      </c>
      <c r="F1279" s="41">
        <v>50000000</v>
      </c>
      <c r="G1279" s="41">
        <v>0</v>
      </c>
      <c r="H1279" s="41">
        <v>50000000</v>
      </c>
      <c r="I1279" s="41">
        <v>0</v>
      </c>
      <c r="J1279" s="41">
        <v>40000000</v>
      </c>
      <c r="K1279" s="41">
        <v>0</v>
      </c>
      <c r="L1279" s="41">
        <v>10000000</v>
      </c>
      <c r="M1279" s="41">
        <v>0</v>
      </c>
      <c r="N1279" s="41">
        <v>103137500.0000014</v>
      </c>
      <c r="O1279" s="41">
        <v>79166.666666666672</v>
      </c>
      <c r="P1279" s="41">
        <v>75000000</v>
      </c>
      <c r="Q1279" s="41">
        <v>0</v>
      </c>
      <c r="R1279" s="41">
        <v>50000000</v>
      </c>
      <c r="S1279" s="41">
        <v>0</v>
      </c>
      <c r="T1279" s="41">
        <v>35000000</v>
      </c>
      <c r="U1279" s="41">
        <v>0</v>
      </c>
      <c r="V1279" s="41">
        <v>483137500.00000137</v>
      </c>
      <c r="W1279" s="41">
        <v>79166.666666666672</v>
      </c>
      <c r="X1279" s="38">
        <f t="shared" si="114"/>
        <v>0.96627500000000277</v>
      </c>
      <c r="Y1279" s="39">
        <f t="shared" si="115"/>
        <v>1.5833333333333335E-4</v>
      </c>
      <c r="Z1279" s="39">
        <f t="shared" si="119"/>
        <v>1.6388634912967677E-4</v>
      </c>
      <c r="AA1279" s="41">
        <f t="shared" si="116"/>
        <v>16862499.999998629</v>
      </c>
      <c r="AB1279" s="39">
        <f t="shared" si="117"/>
        <v>4.6948356807515555E-3</v>
      </c>
      <c r="AC1279" s="38">
        <f t="shared" si="118"/>
        <v>0.18376159995099628</v>
      </c>
      <c r="AD1279" s="3"/>
    </row>
    <row r="1280" spans="1:30" x14ac:dyDescent="0.25">
      <c r="A1280" s="37">
        <v>46916</v>
      </c>
      <c r="B1280" s="41">
        <v>20000000</v>
      </c>
      <c r="C1280" s="41">
        <v>0</v>
      </c>
      <c r="D1280" s="41">
        <v>50000000</v>
      </c>
      <c r="E1280" s="41">
        <v>0</v>
      </c>
      <c r="F1280" s="41">
        <v>50000000</v>
      </c>
      <c r="G1280" s="41">
        <v>0</v>
      </c>
      <c r="H1280" s="41">
        <v>50000000</v>
      </c>
      <c r="I1280" s="41">
        <v>0</v>
      </c>
      <c r="J1280" s="41">
        <v>40000000</v>
      </c>
      <c r="K1280" s="41">
        <v>0</v>
      </c>
      <c r="L1280" s="41">
        <v>10000000</v>
      </c>
      <c r="M1280" s="41">
        <v>0</v>
      </c>
      <c r="N1280" s="41">
        <v>103216666.6666681</v>
      </c>
      <c r="O1280" s="41">
        <v>79166.666666666672</v>
      </c>
      <c r="P1280" s="41">
        <v>75000000</v>
      </c>
      <c r="Q1280" s="41">
        <v>0</v>
      </c>
      <c r="R1280" s="41">
        <v>50000000</v>
      </c>
      <c r="S1280" s="41">
        <v>0</v>
      </c>
      <c r="T1280" s="41">
        <v>35000000</v>
      </c>
      <c r="U1280" s="41">
        <v>0</v>
      </c>
      <c r="V1280" s="41">
        <v>483216666.66666812</v>
      </c>
      <c r="W1280" s="41">
        <v>79166.666666666672</v>
      </c>
      <c r="X1280" s="38">
        <f t="shared" si="114"/>
        <v>0.96643333333333625</v>
      </c>
      <c r="Y1280" s="39">
        <f t="shared" si="115"/>
        <v>1.5833333333333335E-4</v>
      </c>
      <c r="Z1280" s="39">
        <f t="shared" si="119"/>
        <v>1.6385949479530453E-4</v>
      </c>
      <c r="AA1280" s="41">
        <f t="shared" si="116"/>
        <v>16783333.333331883</v>
      </c>
      <c r="AB1280" s="39">
        <f t="shared" si="117"/>
        <v>4.71698113207588E-3</v>
      </c>
      <c r="AC1280" s="38">
        <f t="shared" si="118"/>
        <v>0.183725962519903</v>
      </c>
      <c r="AD1280" s="3"/>
    </row>
    <row r="1281" spans="1:30" x14ac:dyDescent="0.25">
      <c r="A1281" s="37">
        <v>46917</v>
      </c>
      <c r="B1281" s="41">
        <v>20000000</v>
      </c>
      <c r="C1281" s="41">
        <v>0</v>
      </c>
      <c r="D1281" s="41">
        <v>50000000</v>
      </c>
      <c r="E1281" s="41">
        <v>0</v>
      </c>
      <c r="F1281" s="41">
        <v>50000000</v>
      </c>
      <c r="G1281" s="41">
        <v>0</v>
      </c>
      <c r="H1281" s="41">
        <v>50000000</v>
      </c>
      <c r="I1281" s="41">
        <v>0</v>
      </c>
      <c r="J1281" s="41">
        <v>40000000</v>
      </c>
      <c r="K1281" s="41">
        <v>0</v>
      </c>
      <c r="L1281" s="41">
        <v>10000000</v>
      </c>
      <c r="M1281" s="41">
        <v>0</v>
      </c>
      <c r="N1281" s="41">
        <v>103295833.3333348</v>
      </c>
      <c r="O1281" s="41">
        <v>79166.666666666672</v>
      </c>
      <c r="P1281" s="41">
        <v>75000000</v>
      </c>
      <c r="Q1281" s="41">
        <v>0</v>
      </c>
      <c r="R1281" s="41">
        <v>50000000</v>
      </c>
      <c r="S1281" s="41">
        <v>0</v>
      </c>
      <c r="T1281" s="41">
        <v>35000000</v>
      </c>
      <c r="U1281" s="41">
        <v>0</v>
      </c>
      <c r="V1281" s="41">
        <v>483295833.33333468</v>
      </c>
      <c r="W1281" s="41">
        <v>79166.666666666672</v>
      </c>
      <c r="X1281" s="38">
        <f t="shared" si="114"/>
        <v>0.9665916666666694</v>
      </c>
      <c r="Y1281" s="39">
        <f t="shared" si="115"/>
        <v>1.5833333333333335E-4</v>
      </c>
      <c r="Z1281" s="39">
        <f t="shared" si="119"/>
        <v>1.6383264926016577E-4</v>
      </c>
      <c r="AA1281" s="41">
        <f t="shared" si="116"/>
        <v>16704166.666665316</v>
      </c>
      <c r="AB1281" s="39">
        <f t="shared" si="117"/>
        <v>4.739336492891379E-3</v>
      </c>
      <c r="AC1281" s="38">
        <f t="shared" si="118"/>
        <v>0.18369033890867467</v>
      </c>
      <c r="AD1281" s="3"/>
    </row>
    <row r="1282" spans="1:30" x14ac:dyDescent="0.25">
      <c r="A1282" s="37">
        <v>46918</v>
      </c>
      <c r="B1282" s="41">
        <v>20000000</v>
      </c>
      <c r="C1282" s="41">
        <v>0</v>
      </c>
      <c r="D1282" s="41">
        <v>50000000</v>
      </c>
      <c r="E1282" s="41">
        <v>0</v>
      </c>
      <c r="F1282" s="41">
        <v>50000000</v>
      </c>
      <c r="G1282" s="41">
        <v>0</v>
      </c>
      <c r="H1282" s="41">
        <v>50000000</v>
      </c>
      <c r="I1282" s="41">
        <v>0</v>
      </c>
      <c r="J1282" s="41">
        <v>40000000</v>
      </c>
      <c r="K1282" s="41">
        <v>0</v>
      </c>
      <c r="L1282" s="41">
        <v>10000000</v>
      </c>
      <c r="M1282" s="41">
        <v>0</v>
      </c>
      <c r="N1282" s="41">
        <v>103375000.0000014</v>
      </c>
      <c r="O1282" s="41">
        <v>79166.666666666672</v>
      </c>
      <c r="P1282" s="41">
        <v>75000000</v>
      </c>
      <c r="Q1282" s="41">
        <v>0</v>
      </c>
      <c r="R1282" s="41">
        <v>50000000</v>
      </c>
      <c r="S1282" s="41">
        <v>0</v>
      </c>
      <c r="T1282" s="41">
        <v>35000000</v>
      </c>
      <c r="U1282" s="41">
        <v>0</v>
      </c>
      <c r="V1282" s="41">
        <v>483375000.00000137</v>
      </c>
      <c r="W1282" s="41">
        <v>79166.666666666672</v>
      </c>
      <c r="X1282" s="38">
        <f t="shared" si="114"/>
        <v>0.96675000000000277</v>
      </c>
      <c r="Y1282" s="39">
        <f t="shared" si="115"/>
        <v>1.5833333333333335E-4</v>
      </c>
      <c r="Z1282" s="39">
        <f t="shared" si="119"/>
        <v>1.6380581251993645E-4</v>
      </c>
      <c r="AA1282" s="41">
        <f t="shared" si="116"/>
        <v>16624999.999998629</v>
      </c>
      <c r="AB1282" s="39">
        <f t="shared" si="117"/>
        <v>4.7619047619051552E-3</v>
      </c>
      <c r="AC1282" s="38">
        <f t="shared" si="118"/>
        <v>0.18365472910927394</v>
      </c>
      <c r="AD1282" s="3"/>
    </row>
    <row r="1283" spans="1:30" x14ac:dyDescent="0.25">
      <c r="A1283" s="37">
        <v>46919</v>
      </c>
      <c r="B1283" s="41">
        <v>20000000</v>
      </c>
      <c r="C1283" s="41">
        <v>0</v>
      </c>
      <c r="D1283" s="41">
        <v>50000000</v>
      </c>
      <c r="E1283" s="41">
        <v>0</v>
      </c>
      <c r="F1283" s="41">
        <v>50000000</v>
      </c>
      <c r="G1283" s="41">
        <v>0</v>
      </c>
      <c r="H1283" s="41">
        <v>50000000</v>
      </c>
      <c r="I1283" s="41">
        <v>0</v>
      </c>
      <c r="J1283" s="41">
        <v>40000000</v>
      </c>
      <c r="K1283" s="41">
        <v>0</v>
      </c>
      <c r="L1283" s="41">
        <v>10000000</v>
      </c>
      <c r="M1283" s="41">
        <v>0</v>
      </c>
      <c r="N1283" s="41">
        <v>103454166.6666681</v>
      </c>
      <c r="O1283" s="41">
        <v>79166.666666666672</v>
      </c>
      <c r="P1283" s="41">
        <v>75000000</v>
      </c>
      <c r="Q1283" s="41">
        <v>0</v>
      </c>
      <c r="R1283" s="41">
        <v>50000000</v>
      </c>
      <c r="S1283" s="41">
        <v>0</v>
      </c>
      <c r="T1283" s="41">
        <v>35000000</v>
      </c>
      <c r="U1283" s="41">
        <v>0</v>
      </c>
      <c r="V1283" s="41">
        <v>483454166.66666812</v>
      </c>
      <c r="W1283" s="41">
        <v>79166.666666666672</v>
      </c>
      <c r="X1283" s="38">
        <f t="shared" si="114"/>
        <v>0.96690833333333626</v>
      </c>
      <c r="Y1283" s="39">
        <f t="shared" si="115"/>
        <v>1.5833333333333335E-4</v>
      </c>
      <c r="Z1283" s="39">
        <f t="shared" si="119"/>
        <v>1.6377898457029522E-4</v>
      </c>
      <c r="AA1283" s="41">
        <f t="shared" si="116"/>
        <v>16545833.333331883</v>
      </c>
      <c r="AB1283" s="39">
        <f t="shared" si="117"/>
        <v>4.7846889952157306E-3</v>
      </c>
      <c r="AC1283" s="38">
        <f t="shared" si="118"/>
        <v>0.18361913311366979</v>
      </c>
      <c r="AD1283" s="3"/>
    </row>
    <row r="1284" spans="1:30" x14ac:dyDescent="0.25">
      <c r="A1284" s="37">
        <v>46920</v>
      </c>
      <c r="B1284" s="41">
        <v>20000000</v>
      </c>
      <c r="C1284" s="41">
        <v>0</v>
      </c>
      <c r="D1284" s="41">
        <v>50000000</v>
      </c>
      <c r="E1284" s="41">
        <v>0</v>
      </c>
      <c r="F1284" s="41">
        <v>50000000</v>
      </c>
      <c r="G1284" s="41">
        <v>0</v>
      </c>
      <c r="H1284" s="41">
        <v>50000000</v>
      </c>
      <c r="I1284" s="41">
        <v>0</v>
      </c>
      <c r="J1284" s="41">
        <v>40000000</v>
      </c>
      <c r="K1284" s="41">
        <v>0</v>
      </c>
      <c r="L1284" s="41">
        <v>10000000</v>
      </c>
      <c r="M1284" s="41">
        <v>0</v>
      </c>
      <c r="N1284" s="41">
        <v>103533333.3333348</v>
      </c>
      <c r="O1284" s="41">
        <v>79166.666666666672</v>
      </c>
      <c r="P1284" s="41">
        <v>75000000</v>
      </c>
      <c r="Q1284" s="41">
        <v>0</v>
      </c>
      <c r="R1284" s="41">
        <v>50000000</v>
      </c>
      <c r="S1284" s="41">
        <v>0</v>
      </c>
      <c r="T1284" s="41">
        <v>35000000</v>
      </c>
      <c r="U1284" s="41">
        <v>0</v>
      </c>
      <c r="V1284" s="41">
        <v>483533333.3333348</v>
      </c>
      <c r="W1284" s="41">
        <v>79166.666666666672</v>
      </c>
      <c r="X1284" s="38">
        <f t="shared" si="114"/>
        <v>0.96706666666666963</v>
      </c>
      <c r="Y1284" s="39">
        <f t="shared" si="115"/>
        <v>1.5833333333333335E-4</v>
      </c>
      <c r="Z1284" s="39">
        <f t="shared" si="119"/>
        <v>1.6375216540692365E-4</v>
      </c>
      <c r="AA1284" s="41">
        <f t="shared" si="116"/>
        <v>16466666.666665196</v>
      </c>
      <c r="AB1284" s="39">
        <f t="shared" si="117"/>
        <v>4.8076923076927373E-3</v>
      </c>
      <c r="AC1284" s="38">
        <f t="shared" si="118"/>
        <v>0.18358355091383746</v>
      </c>
      <c r="AD1284" s="3"/>
    </row>
    <row r="1285" spans="1:30" x14ac:dyDescent="0.25">
      <c r="A1285" s="37">
        <v>46921</v>
      </c>
      <c r="B1285" s="41">
        <v>20000000</v>
      </c>
      <c r="C1285" s="41">
        <v>0</v>
      </c>
      <c r="D1285" s="41">
        <v>50000000</v>
      </c>
      <c r="E1285" s="41">
        <v>0</v>
      </c>
      <c r="F1285" s="41">
        <v>50000000</v>
      </c>
      <c r="G1285" s="41">
        <v>0</v>
      </c>
      <c r="H1285" s="41">
        <v>50000000</v>
      </c>
      <c r="I1285" s="41">
        <v>0</v>
      </c>
      <c r="J1285" s="41">
        <v>40000000</v>
      </c>
      <c r="K1285" s="41">
        <v>0</v>
      </c>
      <c r="L1285" s="41">
        <v>10000000</v>
      </c>
      <c r="M1285" s="41">
        <v>0</v>
      </c>
      <c r="N1285" s="41">
        <v>103612500.0000014</v>
      </c>
      <c r="O1285" s="41">
        <v>79166.666666666672</v>
      </c>
      <c r="P1285" s="41">
        <v>75000000</v>
      </c>
      <c r="Q1285" s="41">
        <v>0</v>
      </c>
      <c r="R1285" s="41">
        <v>50000000</v>
      </c>
      <c r="S1285" s="41">
        <v>0</v>
      </c>
      <c r="T1285" s="41">
        <v>35000000</v>
      </c>
      <c r="U1285" s="41">
        <v>0</v>
      </c>
      <c r="V1285" s="41">
        <v>483612500.00000137</v>
      </c>
      <c r="W1285" s="41">
        <v>79166.666666666672</v>
      </c>
      <c r="X1285" s="38">
        <f t="shared" si="114"/>
        <v>0.96722500000000278</v>
      </c>
      <c r="Y1285" s="39">
        <f t="shared" si="115"/>
        <v>1.5833333333333335E-4</v>
      </c>
      <c r="Z1285" s="39">
        <f t="shared" si="119"/>
        <v>1.6372535502550621E-4</v>
      </c>
      <c r="AA1285" s="41">
        <f t="shared" si="116"/>
        <v>16387499.999998629</v>
      </c>
      <c r="AB1285" s="39">
        <f t="shared" si="117"/>
        <v>4.8309178743965401E-3</v>
      </c>
      <c r="AC1285" s="38">
        <f t="shared" si="118"/>
        <v>0.18354798250175838</v>
      </c>
      <c r="AD1285" s="3"/>
    </row>
    <row r="1286" spans="1:30" x14ac:dyDescent="0.25">
      <c r="A1286" s="37">
        <v>46922</v>
      </c>
      <c r="B1286" s="41">
        <v>20000000</v>
      </c>
      <c r="C1286" s="41">
        <v>0</v>
      </c>
      <c r="D1286" s="41">
        <v>50000000</v>
      </c>
      <c r="E1286" s="41">
        <v>0</v>
      </c>
      <c r="F1286" s="41">
        <v>50000000</v>
      </c>
      <c r="G1286" s="41">
        <v>0</v>
      </c>
      <c r="H1286" s="41">
        <v>50000000</v>
      </c>
      <c r="I1286" s="41">
        <v>0</v>
      </c>
      <c r="J1286" s="41">
        <v>40000000</v>
      </c>
      <c r="K1286" s="41">
        <v>0</v>
      </c>
      <c r="L1286" s="41">
        <v>10000000</v>
      </c>
      <c r="M1286" s="41">
        <v>0</v>
      </c>
      <c r="N1286" s="41">
        <v>103691666.6666681</v>
      </c>
      <c r="O1286" s="41">
        <v>79166.666666666672</v>
      </c>
      <c r="P1286" s="41">
        <v>75000000</v>
      </c>
      <c r="Q1286" s="41">
        <v>0</v>
      </c>
      <c r="R1286" s="41">
        <v>50000000</v>
      </c>
      <c r="S1286" s="41">
        <v>0</v>
      </c>
      <c r="T1286" s="41">
        <v>35000000</v>
      </c>
      <c r="U1286" s="41">
        <v>0</v>
      </c>
      <c r="V1286" s="41">
        <v>483691666.66666812</v>
      </c>
      <c r="W1286" s="41">
        <v>79166.666666666672</v>
      </c>
      <c r="X1286" s="38">
        <f t="shared" si="114"/>
        <v>0.96738333333333626</v>
      </c>
      <c r="Y1286" s="39">
        <f t="shared" si="115"/>
        <v>1.5833333333333335E-4</v>
      </c>
      <c r="Z1286" s="39">
        <f t="shared" si="119"/>
        <v>1.6369855342173009E-4</v>
      </c>
      <c r="AA1286" s="41">
        <f t="shared" si="116"/>
        <v>16308333.333331883</v>
      </c>
      <c r="AB1286" s="39">
        <f t="shared" si="117"/>
        <v>4.8543689320392673E-3</v>
      </c>
      <c r="AC1286" s="38">
        <f t="shared" si="118"/>
        <v>0.18351242786942007</v>
      </c>
      <c r="AD1286" s="3"/>
    </row>
    <row r="1287" spans="1:30" x14ac:dyDescent="0.25">
      <c r="A1287" s="37">
        <v>46923</v>
      </c>
      <c r="B1287" s="41">
        <v>20000000</v>
      </c>
      <c r="C1287" s="41">
        <v>0</v>
      </c>
      <c r="D1287" s="41">
        <v>50000000</v>
      </c>
      <c r="E1287" s="41">
        <v>0</v>
      </c>
      <c r="F1287" s="41">
        <v>50000000</v>
      </c>
      <c r="G1287" s="41">
        <v>0</v>
      </c>
      <c r="H1287" s="41">
        <v>50000000</v>
      </c>
      <c r="I1287" s="41">
        <v>0</v>
      </c>
      <c r="J1287" s="41">
        <v>40000000</v>
      </c>
      <c r="K1287" s="41">
        <v>0</v>
      </c>
      <c r="L1287" s="41">
        <v>10000000</v>
      </c>
      <c r="M1287" s="41">
        <v>0</v>
      </c>
      <c r="N1287" s="41">
        <v>103770833.3333348</v>
      </c>
      <c r="O1287" s="41">
        <v>79166.666666666672</v>
      </c>
      <c r="P1287" s="41">
        <v>75000000</v>
      </c>
      <c r="Q1287" s="41">
        <v>0</v>
      </c>
      <c r="R1287" s="41">
        <v>50000000</v>
      </c>
      <c r="S1287" s="41">
        <v>0</v>
      </c>
      <c r="T1287" s="41">
        <v>35000000</v>
      </c>
      <c r="U1287" s="41">
        <v>0</v>
      </c>
      <c r="V1287" s="41">
        <v>483770833.3333348</v>
      </c>
      <c r="W1287" s="41">
        <v>79166.666666666672</v>
      </c>
      <c r="X1287" s="38">
        <f t="shared" si="114"/>
        <v>0.96754166666666963</v>
      </c>
      <c r="Y1287" s="39">
        <f t="shared" si="115"/>
        <v>1.5833333333333335E-4</v>
      </c>
      <c r="Z1287" s="39">
        <f t="shared" si="119"/>
        <v>1.6367176059128529E-4</v>
      </c>
      <c r="AA1287" s="41">
        <f t="shared" si="116"/>
        <v>16229166.666665196</v>
      </c>
      <c r="AB1287" s="39">
        <f t="shared" si="117"/>
        <v>4.8780487804882472E-3</v>
      </c>
      <c r="AC1287" s="38">
        <f t="shared" si="118"/>
        <v>0.18347688700881642</v>
      </c>
      <c r="AD1287" s="3"/>
    </row>
    <row r="1288" spans="1:30" x14ac:dyDescent="0.25">
      <c r="A1288" s="37">
        <v>46924</v>
      </c>
      <c r="B1288" s="41">
        <v>20000000</v>
      </c>
      <c r="C1288" s="41">
        <v>0</v>
      </c>
      <c r="D1288" s="41">
        <v>50000000</v>
      </c>
      <c r="E1288" s="41">
        <v>0</v>
      </c>
      <c r="F1288" s="41">
        <v>50000000</v>
      </c>
      <c r="G1288" s="41">
        <v>0</v>
      </c>
      <c r="H1288" s="41">
        <v>50000000</v>
      </c>
      <c r="I1288" s="41">
        <v>0</v>
      </c>
      <c r="J1288" s="41">
        <v>40000000</v>
      </c>
      <c r="K1288" s="41">
        <v>0</v>
      </c>
      <c r="L1288" s="41">
        <v>10000000</v>
      </c>
      <c r="M1288" s="41">
        <v>0</v>
      </c>
      <c r="N1288" s="41">
        <v>103850000.00000151</v>
      </c>
      <c r="O1288" s="41">
        <v>79166.666666666672</v>
      </c>
      <c r="P1288" s="41">
        <v>75000000</v>
      </c>
      <c r="Q1288" s="41">
        <v>0</v>
      </c>
      <c r="R1288" s="41">
        <v>50000000</v>
      </c>
      <c r="S1288" s="41">
        <v>0</v>
      </c>
      <c r="T1288" s="41">
        <v>35000000</v>
      </c>
      <c r="U1288" s="41">
        <v>0</v>
      </c>
      <c r="V1288" s="41">
        <v>483850000.00000137</v>
      </c>
      <c r="W1288" s="41">
        <v>79166.666666666672</v>
      </c>
      <c r="X1288" s="38">
        <f t="shared" si="114"/>
        <v>0.96770000000000278</v>
      </c>
      <c r="Y1288" s="39">
        <f t="shared" si="115"/>
        <v>1.5833333333333335E-4</v>
      </c>
      <c r="Z1288" s="39">
        <f t="shared" si="119"/>
        <v>1.6364497652986471E-4</v>
      </c>
      <c r="AA1288" s="41">
        <f t="shared" si="116"/>
        <v>16149999.999998629</v>
      </c>
      <c r="AB1288" s="39">
        <f t="shared" si="117"/>
        <v>4.9019607843141418E-3</v>
      </c>
      <c r="AC1288" s="38">
        <f t="shared" si="118"/>
        <v>0.18344135991194754</v>
      </c>
      <c r="AD1288" s="3"/>
    </row>
    <row r="1289" spans="1:30" x14ac:dyDescent="0.25">
      <c r="A1289" s="37">
        <v>46925</v>
      </c>
      <c r="B1289" s="41">
        <v>20000000</v>
      </c>
      <c r="C1289" s="41">
        <v>0</v>
      </c>
      <c r="D1289" s="41">
        <v>50000000</v>
      </c>
      <c r="E1289" s="41">
        <v>0</v>
      </c>
      <c r="F1289" s="41">
        <v>50000000</v>
      </c>
      <c r="G1289" s="41">
        <v>0</v>
      </c>
      <c r="H1289" s="41">
        <v>50000000</v>
      </c>
      <c r="I1289" s="41">
        <v>0</v>
      </c>
      <c r="J1289" s="41">
        <v>40000000</v>
      </c>
      <c r="K1289" s="41">
        <v>0</v>
      </c>
      <c r="L1289" s="41">
        <v>10000000</v>
      </c>
      <c r="M1289" s="41">
        <v>0</v>
      </c>
      <c r="N1289" s="41">
        <v>103929166.6666681</v>
      </c>
      <c r="O1289" s="41">
        <v>79166.666666666672</v>
      </c>
      <c r="P1289" s="41">
        <v>75000000</v>
      </c>
      <c r="Q1289" s="41">
        <v>0</v>
      </c>
      <c r="R1289" s="41">
        <v>50000000</v>
      </c>
      <c r="S1289" s="41">
        <v>0</v>
      </c>
      <c r="T1289" s="41">
        <v>35000000</v>
      </c>
      <c r="U1289" s="41">
        <v>0</v>
      </c>
      <c r="V1289" s="41">
        <v>483929166.66666812</v>
      </c>
      <c r="W1289" s="41">
        <v>79166.666666666672</v>
      </c>
      <c r="X1289" s="38">
        <f t="shared" si="114"/>
        <v>0.96785833333333626</v>
      </c>
      <c r="Y1289" s="39">
        <f t="shared" si="115"/>
        <v>1.5833333333333335E-4</v>
      </c>
      <c r="Z1289" s="39">
        <f t="shared" si="119"/>
        <v>1.6361820123316409E-4</v>
      </c>
      <c r="AA1289" s="41">
        <f t="shared" si="116"/>
        <v>16070833.333331883</v>
      </c>
      <c r="AB1289" s="39">
        <f t="shared" si="117"/>
        <v>4.9261083743846815E-3</v>
      </c>
      <c r="AC1289" s="38">
        <f t="shared" si="118"/>
        <v>0.18340584657081949</v>
      </c>
      <c r="AD1289" s="3"/>
    </row>
    <row r="1290" spans="1:30" x14ac:dyDescent="0.25">
      <c r="A1290" s="37">
        <v>46926</v>
      </c>
      <c r="B1290" s="41">
        <v>20000000</v>
      </c>
      <c r="C1290" s="41">
        <v>0</v>
      </c>
      <c r="D1290" s="41">
        <v>50000000</v>
      </c>
      <c r="E1290" s="41">
        <v>0</v>
      </c>
      <c r="F1290" s="41">
        <v>50000000</v>
      </c>
      <c r="G1290" s="41">
        <v>0</v>
      </c>
      <c r="H1290" s="41">
        <v>50000000</v>
      </c>
      <c r="I1290" s="41">
        <v>0</v>
      </c>
      <c r="J1290" s="41">
        <v>40000000</v>
      </c>
      <c r="K1290" s="41">
        <v>0</v>
      </c>
      <c r="L1290" s="41">
        <v>10000000</v>
      </c>
      <c r="M1290" s="41">
        <v>0</v>
      </c>
      <c r="N1290" s="41">
        <v>104008333.3333348</v>
      </c>
      <c r="O1290" s="41">
        <v>79166.666666666672</v>
      </c>
      <c r="P1290" s="41">
        <v>75000000</v>
      </c>
      <c r="Q1290" s="41">
        <v>0</v>
      </c>
      <c r="R1290" s="41">
        <v>50000000</v>
      </c>
      <c r="S1290" s="41">
        <v>0</v>
      </c>
      <c r="T1290" s="41">
        <v>35000000</v>
      </c>
      <c r="U1290" s="41">
        <v>0</v>
      </c>
      <c r="V1290" s="41">
        <v>484008333.3333348</v>
      </c>
      <c r="W1290" s="41">
        <v>79166.666666666672</v>
      </c>
      <c r="X1290" s="38">
        <f t="shared" si="114"/>
        <v>0.96801666666666963</v>
      </c>
      <c r="Y1290" s="39">
        <f t="shared" si="115"/>
        <v>1.5833333333333335E-4</v>
      </c>
      <c r="Z1290" s="39">
        <f t="shared" si="119"/>
        <v>1.635914346968818E-4</v>
      </c>
      <c r="AA1290" s="41">
        <f t="shared" si="116"/>
        <v>15991666.666665196</v>
      </c>
      <c r="AB1290" s="39">
        <f t="shared" si="117"/>
        <v>4.9504950495054059E-3</v>
      </c>
      <c r="AC1290" s="38">
        <f t="shared" si="118"/>
        <v>0.18337034697744478</v>
      </c>
      <c r="AD1290" s="3"/>
    </row>
    <row r="1291" spans="1:30" x14ac:dyDescent="0.25">
      <c r="A1291" s="37">
        <v>46927</v>
      </c>
      <c r="B1291" s="41">
        <v>20000000</v>
      </c>
      <c r="C1291" s="41">
        <v>0</v>
      </c>
      <c r="D1291" s="41">
        <v>50000000</v>
      </c>
      <c r="E1291" s="41">
        <v>0</v>
      </c>
      <c r="F1291" s="41">
        <v>50000000</v>
      </c>
      <c r="G1291" s="41">
        <v>0</v>
      </c>
      <c r="H1291" s="41">
        <v>50000000</v>
      </c>
      <c r="I1291" s="41">
        <v>0</v>
      </c>
      <c r="J1291" s="41">
        <v>40000000</v>
      </c>
      <c r="K1291" s="41">
        <v>0</v>
      </c>
      <c r="L1291" s="41">
        <v>10000000</v>
      </c>
      <c r="M1291" s="41">
        <v>0</v>
      </c>
      <c r="N1291" s="41">
        <v>104087500.00000151</v>
      </c>
      <c r="O1291" s="41">
        <v>79166.666666666672</v>
      </c>
      <c r="P1291" s="41">
        <v>75000000</v>
      </c>
      <c r="Q1291" s="41">
        <v>0</v>
      </c>
      <c r="R1291" s="41">
        <v>50000000</v>
      </c>
      <c r="S1291" s="41">
        <v>0</v>
      </c>
      <c r="T1291" s="41">
        <v>35000000</v>
      </c>
      <c r="U1291" s="41">
        <v>0</v>
      </c>
      <c r="V1291" s="41">
        <v>484087500.00000149</v>
      </c>
      <c r="W1291" s="41">
        <v>79166.666666666672</v>
      </c>
      <c r="X1291" s="38">
        <f t="shared" si="114"/>
        <v>0.96817500000000301</v>
      </c>
      <c r="Y1291" s="39">
        <f t="shared" si="115"/>
        <v>1.5833333333333335E-4</v>
      </c>
      <c r="Z1291" s="39">
        <f t="shared" si="119"/>
        <v>1.6356467691671926E-4</v>
      </c>
      <c r="AA1291" s="41">
        <f t="shared" si="116"/>
        <v>15912499.99999851</v>
      </c>
      <c r="AB1291" s="39">
        <f t="shared" si="117"/>
        <v>4.9751243781099193E-3</v>
      </c>
      <c r="AC1291" s="38">
        <f t="shared" si="118"/>
        <v>0.18333486112384204</v>
      </c>
      <c r="AD1291" s="3"/>
    </row>
    <row r="1292" spans="1:30" x14ac:dyDescent="0.25">
      <c r="A1292" s="37">
        <v>46928</v>
      </c>
      <c r="B1292" s="41">
        <v>20000000</v>
      </c>
      <c r="C1292" s="41">
        <v>0</v>
      </c>
      <c r="D1292" s="41">
        <v>50000000</v>
      </c>
      <c r="E1292" s="41">
        <v>0</v>
      </c>
      <c r="F1292" s="41">
        <v>50000000</v>
      </c>
      <c r="G1292" s="41">
        <v>0</v>
      </c>
      <c r="H1292" s="41">
        <v>50000000</v>
      </c>
      <c r="I1292" s="41">
        <v>0</v>
      </c>
      <c r="J1292" s="41">
        <v>40000000</v>
      </c>
      <c r="K1292" s="41">
        <v>0</v>
      </c>
      <c r="L1292" s="41">
        <v>10000000</v>
      </c>
      <c r="M1292" s="41">
        <v>0</v>
      </c>
      <c r="N1292" s="41">
        <v>104166666.6666681</v>
      </c>
      <c r="O1292" s="41">
        <v>79166.666666666672</v>
      </c>
      <c r="P1292" s="41">
        <v>75000000</v>
      </c>
      <c r="Q1292" s="41">
        <v>0</v>
      </c>
      <c r="R1292" s="41">
        <v>50000000</v>
      </c>
      <c r="S1292" s="41">
        <v>0</v>
      </c>
      <c r="T1292" s="41">
        <v>35000000</v>
      </c>
      <c r="U1292" s="41">
        <v>0</v>
      </c>
      <c r="V1292" s="41">
        <v>484166666.66666818</v>
      </c>
      <c r="W1292" s="41">
        <v>79166.666666666672</v>
      </c>
      <c r="X1292" s="38">
        <f t="shared" si="114"/>
        <v>0.96833333333333638</v>
      </c>
      <c r="Y1292" s="39">
        <f t="shared" si="115"/>
        <v>1.5833333333333335E-4</v>
      </c>
      <c r="Z1292" s="39">
        <f t="shared" si="119"/>
        <v>1.6353792788838055E-4</v>
      </c>
      <c r="AA1292" s="41">
        <f t="shared" si="116"/>
        <v>15833333.333331823</v>
      </c>
      <c r="AB1292" s="39">
        <f t="shared" si="117"/>
        <v>5.0000000000004772E-3</v>
      </c>
      <c r="AC1292" s="38">
        <f t="shared" si="118"/>
        <v>0.18329938900203599</v>
      </c>
      <c r="AD1292" s="3"/>
    </row>
    <row r="1293" spans="1:30" x14ac:dyDescent="0.25">
      <c r="A1293" s="37">
        <v>46929</v>
      </c>
      <c r="B1293" s="41">
        <v>20000000</v>
      </c>
      <c r="C1293" s="41">
        <v>0</v>
      </c>
      <c r="D1293" s="41">
        <v>50000000</v>
      </c>
      <c r="E1293" s="41">
        <v>0</v>
      </c>
      <c r="F1293" s="41">
        <v>50000000</v>
      </c>
      <c r="G1293" s="41">
        <v>0</v>
      </c>
      <c r="H1293" s="41">
        <v>50000000</v>
      </c>
      <c r="I1293" s="41">
        <v>0</v>
      </c>
      <c r="J1293" s="41">
        <v>40000000</v>
      </c>
      <c r="K1293" s="41">
        <v>0</v>
      </c>
      <c r="L1293" s="41">
        <v>10000000</v>
      </c>
      <c r="M1293" s="41">
        <v>0</v>
      </c>
      <c r="N1293" s="41">
        <v>104245833.3333348</v>
      </c>
      <c r="O1293" s="41">
        <v>79166.666666666672</v>
      </c>
      <c r="P1293" s="41">
        <v>75000000</v>
      </c>
      <c r="Q1293" s="41">
        <v>0</v>
      </c>
      <c r="R1293" s="41">
        <v>50000000</v>
      </c>
      <c r="S1293" s="41">
        <v>0</v>
      </c>
      <c r="T1293" s="41">
        <v>35000000</v>
      </c>
      <c r="U1293" s="41">
        <v>0</v>
      </c>
      <c r="V1293" s="41">
        <v>484245833.3333348</v>
      </c>
      <c r="W1293" s="41">
        <v>79166.666666666672</v>
      </c>
      <c r="X1293" s="38">
        <f t="shared" si="114"/>
        <v>0.96849166666666964</v>
      </c>
      <c r="Y1293" s="39">
        <f t="shared" si="115"/>
        <v>1.5833333333333335E-4</v>
      </c>
      <c r="Z1293" s="39">
        <f t="shared" si="119"/>
        <v>1.6351118760757265E-4</v>
      </c>
      <c r="AA1293" s="41">
        <f t="shared" si="116"/>
        <v>15754166.666665196</v>
      </c>
      <c r="AB1293" s="39">
        <f t="shared" si="117"/>
        <v>5.0251256281411728E-3</v>
      </c>
      <c r="AC1293" s="38">
        <f t="shared" si="118"/>
        <v>0.18326393060405763</v>
      </c>
      <c r="AD1293" s="3"/>
    </row>
    <row r="1294" spans="1:30" x14ac:dyDescent="0.25">
      <c r="A1294" s="37">
        <v>46930</v>
      </c>
      <c r="B1294" s="41">
        <v>20000000</v>
      </c>
      <c r="C1294" s="41">
        <v>0</v>
      </c>
      <c r="D1294" s="41">
        <v>50000000</v>
      </c>
      <c r="E1294" s="41">
        <v>0</v>
      </c>
      <c r="F1294" s="41">
        <v>50000000</v>
      </c>
      <c r="G1294" s="41">
        <v>0</v>
      </c>
      <c r="H1294" s="41">
        <v>50000000</v>
      </c>
      <c r="I1294" s="41">
        <v>0</v>
      </c>
      <c r="J1294" s="41">
        <v>40000000</v>
      </c>
      <c r="K1294" s="41">
        <v>0</v>
      </c>
      <c r="L1294" s="41">
        <v>10000000</v>
      </c>
      <c r="M1294" s="41">
        <v>0</v>
      </c>
      <c r="N1294" s="41">
        <v>104325000.00000151</v>
      </c>
      <c r="O1294" s="41">
        <v>79166.666666666672</v>
      </c>
      <c r="P1294" s="41">
        <v>75000000</v>
      </c>
      <c r="Q1294" s="41">
        <v>0</v>
      </c>
      <c r="R1294" s="41">
        <v>50000000</v>
      </c>
      <c r="S1294" s="41">
        <v>0</v>
      </c>
      <c r="T1294" s="41">
        <v>35000000</v>
      </c>
      <c r="U1294" s="41">
        <v>0</v>
      </c>
      <c r="V1294" s="41">
        <v>484325000.00000149</v>
      </c>
      <c r="W1294" s="41">
        <v>79166.666666666672</v>
      </c>
      <c r="X1294" s="38">
        <f t="shared" si="114"/>
        <v>0.96865000000000301</v>
      </c>
      <c r="Y1294" s="39">
        <f t="shared" si="115"/>
        <v>1.5833333333333335E-4</v>
      </c>
      <c r="Z1294" s="39">
        <f t="shared" si="119"/>
        <v>1.6348445607000528E-4</v>
      </c>
      <c r="AA1294" s="41">
        <f t="shared" si="116"/>
        <v>15674999.99999851</v>
      </c>
      <c r="AB1294" s="39">
        <f t="shared" si="117"/>
        <v>5.0505050505055306E-3</v>
      </c>
      <c r="AC1294" s="38">
        <f t="shared" si="118"/>
        <v>0.18322848592194399</v>
      </c>
      <c r="AD1294" s="3"/>
    </row>
    <row r="1295" spans="1:30" x14ac:dyDescent="0.25">
      <c r="A1295" s="37">
        <v>46931</v>
      </c>
      <c r="B1295" s="41">
        <v>20000000</v>
      </c>
      <c r="C1295" s="41">
        <v>0</v>
      </c>
      <c r="D1295" s="41">
        <v>50000000</v>
      </c>
      <c r="E1295" s="41">
        <v>0</v>
      </c>
      <c r="F1295" s="41">
        <v>50000000</v>
      </c>
      <c r="G1295" s="41">
        <v>0</v>
      </c>
      <c r="H1295" s="41">
        <v>50000000</v>
      </c>
      <c r="I1295" s="41">
        <v>0</v>
      </c>
      <c r="J1295" s="41">
        <v>40000000</v>
      </c>
      <c r="K1295" s="41">
        <v>0</v>
      </c>
      <c r="L1295" s="41">
        <v>10000000</v>
      </c>
      <c r="M1295" s="41">
        <v>0</v>
      </c>
      <c r="N1295" s="41">
        <v>104404166.66666821</v>
      </c>
      <c r="O1295" s="41">
        <v>79166.666666666672</v>
      </c>
      <c r="P1295" s="41">
        <v>75000000</v>
      </c>
      <c r="Q1295" s="41">
        <v>0</v>
      </c>
      <c r="R1295" s="41">
        <v>50000000</v>
      </c>
      <c r="S1295" s="41">
        <v>0</v>
      </c>
      <c r="T1295" s="41">
        <v>35000000</v>
      </c>
      <c r="U1295" s="41">
        <v>0</v>
      </c>
      <c r="V1295" s="41">
        <v>484404166.66666818</v>
      </c>
      <c r="W1295" s="41">
        <v>79166.666666666672</v>
      </c>
      <c r="X1295" s="38">
        <f t="shared" si="114"/>
        <v>0.96880833333333638</v>
      </c>
      <c r="Y1295" s="39">
        <f t="shared" si="115"/>
        <v>1.5833333333333335E-4</v>
      </c>
      <c r="Z1295" s="39">
        <f t="shared" si="119"/>
        <v>1.6345773327139097E-4</v>
      </c>
      <c r="AA1295" s="41">
        <f t="shared" si="116"/>
        <v>15595833.333331823</v>
      </c>
      <c r="AB1295" s="39">
        <f t="shared" si="117"/>
        <v>5.0761421319801868E-3</v>
      </c>
      <c r="AC1295" s="38">
        <f t="shared" si="118"/>
        <v>0.18319305494773841</v>
      </c>
      <c r="AD1295" s="3"/>
    </row>
    <row r="1296" spans="1:30" x14ac:dyDescent="0.25">
      <c r="A1296" s="37">
        <v>46932</v>
      </c>
      <c r="B1296" s="41">
        <v>20000000</v>
      </c>
      <c r="C1296" s="41">
        <v>0</v>
      </c>
      <c r="D1296" s="41">
        <v>50000000</v>
      </c>
      <c r="E1296" s="41">
        <v>0</v>
      </c>
      <c r="F1296" s="41">
        <v>50000000</v>
      </c>
      <c r="G1296" s="41">
        <v>0</v>
      </c>
      <c r="H1296" s="41">
        <v>50000000</v>
      </c>
      <c r="I1296" s="41">
        <v>0</v>
      </c>
      <c r="J1296" s="41">
        <v>40000000</v>
      </c>
      <c r="K1296" s="41">
        <v>0</v>
      </c>
      <c r="L1296" s="41">
        <v>10000000</v>
      </c>
      <c r="M1296" s="41">
        <v>0</v>
      </c>
      <c r="N1296" s="41">
        <v>104483333.3333348</v>
      </c>
      <c r="O1296" s="41">
        <v>79166.666666666672</v>
      </c>
      <c r="P1296" s="41">
        <v>75000000</v>
      </c>
      <c r="Q1296" s="41">
        <v>0</v>
      </c>
      <c r="R1296" s="41">
        <v>50000000</v>
      </c>
      <c r="S1296" s="41">
        <v>0</v>
      </c>
      <c r="T1296" s="41">
        <v>35000000</v>
      </c>
      <c r="U1296" s="41">
        <v>0</v>
      </c>
      <c r="V1296" s="41">
        <v>484483333.3333348</v>
      </c>
      <c r="W1296" s="41">
        <v>79166.666666666672</v>
      </c>
      <c r="X1296" s="38">
        <f t="shared" si="114"/>
        <v>0.96896666666666964</v>
      </c>
      <c r="Y1296" s="39">
        <f t="shared" si="115"/>
        <v>1.5833333333333335E-4</v>
      </c>
      <c r="Z1296" s="39">
        <f t="shared" si="119"/>
        <v>1.6343101920744508E-4</v>
      </c>
      <c r="AA1296" s="41">
        <f t="shared" si="116"/>
        <v>15516666.666665196</v>
      </c>
      <c r="AB1296" s="39">
        <f t="shared" si="117"/>
        <v>5.1020408163270142E-3</v>
      </c>
      <c r="AC1296" s="38">
        <f t="shared" si="118"/>
        <v>0.18315763767349033</v>
      </c>
      <c r="AD1296" s="3"/>
    </row>
    <row r="1297" spans="1:30" x14ac:dyDescent="0.25">
      <c r="A1297" s="37">
        <v>46933</v>
      </c>
      <c r="B1297" s="41">
        <v>20000000</v>
      </c>
      <c r="C1297" s="41">
        <v>0</v>
      </c>
      <c r="D1297" s="41">
        <v>50000000</v>
      </c>
      <c r="E1297" s="41">
        <v>0</v>
      </c>
      <c r="F1297" s="41">
        <v>50000000</v>
      </c>
      <c r="G1297" s="41">
        <v>0</v>
      </c>
      <c r="H1297" s="41">
        <v>50000000</v>
      </c>
      <c r="I1297" s="41">
        <v>0</v>
      </c>
      <c r="J1297" s="41">
        <v>40000000</v>
      </c>
      <c r="K1297" s="41">
        <v>0</v>
      </c>
      <c r="L1297" s="41">
        <v>10000000</v>
      </c>
      <c r="M1297" s="41">
        <v>0</v>
      </c>
      <c r="N1297" s="41">
        <v>104562500.00000151</v>
      </c>
      <c r="O1297" s="41">
        <v>79166.666666666672</v>
      </c>
      <c r="P1297" s="41">
        <v>75000000</v>
      </c>
      <c r="Q1297" s="41">
        <v>0</v>
      </c>
      <c r="R1297" s="41">
        <v>50000000</v>
      </c>
      <c r="S1297" s="41">
        <v>0</v>
      </c>
      <c r="T1297" s="41">
        <v>35000000</v>
      </c>
      <c r="U1297" s="41">
        <v>0</v>
      </c>
      <c r="V1297" s="41">
        <v>484562500.00000149</v>
      </c>
      <c r="W1297" s="41">
        <v>79166.666666666672</v>
      </c>
      <c r="X1297" s="38">
        <f t="shared" si="114"/>
        <v>0.96912500000000301</v>
      </c>
      <c r="Y1297" s="39">
        <f t="shared" si="115"/>
        <v>1.5833333333333335E-4</v>
      </c>
      <c r="Z1297" s="39">
        <f t="shared" si="119"/>
        <v>1.6340431387388578E-4</v>
      </c>
      <c r="AA1297" s="41">
        <f t="shared" si="116"/>
        <v>15437499.99999851</v>
      </c>
      <c r="AB1297" s="39">
        <f t="shared" si="117"/>
        <v>5.1282051282056235E-3</v>
      </c>
      <c r="AC1297" s="38">
        <f t="shared" si="118"/>
        <v>0.18312223409125525</v>
      </c>
      <c r="AD1297" s="3"/>
    </row>
    <row r="1298" spans="1:30" x14ac:dyDescent="0.25">
      <c r="A1298" s="37">
        <v>46934</v>
      </c>
      <c r="B1298" s="41">
        <v>20000000</v>
      </c>
      <c r="C1298" s="41">
        <v>0</v>
      </c>
      <c r="D1298" s="41">
        <v>50000000</v>
      </c>
      <c r="E1298" s="41">
        <v>0</v>
      </c>
      <c r="F1298" s="41">
        <v>50000000</v>
      </c>
      <c r="G1298" s="41">
        <v>0</v>
      </c>
      <c r="H1298" s="41">
        <v>50000000</v>
      </c>
      <c r="I1298" s="41">
        <v>0</v>
      </c>
      <c r="J1298" s="41">
        <v>40000000</v>
      </c>
      <c r="K1298" s="41">
        <v>0</v>
      </c>
      <c r="L1298" s="41">
        <v>10000000</v>
      </c>
      <c r="M1298" s="41">
        <v>0</v>
      </c>
      <c r="N1298" s="41">
        <v>104641666.66666821</v>
      </c>
      <c r="O1298" s="41">
        <v>79166.666666666672</v>
      </c>
      <c r="P1298" s="41">
        <v>75000000</v>
      </c>
      <c r="Q1298" s="41">
        <v>0</v>
      </c>
      <c r="R1298" s="41">
        <v>50000000</v>
      </c>
      <c r="S1298" s="41">
        <v>0</v>
      </c>
      <c r="T1298" s="41">
        <v>35000000</v>
      </c>
      <c r="U1298" s="41">
        <v>0</v>
      </c>
      <c r="V1298" s="41">
        <v>484641666.66666818</v>
      </c>
      <c r="W1298" s="41">
        <v>79166.666666666672</v>
      </c>
      <c r="X1298" s="38">
        <f t="shared" si="114"/>
        <v>0.96928333333333638</v>
      </c>
      <c r="Y1298" s="39">
        <f t="shared" si="115"/>
        <v>1.5833333333333335E-4</v>
      </c>
      <c r="Z1298" s="39">
        <f t="shared" si="119"/>
        <v>1.6337761726643402E-4</v>
      </c>
      <c r="AA1298" s="41">
        <f t="shared" si="116"/>
        <v>15358333.333331823</v>
      </c>
      <c r="AB1298" s="39">
        <f t="shared" si="117"/>
        <v>5.1546391752582393E-3</v>
      </c>
      <c r="AC1298" s="38">
        <f t="shared" si="118"/>
        <v>0.18308684419309493</v>
      </c>
      <c r="AD1298" s="3"/>
    </row>
    <row r="1299" spans="1:30" x14ac:dyDescent="0.25">
      <c r="A1299" s="37">
        <v>46935</v>
      </c>
      <c r="B1299" s="41">
        <v>20000000</v>
      </c>
      <c r="C1299" s="41">
        <v>0</v>
      </c>
      <c r="D1299" s="41">
        <v>50000000</v>
      </c>
      <c r="E1299" s="41">
        <v>0</v>
      </c>
      <c r="F1299" s="41">
        <v>50000000</v>
      </c>
      <c r="G1299" s="41">
        <v>0</v>
      </c>
      <c r="H1299" s="41">
        <v>50000000</v>
      </c>
      <c r="I1299" s="41">
        <v>0</v>
      </c>
      <c r="J1299" s="41">
        <v>40000000</v>
      </c>
      <c r="K1299" s="41">
        <v>0</v>
      </c>
      <c r="L1299" s="41">
        <v>10000000</v>
      </c>
      <c r="M1299" s="41">
        <v>0</v>
      </c>
      <c r="N1299" s="41">
        <v>104720833.3333348</v>
      </c>
      <c r="O1299" s="41">
        <v>79166.666666666672</v>
      </c>
      <c r="P1299" s="41">
        <v>75000000</v>
      </c>
      <c r="Q1299" s="41">
        <v>0</v>
      </c>
      <c r="R1299" s="41">
        <v>50000000</v>
      </c>
      <c r="S1299" s="41">
        <v>0</v>
      </c>
      <c r="T1299" s="41">
        <v>35000000</v>
      </c>
      <c r="U1299" s="41">
        <v>0</v>
      </c>
      <c r="V1299" s="41">
        <v>484720833.33333492</v>
      </c>
      <c r="W1299" s="41">
        <v>79166.666666666672</v>
      </c>
      <c r="X1299" s="38">
        <f t="shared" si="114"/>
        <v>0.96944166666666987</v>
      </c>
      <c r="Y1299" s="39">
        <f t="shared" si="115"/>
        <v>1.5833333333333335E-4</v>
      </c>
      <c r="Z1299" s="39">
        <f t="shared" si="119"/>
        <v>1.6335092938081351E-4</v>
      </c>
      <c r="AA1299" s="41">
        <f t="shared" si="116"/>
        <v>15279166.666665077</v>
      </c>
      <c r="AB1299" s="39">
        <f t="shared" si="117"/>
        <v>5.181347150259607E-3</v>
      </c>
      <c r="AC1299" s="38">
        <f t="shared" si="118"/>
        <v>0.18305146797107716</v>
      </c>
      <c r="AD1299" s="3"/>
    </row>
    <row r="1300" spans="1:30" x14ac:dyDescent="0.25">
      <c r="A1300" s="37">
        <v>46936</v>
      </c>
      <c r="B1300" s="41">
        <v>20000000</v>
      </c>
      <c r="C1300" s="41">
        <v>0</v>
      </c>
      <c r="D1300" s="41">
        <v>50000000</v>
      </c>
      <c r="E1300" s="41">
        <v>0</v>
      </c>
      <c r="F1300" s="41">
        <v>50000000</v>
      </c>
      <c r="G1300" s="41">
        <v>0</v>
      </c>
      <c r="H1300" s="41">
        <v>50000000</v>
      </c>
      <c r="I1300" s="41">
        <v>0</v>
      </c>
      <c r="J1300" s="41">
        <v>40000000</v>
      </c>
      <c r="K1300" s="41">
        <v>0</v>
      </c>
      <c r="L1300" s="41">
        <v>10000000</v>
      </c>
      <c r="M1300" s="41">
        <v>0</v>
      </c>
      <c r="N1300" s="41">
        <v>104800000.00000151</v>
      </c>
      <c r="O1300" s="41">
        <v>79166.666666666672</v>
      </c>
      <c r="P1300" s="41">
        <v>75000000</v>
      </c>
      <c r="Q1300" s="41">
        <v>0</v>
      </c>
      <c r="R1300" s="41">
        <v>50000000</v>
      </c>
      <c r="S1300" s="41">
        <v>0</v>
      </c>
      <c r="T1300" s="41">
        <v>35000000</v>
      </c>
      <c r="U1300" s="41">
        <v>0</v>
      </c>
      <c r="V1300" s="41">
        <v>484800000.00000149</v>
      </c>
      <c r="W1300" s="41">
        <v>79166.666666666672</v>
      </c>
      <c r="X1300" s="38">
        <f t="shared" si="114"/>
        <v>0.96960000000000302</v>
      </c>
      <c r="Y1300" s="39">
        <f t="shared" si="115"/>
        <v>1.5833333333333335E-4</v>
      </c>
      <c r="Z1300" s="39">
        <f t="shared" si="119"/>
        <v>1.6332425021275081E-4</v>
      </c>
      <c r="AA1300" s="41">
        <f t="shared" si="116"/>
        <v>15199999.99999851</v>
      </c>
      <c r="AB1300" s="39">
        <f t="shared" si="117"/>
        <v>5.2083333333338439E-3</v>
      </c>
      <c r="AC1300" s="38">
        <f t="shared" si="118"/>
        <v>0.18301610541727606</v>
      </c>
      <c r="AD1300" s="3"/>
    </row>
    <row r="1301" spans="1:30" x14ac:dyDescent="0.25">
      <c r="A1301" s="37">
        <v>46937</v>
      </c>
      <c r="B1301" s="41">
        <v>20000000</v>
      </c>
      <c r="C1301" s="41">
        <v>0</v>
      </c>
      <c r="D1301" s="41">
        <v>50000000</v>
      </c>
      <c r="E1301" s="41">
        <v>0</v>
      </c>
      <c r="F1301" s="41">
        <v>50000000</v>
      </c>
      <c r="G1301" s="41">
        <v>0</v>
      </c>
      <c r="H1301" s="41">
        <v>50000000</v>
      </c>
      <c r="I1301" s="41">
        <v>0</v>
      </c>
      <c r="J1301" s="41">
        <v>40000000</v>
      </c>
      <c r="K1301" s="41">
        <v>0</v>
      </c>
      <c r="L1301" s="41">
        <v>10000000</v>
      </c>
      <c r="M1301" s="41">
        <v>0</v>
      </c>
      <c r="N1301" s="41">
        <v>104879166.66666821</v>
      </c>
      <c r="O1301" s="41">
        <v>79166.666666666672</v>
      </c>
      <c r="P1301" s="41">
        <v>75000000</v>
      </c>
      <c r="Q1301" s="41">
        <v>0</v>
      </c>
      <c r="R1301" s="41">
        <v>50000000</v>
      </c>
      <c r="S1301" s="41">
        <v>0</v>
      </c>
      <c r="T1301" s="41">
        <v>35000000</v>
      </c>
      <c r="U1301" s="41">
        <v>0</v>
      </c>
      <c r="V1301" s="41">
        <v>484879166.66666818</v>
      </c>
      <c r="W1301" s="41">
        <v>79166.666666666672</v>
      </c>
      <c r="X1301" s="38">
        <f t="shared" si="114"/>
        <v>0.96975833333333639</v>
      </c>
      <c r="Y1301" s="39">
        <f t="shared" si="115"/>
        <v>1.5833333333333335E-4</v>
      </c>
      <c r="Z1301" s="39">
        <f t="shared" si="119"/>
        <v>1.6329757975797532E-4</v>
      </c>
      <c r="AA1301" s="41">
        <f t="shared" si="116"/>
        <v>15120833.333331823</v>
      </c>
      <c r="AB1301" s="39">
        <f t="shared" si="117"/>
        <v>5.235602094241361E-3</v>
      </c>
      <c r="AC1301" s="38">
        <f t="shared" si="118"/>
        <v>0.18298075652377158</v>
      </c>
      <c r="AD1301" s="3"/>
    </row>
    <row r="1302" spans="1:30" x14ac:dyDescent="0.25">
      <c r="A1302" s="37">
        <v>46938</v>
      </c>
      <c r="B1302" s="41">
        <v>20000000</v>
      </c>
      <c r="C1302" s="41">
        <v>0</v>
      </c>
      <c r="D1302" s="41">
        <v>50000000</v>
      </c>
      <c r="E1302" s="41">
        <v>0</v>
      </c>
      <c r="F1302" s="41">
        <v>50000000</v>
      </c>
      <c r="G1302" s="41">
        <v>0</v>
      </c>
      <c r="H1302" s="41">
        <v>50000000</v>
      </c>
      <c r="I1302" s="41">
        <v>0</v>
      </c>
      <c r="J1302" s="41">
        <v>40000000</v>
      </c>
      <c r="K1302" s="41">
        <v>0</v>
      </c>
      <c r="L1302" s="41">
        <v>10000000</v>
      </c>
      <c r="M1302" s="41">
        <v>0</v>
      </c>
      <c r="N1302" s="41">
        <v>104958333.33333489</v>
      </c>
      <c r="O1302" s="41">
        <v>79166.666666666672</v>
      </c>
      <c r="P1302" s="41">
        <v>75000000</v>
      </c>
      <c r="Q1302" s="41">
        <v>0</v>
      </c>
      <c r="R1302" s="41">
        <v>50000000</v>
      </c>
      <c r="S1302" s="41">
        <v>0</v>
      </c>
      <c r="T1302" s="41">
        <v>35000000</v>
      </c>
      <c r="U1302" s="41">
        <v>0</v>
      </c>
      <c r="V1302" s="41">
        <v>484958333.33333492</v>
      </c>
      <c r="W1302" s="41">
        <v>79166.666666666672</v>
      </c>
      <c r="X1302" s="38">
        <f t="shared" si="114"/>
        <v>0.96991666666666987</v>
      </c>
      <c r="Y1302" s="39">
        <f t="shared" si="115"/>
        <v>1.5833333333333335E-4</v>
      </c>
      <c r="Z1302" s="39">
        <f t="shared" si="119"/>
        <v>1.6327091801221903E-4</v>
      </c>
      <c r="AA1302" s="41">
        <f t="shared" si="116"/>
        <v>15041666.666665077</v>
      </c>
      <c r="AB1302" s="39">
        <f t="shared" si="117"/>
        <v>5.2631578947373988E-3</v>
      </c>
      <c r="AC1302" s="38">
        <f t="shared" si="118"/>
        <v>0.18294542128264996</v>
      </c>
      <c r="AD1302" s="3"/>
    </row>
    <row r="1303" spans="1:30" x14ac:dyDescent="0.25">
      <c r="A1303" s="37">
        <v>46939</v>
      </c>
      <c r="B1303" s="41">
        <v>20000000</v>
      </c>
      <c r="C1303" s="41">
        <v>0</v>
      </c>
      <c r="D1303" s="41">
        <v>50000000</v>
      </c>
      <c r="E1303" s="41">
        <v>0</v>
      </c>
      <c r="F1303" s="41">
        <v>50000000</v>
      </c>
      <c r="G1303" s="41">
        <v>0</v>
      </c>
      <c r="H1303" s="41">
        <v>50000000</v>
      </c>
      <c r="I1303" s="41">
        <v>0</v>
      </c>
      <c r="J1303" s="41">
        <v>40000000</v>
      </c>
      <c r="K1303" s="41">
        <v>0</v>
      </c>
      <c r="L1303" s="41">
        <v>10000000</v>
      </c>
      <c r="M1303" s="41">
        <v>0</v>
      </c>
      <c r="N1303" s="41">
        <v>105037500.00000151</v>
      </c>
      <c r="O1303" s="41">
        <v>79166.666666666672</v>
      </c>
      <c r="P1303" s="41">
        <v>75000000</v>
      </c>
      <c r="Q1303" s="41">
        <v>0</v>
      </c>
      <c r="R1303" s="41">
        <v>50000000</v>
      </c>
      <c r="S1303" s="41">
        <v>0</v>
      </c>
      <c r="T1303" s="41">
        <v>35000000</v>
      </c>
      <c r="U1303" s="41">
        <v>0</v>
      </c>
      <c r="V1303" s="41">
        <v>485037500.00000149</v>
      </c>
      <c r="W1303" s="41">
        <v>79166.666666666672</v>
      </c>
      <c r="X1303" s="38">
        <f t="shared" ref="X1303:X1366" si="120">V1303/$B$6</f>
        <v>0.97007500000000302</v>
      </c>
      <c r="Y1303" s="39">
        <f t="shared" ref="Y1303:Y1366" si="121">W1303/$B$6</f>
        <v>1.5833333333333335E-4</v>
      </c>
      <c r="Z1303" s="39">
        <f t="shared" si="119"/>
        <v>1.6324426497121692E-4</v>
      </c>
      <c r="AA1303" s="41">
        <f t="shared" ref="AA1303:AA1366" si="122">$B$6-V1303</f>
        <v>14962499.99999851</v>
      </c>
      <c r="AB1303" s="39">
        <f t="shared" ref="AB1303:AB1366" si="123">W1303/AA1303</f>
        <v>5.2910052910058181E-3</v>
      </c>
      <c r="AC1303" s="38">
        <f t="shared" ref="AC1303:AC1366" si="124" xml:space="preserve"> P1303/(V1303-P1303)</f>
        <v>0.18291009968600366</v>
      </c>
      <c r="AD1303" s="3"/>
    </row>
    <row r="1304" spans="1:30" x14ac:dyDescent="0.25">
      <c r="A1304" s="37">
        <v>46940</v>
      </c>
      <c r="B1304" s="41">
        <v>20000000</v>
      </c>
      <c r="C1304" s="41">
        <v>0</v>
      </c>
      <c r="D1304" s="41">
        <v>50000000</v>
      </c>
      <c r="E1304" s="41">
        <v>0</v>
      </c>
      <c r="F1304" s="41">
        <v>50000000</v>
      </c>
      <c r="G1304" s="41">
        <v>0</v>
      </c>
      <c r="H1304" s="41">
        <v>50000000</v>
      </c>
      <c r="I1304" s="41">
        <v>0</v>
      </c>
      <c r="J1304" s="41">
        <v>40000000</v>
      </c>
      <c r="K1304" s="41">
        <v>0</v>
      </c>
      <c r="L1304" s="41">
        <v>10000000</v>
      </c>
      <c r="M1304" s="41">
        <v>0</v>
      </c>
      <c r="N1304" s="41">
        <v>105116666.66666821</v>
      </c>
      <c r="O1304" s="41">
        <v>79166.666666666672</v>
      </c>
      <c r="P1304" s="41">
        <v>75000000</v>
      </c>
      <c r="Q1304" s="41">
        <v>0</v>
      </c>
      <c r="R1304" s="41">
        <v>50000000</v>
      </c>
      <c r="S1304" s="41">
        <v>0</v>
      </c>
      <c r="T1304" s="41">
        <v>35000000</v>
      </c>
      <c r="U1304" s="41">
        <v>0</v>
      </c>
      <c r="V1304" s="41">
        <v>485116666.66666818</v>
      </c>
      <c r="W1304" s="41">
        <v>79166.666666666672</v>
      </c>
      <c r="X1304" s="38">
        <f t="shared" si="120"/>
        <v>0.97023333333333639</v>
      </c>
      <c r="Y1304" s="39">
        <f t="shared" si="121"/>
        <v>1.5833333333333335E-4</v>
      </c>
      <c r="Z1304" s="39">
        <f t="shared" ref="Z1304:Z1367" si="125">W1304/V1303</f>
        <v>1.6321762063070675E-4</v>
      </c>
      <c r="AA1304" s="41">
        <f t="shared" si="122"/>
        <v>14883333.333331823</v>
      </c>
      <c r="AB1304" s="39">
        <f t="shared" si="123"/>
        <v>5.319148936170753E-3</v>
      </c>
      <c r="AC1304" s="38">
        <f t="shared" si="124"/>
        <v>0.18287479172593096</v>
      </c>
      <c r="AD1304" s="3"/>
    </row>
    <row r="1305" spans="1:30" x14ac:dyDescent="0.25">
      <c r="A1305" s="37">
        <v>46941</v>
      </c>
      <c r="B1305" s="41">
        <v>20000000</v>
      </c>
      <c r="C1305" s="41">
        <v>0</v>
      </c>
      <c r="D1305" s="41">
        <v>50000000</v>
      </c>
      <c r="E1305" s="41">
        <v>0</v>
      </c>
      <c r="F1305" s="41">
        <v>50000000</v>
      </c>
      <c r="G1305" s="41">
        <v>0</v>
      </c>
      <c r="H1305" s="41">
        <v>50000000</v>
      </c>
      <c r="I1305" s="41">
        <v>0</v>
      </c>
      <c r="J1305" s="41">
        <v>40000000</v>
      </c>
      <c r="K1305" s="41">
        <v>0</v>
      </c>
      <c r="L1305" s="41">
        <v>10000000</v>
      </c>
      <c r="M1305" s="41">
        <v>0</v>
      </c>
      <c r="N1305" s="41">
        <v>105195833.33333489</v>
      </c>
      <c r="O1305" s="41">
        <v>79166.666666666672</v>
      </c>
      <c r="P1305" s="41">
        <v>75000000</v>
      </c>
      <c r="Q1305" s="41">
        <v>0</v>
      </c>
      <c r="R1305" s="41">
        <v>50000000</v>
      </c>
      <c r="S1305" s="41">
        <v>0</v>
      </c>
      <c r="T1305" s="41">
        <v>35000000</v>
      </c>
      <c r="U1305" s="41">
        <v>0</v>
      </c>
      <c r="V1305" s="41">
        <v>485195833.33333492</v>
      </c>
      <c r="W1305" s="41">
        <v>79166.666666666672</v>
      </c>
      <c r="X1305" s="38">
        <f t="shared" si="120"/>
        <v>0.97039166666666987</v>
      </c>
      <c r="Y1305" s="39">
        <f t="shared" si="121"/>
        <v>1.5833333333333335E-4</v>
      </c>
      <c r="Z1305" s="39">
        <f t="shared" si="125"/>
        <v>1.6319098498642889E-4</v>
      </c>
      <c r="AA1305" s="41">
        <f t="shared" si="122"/>
        <v>14804166.666665077</v>
      </c>
      <c r="AB1305" s="39">
        <f t="shared" si="123"/>
        <v>5.3475935828882753E-3</v>
      </c>
      <c r="AC1305" s="38">
        <f t="shared" si="124"/>
        <v>0.18283949739453645</v>
      </c>
      <c r="AD1305" s="3"/>
    </row>
    <row r="1306" spans="1:30" x14ac:dyDescent="0.25">
      <c r="A1306" s="37">
        <v>46942</v>
      </c>
      <c r="B1306" s="41">
        <v>20000000</v>
      </c>
      <c r="C1306" s="41">
        <v>0</v>
      </c>
      <c r="D1306" s="41">
        <v>50000000</v>
      </c>
      <c r="E1306" s="41">
        <v>0</v>
      </c>
      <c r="F1306" s="41">
        <v>50000000</v>
      </c>
      <c r="G1306" s="41">
        <v>0</v>
      </c>
      <c r="H1306" s="41">
        <v>50000000</v>
      </c>
      <c r="I1306" s="41">
        <v>0</v>
      </c>
      <c r="J1306" s="41">
        <v>40000000</v>
      </c>
      <c r="K1306" s="41">
        <v>0</v>
      </c>
      <c r="L1306" s="41">
        <v>10000000</v>
      </c>
      <c r="M1306" s="41">
        <v>0</v>
      </c>
      <c r="N1306" s="41">
        <v>105275000.00000151</v>
      </c>
      <c r="O1306" s="41">
        <v>79166.666666666672</v>
      </c>
      <c r="P1306" s="41">
        <v>75000000</v>
      </c>
      <c r="Q1306" s="41">
        <v>0</v>
      </c>
      <c r="R1306" s="41">
        <v>50000000</v>
      </c>
      <c r="S1306" s="41">
        <v>0</v>
      </c>
      <c r="T1306" s="41">
        <v>35000000</v>
      </c>
      <c r="U1306" s="41">
        <v>0</v>
      </c>
      <c r="V1306" s="41">
        <v>485275000.00000149</v>
      </c>
      <c r="W1306" s="41">
        <v>79166.666666666672</v>
      </c>
      <c r="X1306" s="38">
        <f t="shared" si="120"/>
        <v>0.97055000000000302</v>
      </c>
      <c r="Y1306" s="39">
        <f t="shared" si="121"/>
        <v>1.5833333333333335E-4</v>
      </c>
      <c r="Z1306" s="39">
        <f t="shared" si="125"/>
        <v>1.6316435803412658E-4</v>
      </c>
      <c r="AA1306" s="41">
        <f t="shared" si="122"/>
        <v>14724999.99999851</v>
      </c>
      <c r="AB1306" s="39">
        <f t="shared" si="123"/>
        <v>5.3763440860220496E-3</v>
      </c>
      <c r="AC1306" s="38">
        <f t="shared" si="124"/>
        <v>0.18280421668393085</v>
      </c>
      <c r="AD1306" s="3"/>
    </row>
    <row r="1307" spans="1:30" x14ac:dyDescent="0.25">
      <c r="A1307" s="37">
        <v>46943</v>
      </c>
      <c r="B1307" s="41">
        <v>20000000</v>
      </c>
      <c r="C1307" s="41">
        <v>0</v>
      </c>
      <c r="D1307" s="41">
        <v>50000000</v>
      </c>
      <c r="E1307" s="41">
        <v>0</v>
      </c>
      <c r="F1307" s="41">
        <v>50000000</v>
      </c>
      <c r="G1307" s="41">
        <v>0</v>
      </c>
      <c r="H1307" s="41">
        <v>50000000</v>
      </c>
      <c r="I1307" s="41">
        <v>0</v>
      </c>
      <c r="J1307" s="41">
        <v>40000000</v>
      </c>
      <c r="K1307" s="41">
        <v>0</v>
      </c>
      <c r="L1307" s="41">
        <v>10000000</v>
      </c>
      <c r="M1307" s="41">
        <v>0</v>
      </c>
      <c r="N1307" s="41">
        <v>105354166.66666821</v>
      </c>
      <c r="O1307" s="41">
        <v>79166.666666666672</v>
      </c>
      <c r="P1307" s="41">
        <v>75000000</v>
      </c>
      <c r="Q1307" s="41">
        <v>0</v>
      </c>
      <c r="R1307" s="41">
        <v>50000000</v>
      </c>
      <c r="S1307" s="41">
        <v>0</v>
      </c>
      <c r="T1307" s="41">
        <v>35000000</v>
      </c>
      <c r="U1307" s="41">
        <v>0</v>
      </c>
      <c r="V1307" s="41">
        <v>485354166.66666818</v>
      </c>
      <c r="W1307" s="41">
        <v>79166.666666666672</v>
      </c>
      <c r="X1307" s="38">
        <f t="shared" si="120"/>
        <v>0.97070833333333639</v>
      </c>
      <c r="Y1307" s="39">
        <f t="shared" si="121"/>
        <v>1.5833333333333335E-4</v>
      </c>
      <c r="Z1307" s="39">
        <f t="shared" si="125"/>
        <v>1.6313773976954599E-4</v>
      </c>
      <c r="AA1307" s="41">
        <f t="shared" si="122"/>
        <v>14645833.333331823</v>
      </c>
      <c r="AB1307" s="39">
        <f t="shared" si="123"/>
        <v>5.4054054054059634E-3</v>
      </c>
      <c r="AC1307" s="38">
        <f t="shared" si="124"/>
        <v>0.18276894958623074</v>
      </c>
      <c r="AD1307" s="3"/>
    </row>
    <row r="1308" spans="1:30" x14ac:dyDescent="0.25">
      <c r="A1308" s="37">
        <v>46944</v>
      </c>
      <c r="B1308" s="41">
        <v>20000000</v>
      </c>
      <c r="C1308" s="41">
        <v>0</v>
      </c>
      <c r="D1308" s="41">
        <v>50000000</v>
      </c>
      <c r="E1308" s="41">
        <v>0</v>
      </c>
      <c r="F1308" s="41">
        <v>50000000</v>
      </c>
      <c r="G1308" s="41">
        <v>0</v>
      </c>
      <c r="H1308" s="41">
        <v>50000000</v>
      </c>
      <c r="I1308" s="41">
        <v>0</v>
      </c>
      <c r="J1308" s="41">
        <v>40000000</v>
      </c>
      <c r="K1308" s="41">
        <v>0</v>
      </c>
      <c r="L1308" s="41">
        <v>10000000</v>
      </c>
      <c r="M1308" s="41">
        <v>0</v>
      </c>
      <c r="N1308" s="41">
        <v>105433333.33333489</v>
      </c>
      <c r="O1308" s="41">
        <v>79166.666666666672</v>
      </c>
      <c r="P1308" s="41">
        <v>75000000</v>
      </c>
      <c r="Q1308" s="41">
        <v>0</v>
      </c>
      <c r="R1308" s="41">
        <v>50000000</v>
      </c>
      <c r="S1308" s="41">
        <v>0</v>
      </c>
      <c r="T1308" s="41">
        <v>35000000</v>
      </c>
      <c r="U1308" s="41">
        <v>0</v>
      </c>
      <c r="V1308" s="41">
        <v>485433333.33333492</v>
      </c>
      <c r="W1308" s="41">
        <v>79166.666666666672</v>
      </c>
      <c r="X1308" s="38">
        <f t="shared" si="120"/>
        <v>0.97086666666666988</v>
      </c>
      <c r="Y1308" s="39">
        <f t="shared" si="121"/>
        <v>1.5833333333333335E-4</v>
      </c>
      <c r="Z1308" s="39">
        <f t="shared" si="125"/>
        <v>1.6311113018843579E-4</v>
      </c>
      <c r="AA1308" s="41">
        <f t="shared" si="122"/>
        <v>14566666.666665077</v>
      </c>
      <c r="AB1308" s="39">
        <f t="shared" si="123"/>
        <v>5.4347826086962453E-3</v>
      </c>
      <c r="AC1308" s="38">
        <f t="shared" si="124"/>
        <v>0.18273369609355894</v>
      </c>
      <c r="AD1308" s="3"/>
    </row>
    <row r="1309" spans="1:30" x14ac:dyDescent="0.25">
      <c r="A1309" s="37">
        <v>46945</v>
      </c>
      <c r="B1309" s="41">
        <v>20000000</v>
      </c>
      <c r="C1309" s="41">
        <v>0</v>
      </c>
      <c r="D1309" s="41">
        <v>50000000</v>
      </c>
      <c r="E1309" s="41">
        <v>0</v>
      </c>
      <c r="F1309" s="41">
        <v>50000000</v>
      </c>
      <c r="G1309" s="41">
        <v>0</v>
      </c>
      <c r="H1309" s="41">
        <v>50000000</v>
      </c>
      <c r="I1309" s="41">
        <v>0</v>
      </c>
      <c r="J1309" s="41">
        <v>40000000</v>
      </c>
      <c r="K1309" s="41">
        <v>0</v>
      </c>
      <c r="L1309" s="41">
        <v>10000000</v>
      </c>
      <c r="M1309" s="41">
        <v>0</v>
      </c>
      <c r="N1309" s="41">
        <v>105512500.00000159</v>
      </c>
      <c r="O1309" s="41">
        <v>79166.666666666672</v>
      </c>
      <c r="P1309" s="41">
        <v>75000000</v>
      </c>
      <c r="Q1309" s="41">
        <v>0</v>
      </c>
      <c r="R1309" s="41">
        <v>50000000</v>
      </c>
      <c r="S1309" s="41">
        <v>0</v>
      </c>
      <c r="T1309" s="41">
        <v>35000000</v>
      </c>
      <c r="U1309" s="41">
        <v>0</v>
      </c>
      <c r="V1309" s="41">
        <v>485512500.00000149</v>
      </c>
      <c r="W1309" s="41">
        <v>79166.666666666672</v>
      </c>
      <c r="X1309" s="38">
        <f t="shared" si="120"/>
        <v>0.97102500000000302</v>
      </c>
      <c r="Y1309" s="39">
        <f t="shared" si="121"/>
        <v>1.5833333333333335E-4</v>
      </c>
      <c r="Z1309" s="39">
        <f t="shared" si="125"/>
        <v>1.6308452928654759E-4</v>
      </c>
      <c r="AA1309" s="41">
        <f t="shared" si="122"/>
        <v>14487499.99999851</v>
      </c>
      <c r="AB1309" s="39">
        <f t="shared" si="123"/>
        <v>5.4644808743175019E-3</v>
      </c>
      <c r="AC1309" s="38">
        <f t="shared" si="124"/>
        <v>0.18269845619804445</v>
      </c>
      <c r="AD1309" s="3"/>
    </row>
    <row r="1310" spans="1:30" x14ac:dyDescent="0.25">
      <c r="A1310" s="37">
        <v>46946</v>
      </c>
      <c r="B1310" s="41">
        <v>20000000</v>
      </c>
      <c r="C1310" s="41">
        <v>0</v>
      </c>
      <c r="D1310" s="41">
        <v>50000000</v>
      </c>
      <c r="E1310" s="41">
        <v>0</v>
      </c>
      <c r="F1310" s="41">
        <v>50000000</v>
      </c>
      <c r="G1310" s="41">
        <v>0</v>
      </c>
      <c r="H1310" s="41">
        <v>50000000</v>
      </c>
      <c r="I1310" s="41">
        <v>0</v>
      </c>
      <c r="J1310" s="41">
        <v>40000000</v>
      </c>
      <c r="K1310" s="41">
        <v>0</v>
      </c>
      <c r="L1310" s="41">
        <v>10000000</v>
      </c>
      <c r="M1310" s="41">
        <v>0</v>
      </c>
      <c r="N1310" s="41">
        <v>105591666.66666821</v>
      </c>
      <c r="O1310" s="41">
        <v>79166.666666666672</v>
      </c>
      <c r="P1310" s="41">
        <v>75000000</v>
      </c>
      <c r="Q1310" s="41">
        <v>0</v>
      </c>
      <c r="R1310" s="41">
        <v>50000000</v>
      </c>
      <c r="S1310" s="41">
        <v>0</v>
      </c>
      <c r="T1310" s="41">
        <v>35000000</v>
      </c>
      <c r="U1310" s="41">
        <v>0</v>
      </c>
      <c r="V1310" s="41">
        <v>485591666.66666818</v>
      </c>
      <c r="W1310" s="41">
        <v>79166.666666666672</v>
      </c>
      <c r="X1310" s="38">
        <f t="shared" si="120"/>
        <v>0.9711833333333364</v>
      </c>
      <c r="Y1310" s="39">
        <f t="shared" si="121"/>
        <v>1.5833333333333335E-4</v>
      </c>
      <c r="Z1310" s="39">
        <f t="shared" si="125"/>
        <v>1.6305793705963581E-4</v>
      </c>
      <c r="AA1310" s="41">
        <f t="shared" si="122"/>
        <v>14408333.333331823</v>
      </c>
      <c r="AB1310" s="39">
        <f t="shared" si="123"/>
        <v>5.4945054945060709E-3</v>
      </c>
      <c r="AC1310" s="38">
        <f t="shared" si="124"/>
        <v>0.1826632298918221</v>
      </c>
      <c r="AD1310" s="3"/>
    </row>
    <row r="1311" spans="1:30" x14ac:dyDescent="0.25">
      <c r="A1311" s="37">
        <v>46947</v>
      </c>
      <c r="B1311" s="41">
        <v>20000000</v>
      </c>
      <c r="C1311" s="41">
        <v>0</v>
      </c>
      <c r="D1311" s="41">
        <v>50000000</v>
      </c>
      <c r="E1311" s="41">
        <v>0</v>
      </c>
      <c r="F1311" s="41">
        <v>50000000</v>
      </c>
      <c r="G1311" s="41">
        <v>0</v>
      </c>
      <c r="H1311" s="41">
        <v>50000000</v>
      </c>
      <c r="I1311" s="41">
        <v>0</v>
      </c>
      <c r="J1311" s="41">
        <v>40000000</v>
      </c>
      <c r="K1311" s="41">
        <v>0</v>
      </c>
      <c r="L1311" s="41">
        <v>10000000</v>
      </c>
      <c r="M1311" s="41">
        <v>0</v>
      </c>
      <c r="N1311" s="41">
        <v>105670833.33333489</v>
      </c>
      <c r="O1311" s="41">
        <v>79166.666666666672</v>
      </c>
      <c r="P1311" s="41">
        <v>75000000</v>
      </c>
      <c r="Q1311" s="41">
        <v>0</v>
      </c>
      <c r="R1311" s="41">
        <v>50000000</v>
      </c>
      <c r="S1311" s="41">
        <v>0</v>
      </c>
      <c r="T1311" s="41">
        <v>35000000</v>
      </c>
      <c r="U1311" s="41">
        <v>0</v>
      </c>
      <c r="V1311" s="41">
        <v>485670833.33333492</v>
      </c>
      <c r="W1311" s="41">
        <v>79166.666666666672</v>
      </c>
      <c r="X1311" s="38">
        <f t="shared" si="120"/>
        <v>0.97134166666666988</v>
      </c>
      <c r="Y1311" s="39">
        <f t="shared" si="121"/>
        <v>1.5833333333333335E-4</v>
      </c>
      <c r="Z1311" s="39">
        <f t="shared" si="125"/>
        <v>1.630313535034575E-4</v>
      </c>
      <c r="AA1311" s="41">
        <f t="shared" si="122"/>
        <v>14329166.666665077</v>
      </c>
      <c r="AB1311" s="39">
        <f t="shared" si="123"/>
        <v>5.5248618784536517E-3</v>
      </c>
      <c r="AC1311" s="38">
        <f t="shared" si="124"/>
        <v>0.18262801716703292</v>
      </c>
      <c r="AD1311" s="3"/>
    </row>
    <row r="1312" spans="1:30" x14ac:dyDescent="0.25">
      <c r="A1312" s="37">
        <v>46948</v>
      </c>
      <c r="B1312" s="41">
        <v>20000000</v>
      </c>
      <c r="C1312" s="41">
        <v>0</v>
      </c>
      <c r="D1312" s="41">
        <v>50000000</v>
      </c>
      <c r="E1312" s="41">
        <v>0</v>
      </c>
      <c r="F1312" s="41">
        <v>50000000</v>
      </c>
      <c r="G1312" s="41">
        <v>0</v>
      </c>
      <c r="H1312" s="41">
        <v>50000000</v>
      </c>
      <c r="I1312" s="41">
        <v>0</v>
      </c>
      <c r="J1312" s="41">
        <v>40000000</v>
      </c>
      <c r="K1312" s="41">
        <v>0</v>
      </c>
      <c r="L1312" s="41">
        <v>10000000</v>
      </c>
      <c r="M1312" s="41">
        <v>0</v>
      </c>
      <c r="N1312" s="41">
        <v>105750000.00000159</v>
      </c>
      <c r="O1312" s="41">
        <v>79166.666666666672</v>
      </c>
      <c r="P1312" s="41">
        <v>75000000</v>
      </c>
      <c r="Q1312" s="41">
        <v>0</v>
      </c>
      <c r="R1312" s="41">
        <v>50000000</v>
      </c>
      <c r="S1312" s="41">
        <v>0</v>
      </c>
      <c r="T1312" s="41">
        <v>35000000</v>
      </c>
      <c r="U1312" s="41">
        <v>0</v>
      </c>
      <c r="V1312" s="41">
        <v>485750000.00000149</v>
      </c>
      <c r="W1312" s="41">
        <v>79166.666666666672</v>
      </c>
      <c r="X1312" s="38">
        <f t="shared" si="120"/>
        <v>0.97150000000000303</v>
      </c>
      <c r="Y1312" s="39">
        <f t="shared" si="121"/>
        <v>1.5833333333333335E-4</v>
      </c>
      <c r="Z1312" s="39">
        <f t="shared" si="125"/>
        <v>1.6300477861377251E-4</v>
      </c>
      <c r="AA1312" s="41">
        <f t="shared" si="122"/>
        <v>14249999.99999851</v>
      </c>
      <c r="AB1312" s="39">
        <f t="shared" si="123"/>
        <v>5.5555555555561369E-3</v>
      </c>
      <c r="AC1312" s="38">
        <f t="shared" si="124"/>
        <v>0.18259281801582405</v>
      </c>
      <c r="AD1312" s="3"/>
    </row>
    <row r="1313" spans="1:30" x14ac:dyDescent="0.25">
      <c r="A1313" s="37">
        <v>46949</v>
      </c>
      <c r="B1313" s="41">
        <v>20000000</v>
      </c>
      <c r="C1313" s="41">
        <v>0</v>
      </c>
      <c r="D1313" s="41">
        <v>50000000</v>
      </c>
      <c r="E1313" s="41">
        <v>0</v>
      </c>
      <c r="F1313" s="41">
        <v>50000000</v>
      </c>
      <c r="G1313" s="41">
        <v>0</v>
      </c>
      <c r="H1313" s="41">
        <v>50000000</v>
      </c>
      <c r="I1313" s="41">
        <v>0</v>
      </c>
      <c r="J1313" s="41">
        <v>40000000</v>
      </c>
      <c r="K1313" s="41">
        <v>0</v>
      </c>
      <c r="L1313" s="41">
        <v>10000000</v>
      </c>
      <c r="M1313" s="41">
        <v>0</v>
      </c>
      <c r="N1313" s="41">
        <v>105829166.6666683</v>
      </c>
      <c r="O1313" s="41">
        <v>79166.666666666672</v>
      </c>
      <c r="P1313" s="41">
        <v>75000000</v>
      </c>
      <c r="Q1313" s="41">
        <v>0</v>
      </c>
      <c r="R1313" s="41">
        <v>50000000</v>
      </c>
      <c r="S1313" s="41">
        <v>0</v>
      </c>
      <c r="T1313" s="41">
        <v>35000000</v>
      </c>
      <c r="U1313" s="41">
        <v>0</v>
      </c>
      <c r="V1313" s="41">
        <v>485829166.66666818</v>
      </c>
      <c r="W1313" s="41">
        <v>79166.666666666672</v>
      </c>
      <c r="X1313" s="38">
        <f t="shared" si="120"/>
        <v>0.9716583333333364</v>
      </c>
      <c r="Y1313" s="39">
        <f t="shared" si="121"/>
        <v>1.5833333333333335E-4</v>
      </c>
      <c r="Z1313" s="39">
        <f t="shared" si="125"/>
        <v>1.6297821238634366E-4</v>
      </c>
      <c r="AA1313" s="41">
        <f t="shared" si="122"/>
        <v>14170833.333331823</v>
      </c>
      <c r="AB1313" s="39">
        <f t="shared" si="123"/>
        <v>5.5865921787715458E-3</v>
      </c>
      <c r="AC1313" s="38">
        <f t="shared" si="124"/>
        <v>0.18255763243034853</v>
      </c>
      <c r="AD1313" s="3"/>
    </row>
    <row r="1314" spans="1:30" x14ac:dyDescent="0.25">
      <c r="A1314" s="37">
        <v>46950</v>
      </c>
      <c r="B1314" s="41">
        <v>20000000</v>
      </c>
      <c r="C1314" s="41">
        <v>0</v>
      </c>
      <c r="D1314" s="41">
        <v>50000000</v>
      </c>
      <c r="E1314" s="41">
        <v>0</v>
      </c>
      <c r="F1314" s="41">
        <v>50000000</v>
      </c>
      <c r="G1314" s="41">
        <v>0</v>
      </c>
      <c r="H1314" s="41">
        <v>50000000</v>
      </c>
      <c r="I1314" s="41">
        <v>0</v>
      </c>
      <c r="J1314" s="41">
        <v>40000000</v>
      </c>
      <c r="K1314" s="41">
        <v>0</v>
      </c>
      <c r="L1314" s="41">
        <v>10000000</v>
      </c>
      <c r="M1314" s="41">
        <v>0</v>
      </c>
      <c r="N1314" s="41">
        <v>105908333.33333489</v>
      </c>
      <c r="O1314" s="41">
        <v>79166.666666666672</v>
      </c>
      <c r="P1314" s="41">
        <v>75000000</v>
      </c>
      <c r="Q1314" s="41">
        <v>0</v>
      </c>
      <c r="R1314" s="41">
        <v>50000000</v>
      </c>
      <c r="S1314" s="41">
        <v>0</v>
      </c>
      <c r="T1314" s="41">
        <v>35000000</v>
      </c>
      <c r="U1314" s="41">
        <v>0</v>
      </c>
      <c r="V1314" s="41">
        <v>485908333.33333492</v>
      </c>
      <c r="W1314" s="41">
        <v>79166.666666666672</v>
      </c>
      <c r="X1314" s="38">
        <f t="shared" si="120"/>
        <v>0.97181666666666988</v>
      </c>
      <c r="Y1314" s="39">
        <f t="shared" si="121"/>
        <v>1.5833333333333335E-4</v>
      </c>
      <c r="Z1314" s="39">
        <f t="shared" si="125"/>
        <v>1.6295165481693618E-4</v>
      </c>
      <c r="AA1314" s="41">
        <f t="shared" si="122"/>
        <v>14091666.666665077</v>
      </c>
      <c r="AB1314" s="39">
        <f t="shared" si="123"/>
        <v>5.6179775280905215E-3</v>
      </c>
      <c r="AC1314" s="38">
        <f t="shared" si="124"/>
        <v>0.18252246040276551</v>
      </c>
      <c r="AD1314" s="3"/>
    </row>
    <row r="1315" spans="1:30" x14ac:dyDescent="0.25">
      <c r="A1315" s="37">
        <v>46951</v>
      </c>
      <c r="B1315" s="41">
        <v>20000000</v>
      </c>
      <c r="C1315" s="41">
        <v>0</v>
      </c>
      <c r="D1315" s="41">
        <v>50000000</v>
      </c>
      <c r="E1315" s="41">
        <v>0</v>
      </c>
      <c r="F1315" s="41">
        <v>50000000</v>
      </c>
      <c r="G1315" s="41">
        <v>0</v>
      </c>
      <c r="H1315" s="41">
        <v>50000000</v>
      </c>
      <c r="I1315" s="41">
        <v>0</v>
      </c>
      <c r="J1315" s="41">
        <v>40000000</v>
      </c>
      <c r="K1315" s="41">
        <v>0</v>
      </c>
      <c r="L1315" s="41">
        <v>10000000</v>
      </c>
      <c r="M1315" s="41">
        <v>0</v>
      </c>
      <c r="N1315" s="41">
        <v>105987500.00000159</v>
      </c>
      <c r="O1315" s="41">
        <v>79166.666666666672</v>
      </c>
      <c r="P1315" s="41">
        <v>75000000</v>
      </c>
      <c r="Q1315" s="41">
        <v>0</v>
      </c>
      <c r="R1315" s="41">
        <v>50000000</v>
      </c>
      <c r="S1315" s="41">
        <v>0</v>
      </c>
      <c r="T1315" s="41">
        <v>35000000</v>
      </c>
      <c r="U1315" s="41">
        <v>0</v>
      </c>
      <c r="V1315" s="41">
        <v>485987500.00000161</v>
      </c>
      <c r="W1315" s="41">
        <v>79166.666666666672</v>
      </c>
      <c r="X1315" s="38">
        <f t="shared" si="120"/>
        <v>0.97197500000000325</v>
      </c>
      <c r="Y1315" s="39">
        <f t="shared" si="121"/>
        <v>1.5833333333333335E-4</v>
      </c>
      <c r="Z1315" s="39">
        <f t="shared" si="125"/>
        <v>1.629251059013183E-4</v>
      </c>
      <c r="AA1315" s="41">
        <f t="shared" si="122"/>
        <v>14012499.999998391</v>
      </c>
      <c r="AB1315" s="39">
        <f t="shared" si="123"/>
        <v>5.6497175141249434E-3</v>
      </c>
      <c r="AC1315" s="38">
        <f t="shared" si="124"/>
        <v>0.18248730192524032</v>
      </c>
      <c r="AD1315" s="3"/>
    </row>
    <row r="1316" spans="1:30" x14ac:dyDescent="0.25">
      <c r="A1316" s="37">
        <v>46952</v>
      </c>
      <c r="B1316" s="41">
        <v>20000000</v>
      </c>
      <c r="C1316" s="41">
        <v>0</v>
      </c>
      <c r="D1316" s="41">
        <v>50000000</v>
      </c>
      <c r="E1316" s="41">
        <v>0</v>
      </c>
      <c r="F1316" s="41">
        <v>50000000</v>
      </c>
      <c r="G1316" s="41">
        <v>0</v>
      </c>
      <c r="H1316" s="41">
        <v>50000000</v>
      </c>
      <c r="I1316" s="41">
        <v>0</v>
      </c>
      <c r="J1316" s="41">
        <v>40000000</v>
      </c>
      <c r="K1316" s="41">
        <v>0</v>
      </c>
      <c r="L1316" s="41">
        <v>10000000</v>
      </c>
      <c r="M1316" s="41">
        <v>0</v>
      </c>
      <c r="N1316" s="41">
        <v>106066666.6666683</v>
      </c>
      <c r="O1316" s="41">
        <v>79166.666666666672</v>
      </c>
      <c r="P1316" s="41">
        <v>75000000</v>
      </c>
      <c r="Q1316" s="41">
        <v>0</v>
      </c>
      <c r="R1316" s="41">
        <v>50000000</v>
      </c>
      <c r="S1316" s="41">
        <v>0</v>
      </c>
      <c r="T1316" s="41">
        <v>35000000</v>
      </c>
      <c r="U1316" s="41">
        <v>0</v>
      </c>
      <c r="V1316" s="41">
        <v>486066666.6666683</v>
      </c>
      <c r="W1316" s="41">
        <v>79166.666666666672</v>
      </c>
      <c r="X1316" s="38">
        <f t="shared" si="120"/>
        <v>0.97213333333333662</v>
      </c>
      <c r="Y1316" s="39">
        <f t="shared" si="121"/>
        <v>1.5833333333333335E-4</v>
      </c>
      <c r="Z1316" s="39">
        <f t="shared" si="125"/>
        <v>1.6289856563526101E-4</v>
      </c>
      <c r="AA1316" s="41">
        <f t="shared" si="122"/>
        <v>13933333.333331704</v>
      </c>
      <c r="AB1316" s="39">
        <f t="shared" si="123"/>
        <v>5.6818181818188464E-3</v>
      </c>
      <c r="AC1316" s="38">
        <f t="shared" si="124"/>
        <v>0.18245215698994413</v>
      </c>
      <c r="AD1316" s="3"/>
    </row>
    <row r="1317" spans="1:30" x14ac:dyDescent="0.25">
      <c r="A1317" s="37">
        <v>46953</v>
      </c>
      <c r="B1317" s="41">
        <v>20000000</v>
      </c>
      <c r="C1317" s="41">
        <v>0</v>
      </c>
      <c r="D1317" s="41">
        <v>50000000</v>
      </c>
      <c r="E1317" s="41">
        <v>0</v>
      </c>
      <c r="F1317" s="41">
        <v>50000000</v>
      </c>
      <c r="G1317" s="41">
        <v>0</v>
      </c>
      <c r="H1317" s="41">
        <v>50000000</v>
      </c>
      <c r="I1317" s="41">
        <v>0</v>
      </c>
      <c r="J1317" s="41">
        <v>40000000</v>
      </c>
      <c r="K1317" s="41">
        <v>0</v>
      </c>
      <c r="L1317" s="41">
        <v>10000000</v>
      </c>
      <c r="M1317" s="41">
        <v>0</v>
      </c>
      <c r="N1317" s="41">
        <v>106145833.33333489</v>
      </c>
      <c r="O1317" s="41">
        <v>79166.666666666672</v>
      </c>
      <c r="P1317" s="41">
        <v>75000000</v>
      </c>
      <c r="Q1317" s="41">
        <v>0</v>
      </c>
      <c r="R1317" s="41">
        <v>50000000</v>
      </c>
      <c r="S1317" s="41">
        <v>0</v>
      </c>
      <c r="T1317" s="41">
        <v>35000000</v>
      </c>
      <c r="U1317" s="41">
        <v>0</v>
      </c>
      <c r="V1317" s="41">
        <v>486145833.33333492</v>
      </c>
      <c r="W1317" s="41">
        <v>79166.666666666672</v>
      </c>
      <c r="X1317" s="38">
        <f t="shared" si="120"/>
        <v>0.97229166666666988</v>
      </c>
      <c r="Y1317" s="39">
        <f t="shared" si="121"/>
        <v>1.5833333333333335E-4</v>
      </c>
      <c r="Z1317" s="39">
        <f t="shared" si="125"/>
        <v>1.6287203401453793E-4</v>
      </c>
      <c r="AA1317" s="41">
        <f t="shared" si="122"/>
        <v>13854166.666665077</v>
      </c>
      <c r="AB1317" s="39">
        <f t="shared" si="123"/>
        <v>5.71428571428637E-3</v>
      </c>
      <c r="AC1317" s="38">
        <f t="shared" si="124"/>
        <v>0.18241702558905426</v>
      </c>
      <c r="AD1317" s="3"/>
    </row>
    <row r="1318" spans="1:30" x14ac:dyDescent="0.25">
      <c r="A1318" s="37">
        <v>46954</v>
      </c>
      <c r="B1318" s="41">
        <v>20000000</v>
      </c>
      <c r="C1318" s="41">
        <v>0</v>
      </c>
      <c r="D1318" s="41">
        <v>50000000</v>
      </c>
      <c r="E1318" s="41">
        <v>0</v>
      </c>
      <c r="F1318" s="41">
        <v>50000000</v>
      </c>
      <c r="G1318" s="41">
        <v>0</v>
      </c>
      <c r="H1318" s="41">
        <v>50000000</v>
      </c>
      <c r="I1318" s="41">
        <v>0</v>
      </c>
      <c r="J1318" s="41">
        <v>40000000</v>
      </c>
      <c r="K1318" s="41">
        <v>0</v>
      </c>
      <c r="L1318" s="41">
        <v>10000000</v>
      </c>
      <c r="M1318" s="41">
        <v>0</v>
      </c>
      <c r="N1318" s="41">
        <v>106225000.00000159</v>
      </c>
      <c r="O1318" s="41">
        <v>79166.666666666672</v>
      </c>
      <c r="P1318" s="41">
        <v>75000000</v>
      </c>
      <c r="Q1318" s="41">
        <v>0</v>
      </c>
      <c r="R1318" s="41">
        <v>50000000</v>
      </c>
      <c r="S1318" s="41">
        <v>0</v>
      </c>
      <c r="T1318" s="41">
        <v>35000000</v>
      </c>
      <c r="U1318" s="41">
        <v>0</v>
      </c>
      <c r="V1318" s="41">
        <v>486225000.00000161</v>
      </c>
      <c r="W1318" s="41">
        <v>79166.666666666672</v>
      </c>
      <c r="X1318" s="38">
        <f t="shared" si="120"/>
        <v>0.97245000000000326</v>
      </c>
      <c r="Y1318" s="39">
        <f t="shared" si="121"/>
        <v>1.5833333333333335E-4</v>
      </c>
      <c r="Z1318" s="39">
        <f t="shared" si="125"/>
        <v>1.6284551103492556E-4</v>
      </c>
      <c r="AA1318" s="41">
        <f t="shared" si="122"/>
        <v>13774999.999998391</v>
      </c>
      <c r="AB1318" s="39">
        <f t="shared" si="123"/>
        <v>5.7471264367822813E-3</v>
      </c>
      <c r="AC1318" s="38">
        <f t="shared" si="124"/>
        <v>0.18238190771475399</v>
      </c>
      <c r="AD1318" s="3"/>
    </row>
    <row r="1319" spans="1:30" x14ac:dyDescent="0.25">
      <c r="A1319" s="37">
        <v>46955</v>
      </c>
      <c r="B1319" s="41">
        <v>20000000</v>
      </c>
      <c r="C1319" s="41">
        <v>0</v>
      </c>
      <c r="D1319" s="41">
        <v>50000000</v>
      </c>
      <c r="E1319" s="41">
        <v>0</v>
      </c>
      <c r="F1319" s="41">
        <v>50000000</v>
      </c>
      <c r="G1319" s="41">
        <v>0</v>
      </c>
      <c r="H1319" s="41">
        <v>50000000</v>
      </c>
      <c r="I1319" s="41">
        <v>0</v>
      </c>
      <c r="J1319" s="41">
        <v>40000000</v>
      </c>
      <c r="K1319" s="41">
        <v>0</v>
      </c>
      <c r="L1319" s="41">
        <v>10000000</v>
      </c>
      <c r="M1319" s="41">
        <v>0</v>
      </c>
      <c r="N1319" s="41">
        <v>106304166.6666683</v>
      </c>
      <c r="O1319" s="41">
        <v>79166.666666666672</v>
      </c>
      <c r="P1319" s="41">
        <v>75000000</v>
      </c>
      <c r="Q1319" s="41">
        <v>0</v>
      </c>
      <c r="R1319" s="41">
        <v>50000000</v>
      </c>
      <c r="S1319" s="41">
        <v>0</v>
      </c>
      <c r="T1319" s="41">
        <v>35000000</v>
      </c>
      <c r="U1319" s="41">
        <v>0</v>
      </c>
      <c r="V1319" s="41">
        <v>486304166.6666683</v>
      </c>
      <c r="W1319" s="41">
        <v>79166.666666666672</v>
      </c>
      <c r="X1319" s="38">
        <f t="shared" si="120"/>
        <v>0.97260833333333663</v>
      </c>
      <c r="Y1319" s="39">
        <f t="shared" si="121"/>
        <v>1.5833333333333335E-4</v>
      </c>
      <c r="Z1319" s="39">
        <f t="shared" si="125"/>
        <v>1.6281899669220301E-4</v>
      </c>
      <c r="AA1319" s="41">
        <f t="shared" si="122"/>
        <v>13695833.333331704</v>
      </c>
      <c r="AB1319" s="39">
        <f t="shared" si="123"/>
        <v>5.7803468208099361E-3</v>
      </c>
      <c r="AC1319" s="38">
        <f t="shared" si="124"/>
        <v>0.18234680335923262</v>
      </c>
      <c r="AD1319" s="3"/>
    </row>
    <row r="1320" spans="1:30" x14ac:dyDescent="0.25">
      <c r="A1320" s="37">
        <v>46956</v>
      </c>
      <c r="B1320" s="41">
        <v>20000000</v>
      </c>
      <c r="C1320" s="41">
        <v>0</v>
      </c>
      <c r="D1320" s="41">
        <v>50000000</v>
      </c>
      <c r="E1320" s="41">
        <v>0</v>
      </c>
      <c r="F1320" s="41">
        <v>50000000</v>
      </c>
      <c r="G1320" s="41">
        <v>0</v>
      </c>
      <c r="H1320" s="41">
        <v>50000000</v>
      </c>
      <c r="I1320" s="41">
        <v>0</v>
      </c>
      <c r="J1320" s="41">
        <v>40000000</v>
      </c>
      <c r="K1320" s="41">
        <v>0</v>
      </c>
      <c r="L1320" s="41">
        <v>10000000</v>
      </c>
      <c r="M1320" s="41">
        <v>0</v>
      </c>
      <c r="N1320" s="41">
        <v>106383333.333335</v>
      </c>
      <c r="O1320" s="41">
        <v>79166.666666666672</v>
      </c>
      <c r="P1320" s="41">
        <v>75000000</v>
      </c>
      <c r="Q1320" s="41">
        <v>0</v>
      </c>
      <c r="R1320" s="41">
        <v>50000000</v>
      </c>
      <c r="S1320" s="41">
        <v>0</v>
      </c>
      <c r="T1320" s="41">
        <v>35000000</v>
      </c>
      <c r="U1320" s="41">
        <v>0</v>
      </c>
      <c r="V1320" s="41">
        <v>486383333.33333492</v>
      </c>
      <c r="W1320" s="41">
        <v>79166.666666666672</v>
      </c>
      <c r="X1320" s="38">
        <f t="shared" si="120"/>
        <v>0.97276666666666989</v>
      </c>
      <c r="Y1320" s="39">
        <f t="shared" si="121"/>
        <v>1.5833333333333335E-4</v>
      </c>
      <c r="Z1320" s="39">
        <f t="shared" si="125"/>
        <v>1.6279249098215227E-4</v>
      </c>
      <c r="AA1320" s="41">
        <f t="shared" si="122"/>
        <v>13616666.666665077</v>
      </c>
      <c r="AB1320" s="39">
        <f t="shared" si="123"/>
        <v>5.8139534883727721E-3</v>
      </c>
      <c r="AC1320" s="38">
        <f t="shared" si="124"/>
        <v>0.1823117125146855</v>
      </c>
      <c r="AD1320" s="3"/>
    </row>
    <row r="1321" spans="1:30" x14ac:dyDescent="0.25">
      <c r="A1321" s="37">
        <v>46957</v>
      </c>
      <c r="B1321" s="41">
        <v>20000000</v>
      </c>
      <c r="C1321" s="41">
        <v>0</v>
      </c>
      <c r="D1321" s="41">
        <v>50000000</v>
      </c>
      <c r="E1321" s="41">
        <v>0</v>
      </c>
      <c r="F1321" s="41">
        <v>50000000</v>
      </c>
      <c r="G1321" s="41">
        <v>0</v>
      </c>
      <c r="H1321" s="41">
        <v>50000000</v>
      </c>
      <c r="I1321" s="41">
        <v>0</v>
      </c>
      <c r="J1321" s="41">
        <v>40000000</v>
      </c>
      <c r="K1321" s="41">
        <v>0</v>
      </c>
      <c r="L1321" s="41">
        <v>10000000</v>
      </c>
      <c r="M1321" s="41">
        <v>0</v>
      </c>
      <c r="N1321" s="41">
        <v>106462500.00000159</v>
      </c>
      <c r="O1321" s="41">
        <v>79166.666666666672</v>
      </c>
      <c r="P1321" s="41">
        <v>75000000</v>
      </c>
      <c r="Q1321" s="41">
        <v>0</v>
      </c>
      <c r="R1321" s="41">
        <v>50000000</v>
      </c>
      <c r="S1321" s="41">
        <v>0</v>
      </c>
      <c r="T1321" s="41">
        <v>35000000</v>
      </c>
      <c r="U1321" s="41">
        <v>0</v>
      </c>
      <c r="V1321" s="41">
        <v>486462500.00000161</v>
      </c>
      <c r="W1321" s="41">
        <v>79166.666666666672</v>
      </c>
      <c r="X1321" s="38">
        <f t="shared" si="120"/>
        <v>0.97292500000000326</v>
      </c>
      <c r="Y1321" s="39">
        <f t="shared" si="121"/>
        <v>1.5833333333333335E-4</v>
      </c>
      <c r="Z1321" s="39">
        <f t="shared" si="125"/>
        <v>1.6276599390055801E-4</v>
      </c>
      <c r="AA1321" s="41">
        <f t="shared" si="122"/>
        <v>13537499.999998391</v>
      </c>
      <c r="AB1321" s="39">
        <f t="shared" si="123"/>
        <v>5.8479532163749643E-3</v>
      </c>
      <c r="AC1321" s="38">
        <f t="shared" si="124"/>
        <v>0.18227663517331399</v>
      </c>
      <c r="AD1321" s="3"/>
    </row>
    <row r="1322" spans="1:30" x14ac:dyDescent="0.25">
      <c r="A1322" s="37">
        <v>46958</v>
      </c>
      <c r="B1322" s="41">
        <v>20000000</v>
      </c>
      <c r="C1322" s="41">
        <v>0</v>
      </c>
      <c r="D1322" s="41">
        <v>50000000</v>
      </c>
      <c r="E1322" s="41">
        <v>0</v>
      </c>
      <c r="F1322" s="41">
        <v>50000000</v>
      </c>
      <c r="G1322" s="41">
        <v>0</v>
      </c>
      <c r="H1322" s="41">
        <v>50000000</v>
      </c>
      <c r="I1322" s="41">
        <v>0</v>
      </c>
      <c r="J1322" s="41">
        <v>40000000</v>
      </c>
      <c r="K1322" s="41">
        <v>0</v>
      </c>
      <c r="L1322" s="41">
        <v>10000000</v>
      </c>
      <c r="M1322" s="41">
        <v>0</v>
      </c>
      <c r="N1322" s="41">
        <v>106541666.6666683</v>
      </c>
      <c r="O1322" s="41">
        <v>79166.666666666672</v>
      </c>
      <c r="P1322" s="41">
        <v>75000000</v>
      </c>
      <c r="Q1322" s="41">
        <v>0</v>
      </c>
      <c r="R1322" s="41">
        <v>50000000</v>
      </c>
      <c r="S1322" s="41">
        <v>0</v>
      </c>
      <c r="T1322" s="41">
        <v>35000000</v>
      </c>
      <c r="U1322" s="41">
        <v>0</v>
      </c>
      <c r="V1322" s="41">
        <v>486541666.6666683</v>
      </c>
      <c r="W1322" s="41">
        <v>79166.666666666672</v>
      </c>
      <c r="X1322" s="38">
        <f t="shared" si="120"/>
        <v>0.97308333333333663</v>
      </c>
      <c r="Y1322" s="39">
        <f t="shared" si="121"/>
        <v>1.5833333333333335E-4</v>
      </c>
      <c r="Z1322" s="39">
        <f t="shared" si="125"/>
        <v>1.6273950544320768E-4</v>
      </c>
      <c r="AA1322" s="41">
        <f t="shared" si="122"/>
        <v>13458333.333331704</v>
      </c>
      <c r="AB1322" s="39">
        <f t="shared" si="123"/>
        <v>5.8823529411771826E-3</v>
      </c>
      <c r="AC1322" s="38">
        <f t="shared" si="124"/>
        <v>0.18224157132732538</v>
      </c>
      <c r="AD1322" s="3"/>
    </row>
    <row r="1323" spans="1:30" x14ac:dyDescent="0.25">
      <c r="A1323" s="37">
        <v>46959</v>
      </c>
      <c r="B1323" s="41">
        <v>20000000</v>
      </c>
      <c r="C1323" s="41">
        <v>0</v>
      </c>
      <c r="D1323" s="41">
        <v>50000000</v>
      </c>
      <c r="E1323" s="41">
        <v>0</v>
      </c>
      <c r="F1323" s="41">
        <v>50000000</v>
      </c>
      <c r="G1323" s="41">
        <v>0</v>
      </c>
      <c r="H1323" s="41">
        <v>50000000</v>
      </c>
      <c r="I1323" s="41">
        <v>0</v>
      </c>
      <c r="J1323" s="41">
        <v>40000000</v>
      </c>
      <c r="K1323" s="41">
        <v>0</v>
      </c>
      <c r="L1323" s="41">
        <v>10000000</v>
      </c>
      <c r="M1323" s="41">
        <v>0</v>
      </c>
      <c r="N1323" s="41">
        <v>106620833.333335</v>
      </c>
      <c r="O1323" s="41">
        <v>79166.666666666672</v>
      </c>
      <c r="P1323" s="41">
        <v>75000000</v>
      </c>
      <c r="Q1323" s="41">
        <v>0</v>
      </c>
      <c r="R1323" s="41">
        <v>50000000</v>
      </c>
      <c r="S1323" s="41">
        <v>0</v>
      </c>
      <c r="T1323" s="41">
        <v>35000000</v>
      </c>
      <c r="U1323" s="41">
        <v>0</v>
      </c>
      <c r="V1323" s="41">
        <v>486620833.33333498</v>
      </c>
      <c r="W1323" s="41">
        <v>79166.666666666672</v>
      </c>
      <c r="X1323" s="38">
        <f t="shared" si="120"/>
        <v>0.97324166666667</v>
      </c>
      <c r="Y1323" s="39">
        <f t="shared" si="121"/>
        <v>1.5833333333333335E-4</v>
      </c>
      <c r="Z1323" s="39">
        <f t="shared" si="125"/>
        <v>1.6271302560589139E-4</v>
      </c>
      <c r="AA1323" s="41">
        <f t="shared" si="122"/>
        <v>13379166.666665018</v>
      </c>
      <c r="AB1323" s="39">
        <f t="shared" si="123"/>
        <v>5.9171597633143388E-3</v>
      </c>
      <c r="AC1323" s="38">
        <f t="shared" si="124"/>
        <v>0.18220652096893306</v>
      </c>
      <c r="AD1323" s="3"/>
    </row>
    <row r="1324" spans="1:30" x14ac:dyDescent="0.25">
      <c r="A1324" s="37">
        <v>46960</v>
      </c>
      <c r="B1324" s="41">
        <v>20000000</v>
      </c>
      <c r="C1324" s="41">
        <v>0</v>
      </c>
      <c r="D1324" s="41">
        <v>50000000</v>
      </c>
      <c r="E1324" s="41">
        <v>0</v>
      </c>
      <c r="F1324" s="41">
        <v>50000000</v>
      </c>
      <c r="G1324" s="41">
        <v>0</v>
      </c>
      <c r="H1324" s="41">
        <v>50000000</v>
      </c>
      <c r="I1324" s="41">
        <v>0</v>
      </c>
      <c r="J1324" s="41">
        <v>40000000</v>
      </c>
      <c r="K1324" s="41">
        <v>0</v>
      </c>
      <c r="L1324" s="41">
        <v>10000000</v>
      </c>
      <c r="M1324" s="41">
        <v>0</v>
      </c>
      <c r="N1324" s="41">
        <v>106700000.00000159</v>
      </c>
      <c r="O1324" s="41">
        <v>79166.666666666672</v>
      </c>
      <c r="P1324" s="41">
        <v>75000000</v>
      </c>
      <c r="Q1324" s="41">
        <v>0</v>
      </c>
      <c r="R1324" s="41">
        <v>50000000</v>
      </c>
      <c r="S1324" s="41">
        <v>0</v>
      </c>
      <c r="T1324" s="41">
        <v>35000000</v>
      </c>
      <c r="U1324" s="41">
        <v>0</v>
      </c>
      <c r="V1324" s="41">
        <v>486700000.00000173</v>
      </c>
      <c r="W1324" s="41">
        <v>79166.666666666672</v>
      </c>
      <c r="X1324" s="38">
        <f t="shared" si="120"/>
        <v>0.97340000000000348</v>
      </c>
      <c r="Y1324" s="39">
        <f t="shared" si="121"/>
        <v>1.5833333333333335E-4</v>
      </c>
      <c r="Z1324" s="39">
        <f t="shared" si="125"/>
        <v>1.6268655438440209E-4</v>
      </c>
      <c r="AA1324" s="41">
        <f t="shared" si="122"/>
        <v>13299999.999998271</v>
      </c>
      <c r="AB1324" s="39">
        <f t="shared" si="123"/>
        <v>5.9523809523817266E-3</v>
      </c>
      <c r="AC1324" s="38">
        <f t="shared" si="124"/>
        <v>0.1821714840903563</v>
      </c>
      <c r="AD1324" s="3"/>
    </row>
    <row r="1325" spans="1:30" x14ac:dyDescent="0.25">
      <c r="A1325" s="37">
        <v>46961</v>
      </c>
      <c r="B1325" s="41">
        <v>20000000</v>
      </c>
      <c r="C1325" s="41">
        <v>0</v>
      </c>
      <c r="D1325" s="41">
        <v>50000000</v>
      </c>
      <c r="E1325" s="41">
        <v>0</v>
      </c>
      <c r="F1325" s="41">
        <v>50000000</v>
      </c>
      <c r="G1325" s="41">
        <v>0</v>
      </c>
      <c r="H1325" s="41">
        <v>50000000</v>
      </c>
      <c r="I1325" s="41">
        <v>0</v>
      </c>
      <c r="J1325" s="41">
        <v>40000000</v>
      </c>
      <c r="K1325" s="41">
        <v>0</v>
      </c>
      <c r="L1325" s="41">
        <v>10000000</v>
      </c>
      <c r="M1325" s="41">
        <v>0</v>
      </c>
      <c r="N1325" s="41">
        <v>106779166.6666683</v>
      </c>
      <c r="O1325" s="41">
        <v>79166.666666666672</v>
      </c>
      <c r="P1325" s="41">
        <v>75000000</v>
      </c>
      <c r="Q1325" s="41">
        <v>0</v>
      </c>
      <c r="R1325" s="41">
        <v>50000000</v>
      </c>
      <c r="S1325" s="41">
        <v>0</v>
      </c>
      <c r="T1325" s="41">
        <v>35000000</v>
      </c>
      <c r="U1325" s="41">
        <v>0</v>
      </c>
      <c r="V1325" s="41">
        <v>486779166.6666683</v>
      </c>
      <c r="W1325" s="41">
        <v>79166.666666666672</v>
      </c>
      <c r="X1325" s="38">
        <f t="shared" si="120"/>
        <v>0.97355833333333663</v>
      </c>
      <c r="Y1325" s="39">
        <f t="shared" si="121"/>
        <v>1.5833333333333335E-4</v>
      </c>
      <c r="Z1325" s="39">
        <f t="shared" si="125"/>
        <v>1.6266009177453542E-4</v>
      </c>
      <c r="AA1325" s="41">
        <f t="shared" si="122"/>
        <v>13220833.333331704</v>
      </c>
      <c r="AB1325" s="39">
        <f t="shared" si="123"/>
        <v>5.9880239520965469E-3</v>
      </c>
      <c r="AC1325" s="38">
        <f t="shared" si="124"/>
        <v>0.1821364606838205</v>
      </c>
      <c r="AD1325" s="3"/>
    </row>
    <row r="1326" spans="1:30" x14ac:dyDescent="0.25">
      <c r="A1326" s="37">
        <v>46962</v>
      </c>
      <c r="B1326" s="41">
        <v>20000000</v>
      </c>
      <c r="C1326" s="41">
        <v>0</v>
      </c>
      <c r="D1326" s="41">
        <v>50000000</v>
      </c>
      <c r="E1326" s="41">
        <v>0</v>
      </c>
      <c r="F1326" s="41">
        <v>50000000</v>
      </c>
      <c r="G1326" s="41">
        <v>0</v>
      </c>
      <c r="H1326" s="41">
        <v>50000000</v>
      </c>
      <c r="I1326" s="41">
        <v>0</v>
      </c>
      <c r="J1326" s="41">
        <v>40000000</v>
      </c>
      <c r="K1326" s="41">
        <v>0</v>
      </c>
      <c r="L1326" s="41">
        <v>10000000</v>
      </c>
      <c r="M1326" s="41">
        <v>0</v>
      </c>
      <c r="N1326" s="41">
        <v>106858333.333335</v>
      </c>
      <c r="O1326" s="41">
        <v>79166.666666666672</v>
      </c>
      <c r="P1326" s="41">
        <v>75000000</v>
      </c>
      <c r="Q1326" s="41">
        <v>0</v>
      </c>
      <c r="R1326" s="41">
        <v>50000000</v>
      </c>
      <c r="S1326" s="41">
        <v>0</v>
      </c>
      <c r="T1326" s="41">
        <v>35000000</v>
      </c>
      <c r="U1326" s="41">
        <v>0</v>
      </c>
      <c r="V1326" s="41">
        <v>486858333.33333498</v>
      </c>
      <c r="W1326" s="41">
        <v>79166.666666666672</v>
      </c>
      <c r="X1326" s="38">
        <f t="shared" si="120"/>
        <v>0.97371666666667001</v>
      </c>
      <c r="Y1326" s="39">
        <f t="shared" si="121"/>
        <v>1.5833333333333335E-4</v>
      </c>
      <c r="Z1326" s="39">
        <f t="shared" si="125"/>
        <v>1.6263363777208983E-4</v>
      </c>
      <c r="AA1326" s="41">
        <f t="shared" si="122"/>
        <v>13141666.666665018</v>
      </c>
      <c r="AB1326" s="39">
        <f t="shared" si="123"/>
        <v>6.0240963855429253E-3</v>
      </c>
      <c r="AC1326" s="38">
        <f t="shared" si="124"/>
        <v>0.18210145074155684</v>
      </c>
      <c r="AD1326" s="3"/>
    </row>
    <row r="1327" spans="1:30" x14ac:dyDescent="0.25">
      <c r="A1327" s="37">
        <v>46963</v>
      </c>
      <c r="B1327" s="41">
        <v>20000000</v>
      </c>
      <c r="C1327" s="41">
        <v>0</v>
      </c>
      <c r="D1327" s="41">
        <v>50000000</v>
      </c>
      <c r="E1327" s="41">
        <v>0</v>
      </c>
      <c r="F1327" s="41">
        <v>50000000</v>
      </c>
      <c r="G1327" s="41">
        <v>0</v>
      </c>
      <c r="H1327" s="41">
        <v>50000000</v>
      </c>
      <c r="I1327" s="41">
        <v>0</v>
      </c>
      <c r="J1327" s="41">
        <v>40000000</v>
      </c>
      <c r="K1327" s="41">
        <v>0</v>
      </c>
      <c r="L1327" s="41">
        <v>10000000</v>
      </c>
      <c r="M1327" s="41">
        <v>0</v>
      </c>
      <c r="N1327" s="41">
        <v>106937500.0000017</v>
      </c>
      <c r="O1327" s="41">
        <v>79166.666666666672</v>
      </c>
      <c r="P1327" s="41">
        <v>75000000</v>
      </c>
      <c r="Q1327" s="41">
        <v>0</v>
      </c>
      <c r="R1327" s="41">
        <v>50000000</v>
      </c>
      <c r="S1327" s="41">
        <v>0</v>
      </c>
      <c r="T1327" s="41">
        <v>35000000</v>
      </c>
      <c r="U1327" s="41">
        <v>0</v>
      </c>
      <c r="V1327" s="41">
        <v>486937500.00000173</v>
      </c>
      <c r="W1327" s="41">
        <v>79166.666666666672</v>
      </c>
      <c r="X1327" s="38">
        <f t="shared" si="120"/>
        <v>0.97387500000000349</v>
      </c>
      <c r="Y1327" s="39">
        <f t="shared" si="121"/>
        <v>1.5833333333333335E-4</v>
      </c>
      <c r="Z1327" s="39">
        <f t="shared" si="125"/>
        <v>1.626071923728663E-4</v>
      </c>
      <c r="AA1327" s="41">
        <f t="shared" si="122"/>
        <v>13062499.999998271</v>
      </c>
      <c r="AB1327" s="39">
        <f t="shared" si="123"/>
        <v>6.0606060606068629E-3</v>
      </c>
      <c r="AC1327" s="38">
        <f t="shared" si="124"/>
        <v>0.18206645425580262</v>
      </c>
      <c r="AD1327" s="3"/>
    </row>
    <row r="1328" spans="1:30" x14ac:dyDescent="0.25">
      <c r="A1328" s="37">
        <v>46964</v>
      </c>
      <c r="B1328" s="41">
        <v>20000000</v>
      </c>
      <c r="C1328" s="41">
        <v>0</v>
      </c>
      <c r="D1328" s="41">
        <v>50000000</v>
      </c>
      <c r="E1328" s="41">
        <v>0</v>
      </c>
      <c r="F1328" s="41">
        <v>50000000</v>
      </c>
      <c r="G1328" s="41">
        <v>0</v>
      </c>
      <c r="H1328" s="41">
        <v>50000000</v>
      </c>
      <c r="I1328" s="41">
        <v>0</v>
      </c>
      <c r="J1328" s="41">
        <v>40000000</v>
      </c>
      <c r="K1328" s="41">
        <v>0</v>
      </c>
      <c r="L1328" s="41">
        <v>10000000</v>
      </c>
      <c r="M1328" s="41">
        <v>0</v>
      </c>
      <c r="N1328" s="41">
        <v>107016666.6666683</v>
      </c>
      <c r="O1328" s="41">
        <v>79166.666666666672</v>
      </c>
      <c r="P1328" s="41">
        <v>75000000</v>
      </c>
      <c r="Q1328" s="41">
        <v>0</v>
      </c>
      <c r="R1328" s="41">
        <v>50000000</v>
      </c>
      <c r="S1328" s="41">
        <v>0</v>
      </c>
      <c r="T1328" s="41">
        <v>35000000</v>
      </c>
      <c r="U1328" s="41">
        <v>0</v>
      </c>
      <c r="V1328" s="41">
        <v>487016666.6666683</v>
      </c>
      <c r="W1328" s="41">
        <v>79166.666666666672</v>
      </c>
      <c r="X1328" s="38">
        <f t="shared" si="120"/>
        <v>0.97403333333333664</v>
      </c>
      <c r="Y1328" s="39">
        <f t="shared" si="121"/>
        <v>1.5833333333333335E-4</v>
      </c>
      <c r="Z1328" s="39">
        <f t="shared" si="125"/>
        <v>1.6258075557266875E-4</v>
      </c>
      <c r="AA1328" s="41">
        <f t="shared" si="122"/>
        <v>12983333.333331704</v>
      </c>
      <c r="AB1328" s="39">
        <f t="shared" si="123"/>
        <v>6.0975609756105213E-3</v>
      </c>
      <c r="AC1328" s="38">
        <f t="shared" si="124"/>
        <v>0.18203147121880112</v>
      </c>
      <c r="AD1328" s="3"/>
    </row>
    <row r="1329" spans="1:30" x14ac:dyDescent="0.25">
      <c r="A1329" s="37">
        <v>46965</v>
      </c>
      <c r="B1329" s="41">
        <v>20000000</v>
      </c>
      <c r="C1329" s="41">
        <v>0</v>
      </c>
      <c r="D1329" s="41">
        <v>50000000</v>
      </c>
      <c r="E1329" s="41">
        <v>0</v>
      </c>
      <c r="F1329" s="41">
        <v>50000000</v>
      </c>
      <c r="G1329" s="41">
        <v>0</v>
      </c>
      <c r="H1329" s="41">
        <v>50000000</v>
      </c>
      <c r="I1329" s="41">
        <v>0</v>
      </c>
      <c r="J1329" s="41">
        <v>40000000</v>
      </c>
      <c r="K1329" s="41">
        <v>0</v>
      </c>
      <c r="L1329" s="41">
        <v>10000000</v>
      </c>
      <c r="M1329" s="41">
        <v>0</v>
      </c>
      <c r="N1329" s="41">
        <v>107095833.333335</v>
      </c>
      <c r="O1329" s="41">
        <v>79166.666666666672</v>
      </c>
      <c r="P1329" s="41">
        <v>75000000</v>
      </c>
      <c r="Q1329" s="41">
        <v>0</v>
      </c>
      <c r="R1329" s="41">
        <v>50000000</v>
      </c>
      <c r="S1329" s="41">
        <v>0</v>
      </c>
      <c r="T1329" s="41">
        <v>35000000</v>
      </c>
      <c r="U1329" s="41">
        <v>0</v>
      </c>
      <c r="V1329" s="41">
        <v>487095833.33333498</v>
      </c>
      <c r="W1329" s="41">
        <v>79166.666666666672</v>
      </c>
      <c r="X1329" s="38">
        <f t="shared" si="120"/>
        <v>0.97419166666667001</v>
      </c>
      <c r="Y1329" s="39">
        <f t="shared" si="121"/>
        <v>1.5833333333333335E-4</v>
      </c>
      <c r="Z1329" s="39">
        <f t="shared" si="125"/>
        <v>1.6255432736730381E-4</v>
      </c>
      <c r="AA1329" s="41">
        <f t="shared" si="122"/>
        <v>12904166.666665018</v>
      </c>
      <c r="AB1329" s="39">
        <f t="shared" si="123"/>
        <v>6.1349693251541585E-3</v>
      </c>
      <c r="AC1329" s="38">
        <f t="shared" si="124"/>
        <v>0.1819965016228014</v>
      </c>
      <c r="AD1329" s="3"/>
    </row>
    <row r="1330" spans="1:30" x14ac:dyDescent="0.25">
      <c r="A1330" s="37">
        <v>46966</v>
      </c>
      <c r="B1330" s="41">
        <v>20000000</v>
      </c>
      <c r="C1330" s="41">
        <v>0</v>
      </c>
      <c r="D1330" s="41">
        <v>50000000</v>
      </c>
      <c r="E1330" s="41">
        <v>0</v>
      </c>
      <c r="F1330" s="41">
        <v>50000000</v>
      </c>
      <c r="G1330" s="41">
        <v>0</v>
      </c>
      <c r="H1330" s="41">
        <v>50000000</v>
      </c>
      <c r="I1330" s="41">
        <v>0</v>
      </c>
      <c r="J1330" s="41">
        <v>40000000</v>
      </c>
      <c r="K1330" s="41">
        <v>0</v>
      </c>
      <c r="L1330" s="41">
        <v>10000000</v>
      </c>
      <c r="M1330" s="41">
        <v>0</v>
      </c>
      <c r="N1330" s="41">
        <v>107175000.0000017</v>
      </c>
      <c r="O1330" s="41">
        <v>79166.666666666672</v>
      </c>
      <c r="P1330" s="41">
        <v>75000000</v>
      </c>
      <c r="Q1330" s="41">
        <v>0</v>
      </c>
      <c r="R1330" s="41">
        <v>50000000</v>
      </c>
      <c r="S1330" s="41">
        <v>0</v>
      </c>
      <c r="T1330" s="41">
        <v>35000000</v>
      </c>
      <c r="U1330" s="41">
        <v>0</v>
      </c>
      <c r="V1330" s="41">
        <v>487175000.00000173</v>
      </c>
      <c r="W1330" s="41">
        <v>79166.666666666672</v>
      </c>
      <c r="X1330" s="38">
        <f t="shared" si="120"/>
        <v>0.97435000000000349</v>
      </c>
      <c r="Y1330" s="39">
        <f t="shared" si="121"/>
        <v>1.5833333333333335E-4</v>
      </c>
      <c r="Z1330" s="39">
        <f t="shared" si="125"/>
        <v>1.6252790775258066E-4</v>
      </c>
      <c r="AA1330" s="41">
        <f t="shared" si="122"/>
        <v>12824999.999998271</v>
      </c>
      <c r="AB1330" s="39">
        <f t="shared" si="123"/>
        <v>6.1728395061736718E-3</v>
      </c>
      <c r="AC1330" s="38">
        <f t="shared" si="124"/>
        <v>0.18196154546005869</v>
      </c>
      <c r="AD1330" s="3"/>
    </row>
    <row r="1331" spans="1:30" x14ac:dyDescent="0.25">
      <c r="A1331" s="37">
        <v>46967</v>
      </c>
      <c r="B1331" s="41">
        <v>20000000</v>
      </c>
      <c r="C1331" s="41">
        <v>0</v>
      </c>
      <c r="D1331" s="41">
        <v>50000000</v>
      </c>
      <c r="E1331" s="41">
        <v>0</v>
      </c>
      <c r="F1331" s="41">
        <v>50000000</v>
      </c>
      <c r="G1331" s="41">
        <v>0</v>
      </c>
      <c r="H1331" s="41">
        <v>50000000</v>
      </c>
      <c r="I1331" s="41">
        <v>0</v>
      </c>
      <c r="J1331" s="41">
        <v>40000000</v>
      </c>
      <c r="K1331" s="41">
        <v>0</v>
      </c>
      <c r="L1331" s="41">
        <v>10000000</v>
      </c>
      <c r="M1331" s="41">
        <v>0</v>
      </c>
      <c r="N1331" s="41">
        <v>107254166.6666683</v>
      </c>
      <c r="O1331" s="41">
        <v>79166.666666666672</v>
      </c>
      <c r="P1331" s="41">
        <v>75000000</v>
      </c>
      <c r="Q1331" s="41">
        <v>0</v>
      </c>
      <c r="R1331" s="41">
        <v>50000000</v>
      </c>
      <c r="S1331" s="41">
        <v>0</v>
      </c>
      <c r="T1331" s="41">
        <v>35000000</v>
      </c>
      <c r="U1331" s="41">
        <v>0</v>
      </c>
      <c r="V1331" s="41">
        <v>487254166.66666842</v>
      </c>
      <c r="W1331" s="41">
        <v>79166.666666666672</v>
      </c>
      <c r="X1331" s="38">
        <f t="shared" si="120"/>
        <v>0.97450833333333686</v>
      </c>
      <c r="Y1331" s="39">
        <f t="shared" si="121"/>
        <v>1.5833333333333335E-4</v>
      </c>
      <c r="Z1331" s="39">
        <f t="shared" si="125"/>
        <v>1.6250149672431138E-4</v>
      </c>
      <c r="AA1331" s="41">
        <f t="shared" si="122"/>
        <v>12745833.333331585</v>
      </c>
      <c r="AB1331" s="39">
        <f t="shared" si="123"/>
        <v>6.2111801242244547E-3</v>
      </c>
      <c r="AC1331" s="38">
        <f t="shared" si="124"/>
        <v>0.18192660272283404</v>
      </c>
      <c r="AD1331" s="3"/>
    </row>
    <row r="1332" spans="1:30" x14ac:dyDescent="0.25">
      <c r="A1332" s="37">
        <v>46968</v>
      </c>
      <c r="B1332" s="41">
        <v>20000000</v>
      </c>
      <c r="C1332" s="41">
        <v>0</v>
      </c>
      <c r="D1332" s="41">
        <v>50000000</v>
      </c>
      <c r="E1332" s="41">
        <v>0</v>
      </c>
      <c r="F1332" s="41">
        <v>50000000</v>
      </c>
      <c r="G1332" s="41">
        <v>0</v>
      </c>
      <c r="H1332" s="41">
        <v>50000000</v>
      </c>
      <c r="I1332" s="41">
        <v>0</v>
      </c>
      <c r="J1332" s="41">
        <v>40000000</v>
      </c>
      <c r="K1332" s="41">
        <v>0</v>
      </c>
      <c r="L1332" s="41">
        <v>10000000</v>
      </c>
      <c r="M1332" s="41">
        <v>0</v>
      </c>
      <c r="N1332" s="41">
        <v>107333333.333335</v>
      </c>
      <c r="O1332" s="41">
        <v>79166.666666666672</v>
      </c>
      <c r="P1332" s="41">
        <v>75000000</v>
      </c>
      <c r="Q1332" s="41">
        <v>0</v>
      </c>
      <c r="R1332" s="41">
        <v>50000000</v>
      </c>
      <c r="S1332" s="41">
        <v>0</v>
      </c>
      <c r="T1332" s="41">
        <v>35000000</v>
      </c>
      <c r="U1332" s="41">
        <v>0</v>
      </c>
      <c r="V1332" s="41">
        <v>487333333.33333498</v>
      </c>
      <c r="W1332" s="41">
        <v>79166.666666666672</v>
      </c>
      <c r="X1332" s="38">
        <f t="shared" si="120"/>
        <v>0.97466666666667001</v>
      </c>
      <c r="Y1332" s="39">
        <f t="shared" si="121"/>
        <v>1.5833333333333335E-4</v>
      </c>
      <c r="Z1332" s="39">
        <f t="shared" si="125"/>
        <v>1.6247509427831072E-4</v>
      </c>
      <c r="AA1332" s="41">
        <f t="shared" si="122"/>
        <v>12666666.666665018</v>
      </c>
      <c r="AB1332" s="39">
        <f t="shared" si="123"/>
        <v>6.2500000000008139E-3</v>
      </c>
      <c r="AC1332" s="38">
        <f t="shared" si="124"/>
        <v>0.18189167340339457</v>
      </c>
      <c r="AD1332" s="3"/>
    </row>
    <row r="1333" spans="1:30" x14ac:dyDescent="0.25">
      <c r="A1333" s="37">
        <v>46969</v>
      </c>
      <c r="B1333" s="41">
        <v>20000000</v>
      </c>
      <c r="C1333" s="41">
        <v>0</v>
      </c>
      <c r="D1333" s="41">
        <v>50000000</v>
      </c>
      <c r="E1333" s="41">
        <v>0</v>
      </c>
      <c r="F1333" s="41">
        <v>50000000</v>
      </c>
      <c r="G1333" s="41">
        <v>0</v>
      </c>
      <c r="H1333" s="41">
        <v>50000000</v>
      </c>
      <c r="I1333" s="41">
        <v>0</v>
      </c>
      <c r="J1333" s="41">
        <v>40000000</v>
      </c>
      <c r="K1333" s="41">
        <v>0</v>
      </c>
      <c r="L1333" s="41">
        <v>10000000</v>
      </c>
      <c r="M1333" s="41">
        <v>0</v>
      </c>
      <c r="N1333" s="41">
        <v>107412500.0000017</v>
      </c>
      <c r="O1333" s="41">
        <v>79166.666666666672</v>
      </c>
      <c r="P1333" s="41">
        <v>75000000</v>
      </c>
      <c r="Q1333" s="41">
        <v>0</v>
      </c>
      <c r="R1333" s="41">
        <v>50000000</v>
      </c>
      <c r="S1333" s="41">
        <v>0</v>
      </c>
      <c r="T1333" s="41">
        <v>35000000</v>
      </c>
      <c r="U1333" s="41">
        <v>0</v>
      </c>
      <c r="V1333" s="41">
        <v>487412500.00000173</v>
      </c>
      <c r="W1333" s="41">
        <v>79166.666666666672</v>
      </c>
      <c r="X1333" s="38">
        <f t="shared" si="120"/>
        <v>0.97482500000000349</v>
      </c>
      <c r="Y1333" s="39">
        <f t="shared" si="121"/>
        <v>1.5833333333333335E-4</v>
      </c>
      <c r="Z1333" s="39">
        <f t="shared" si="125"/>
        <v>1.6244870041039617E-4</v>
      </c>
      <c r="AA1333" s="41">
        <f t="shared" si="122"/>
        <v>12587499.999998271</v>
      </c>
      <c r="AB1333" s="39">
        <f t="shared" si="123"/>
        <v>6.2893081761014932E-3</v>
      </c>
      <c r="AC1333" s="38">
        <f t="shared" si="124"/>
        <v>0.18185675749401312</v>
      </c>
      <c r="AD1333" s="3"/>
    </row>
    <row r="1334" spans="1:30" x14ac:dyDescent="0.25">
      <c r="A1334" s="37">
        <v>46970</v>
      </c>
      <c r="B1334" s="41">
        <v>20000000</v>
      </c>
      <c r="C1334" s="41">
        <v>0</v>
      </c>
      <c r="D1334" s="41">
        <v>50000000</v>
      </c>
      <c r="E1334" s="41">
        <v>0</v>
      </c>
      <c r="F1334" s="41">
        <v>50000000</v>
      </c>
      <c r="G1334" s="41">
        <v>0</v>
      </c>
      <c r="H1334" s="41">
        <v>50000000</v>
      </c>
      <c r="I1334" s="41">
        <v>0</v>
      </c>
      <c r="J1334" s="41">
        <v>40000000</v>
      </c>
      <c r="K1334" s="41">
        <v>0</v>
      </c>
      <c r="L1334" s="41">
        <v>10000000</v>
      </c>
      <c r="M1334" s="41">
        <v>0</v>
      </c>
      <c r="N1334" s="41">
        <v>107491666.6666684</v>
      </c>
      <c r="O1334" s="41">
        <v>79166.666666666672</v>
      </c>
      <c r="P1334" s="41">
        <v>75000000</v>
      </c>
      <c r="Q1334" s="41">
        <v>0</v>
      </c>
      <c r="R1334" s="41">
        <v>50000000</v>
      </c>
      <c r="S1334" s="41">
        <v>0</v>
      </c>
      <c r="T1334" s="41">
        <v>35000000</v>
      </c>
      <c r="U1334" s="41">
        <v>0</v>
      </c>
      <c r="V1334" s="41">
        <v>487491666.66666842</v>
      </c>
      <c r="W1334" s="41">
        <v>79166.666666666672</v>
      </c>
      <c r="X1334" s="38">
        <f t="shared" si="120"/>
        <v>0.97498333333333687</v>
      </c>
      <c r="Y1334" s="39">
        <f t="shared" si="121"/>
        <v>1.5833333333333335E-4</v>
      </c>
      <c r="Z1334" s="39">
        <f t="shared" si="125"/>
        <v>1.6242231511638786E-4</v>
      </c>
      <c r="AA1334" s="41">
        <f t="shared" si="122"/>
        <v>12508333.333331585</v>
      </c>
      <c r="AB1334" s="39">
        <f t="shared" si="123"/>
        <v>6.3291139240515184E-3</v>
      </c>
      <c r="AC1334" s="38">
        <f t="shared" si="124"/>
        <v>0.18182185498696865</v>
      </c>
      <c r="AD1334" s="3"/>
    </row>
    <row r="1335" spans="1:30" x14ac:dyDescent="0.25">
      <c r="A1335" s="37">
        <v>46971</v>
      </c>
      <c r="B1335" s="41">
        <v>20000000</v>
      </c>
      <c r="C1335" s="41">
        <v>0</v>
      </c>
      <c r="D1335" s="41">
        <v>50000000</v>
      </c>
      <c r="E1335" s="41">
        <v>0</v>
      </c>
      <c r="F1335" s="41">
        <v>50000000</v>
      </c>
      <c r="G1335" s="41">
        <v>0</v>
      </c>
      <c r="H1335" s="41">
        <v>50000000</v>
      </c>
      <c r="I1335" s="41">
        <v>0</v>
      </c>
      <c r="J1335" s="41">
        <v>40000000</v>
      </c>
      <c r="K1335" s="41">
        <v>0</v>
      </c>
      <c r="L1335" s="41">
        <v>10000000</v>
      </c>
      <c r="M1335" s="41">
        <v>0</v>
      </c>
      <c r="N1335" s="41">
        <v>107570833.333335</v>
      </c>
      <c r="O1335" s="41">
        <v>79166.666666666672</v>
      </c>
      <c r="P1335" s="41">
        <v>75000000</v>
      </c>
      <c r="Q1335" s="41">
        <v>0</v>
      </c>
      <c r="R1335" s="41">
        <v>50000000</v>
      </c>
      <c r="S1335" s="41">
        <v>0</v>
      </c>
      <c r="T1335" s="41">
        <v>35000000</v>
      </c>
      <c r="U1335" s="41">
        <v>0</v>
      </c>
      <c r="V1335" s="41">
        <v>487570833.33333498</v>
      </c>
      <c r="W1335" s="41">
        <v>79166.666666666672</v>
      </c>
      <c r="X1335" s="38">
        <f t="shared" si="120"/>
        <v>0.97514166666667002</v>
      </c>
      <c r="Y1335" s="39">
        <f t="shared" si="121"/>
        <v>1.5833333333333335E-4</v>
      </c>
      <c r="Z1335" s="39">
        <f t="shared" si="125"/>
        <v>1.6239593839210869E-4</v>
      </c>
      <c r="AA1335" s="41">
        <f t="shared" si="122"/>
        <v>12429166.666665018</v>
      </c>
      <c r="AB1335" s="39">
        <f t="shared" si="123"/>
        <v>6.3694267515932018E-3</v>
      </c>
      <c r="AC1335" s="38">
        <f t="shared" si="124"/>
        <v>0.18178696587454607</v>
      </c>
      <c r="AD1335" s="3"/>
    </row>
    <row r="1336" spans="1:30" x14ac:dyDescent="0.25">
      <c r="A1336" s="37">
        <v>46972</v>
      </c>
      <c r="B1336" s="41">
        <v>20000000</v>
      </c>
      <c r="C1336" s="41">
        <v>0</v>
      </c>
      <c r="D1336" s="41">
        <v>50000000</v>
      </c>
      <c r="E1336" s="41">
        <v>0</v>
      </c>
      <c r="F1336" s="41">
        <v>50000000</v>
      </c>
      <c r="G1336" s="41">
        <v>0</v>
      </c>
      <c r="H1336" s="41">
        <v>50000000</v>
      </c>
      <c r="I1336" s="41">
        <v>0</v>
      </c>
      <c r="J1336" s="41">
        <v>40000000</v>
      </c>
      <c r="K1336" s="41">
        <v>0</v>
      </c>
      <c r="L1336" s="41">
        <v>10000000</v>
      </c>
      <c r="M1336" s="41">
        <v>0</v>
      </c>
      <c r="N1336" s="41">
        <v>107650000.0000017</v>
      </c>
      <c r="O1336" s="41">
        <v>79166.666666666672</v>
      </c>
      <c r="P1336" s="41">
        <v>75000000</v>
      </c>
      <c r="Q1336" s="41">
        <v>0</v>
      </c>
      <c r="R1336" s="41">
        <v>50000000</v>
      </c>
      <c r="S1336" s="41">
        <v>0</v>
      </c>
      <c r="T1336" s="41">
        <v>35000000</v>
      </c>
      <c r="U1336" s="41">
        <v>0</v>
      </c>
      <c r="V1336" s="41">
        <v>487650000.00000173</v>
      </c>
      <c r="W1336" s="41">
        <v>79166.666666666672</v>
      </c>
      <c r="X1336" s="38">
        <f t="shared" si="120"/>
        <v>0.9753000000000035</v>
      </c>
      <c r="Y1336" s="39">
        <f t="shared" si="121"/>
        <v>1.5833333333333335E-4</v>
      </c>
      <c r="Z1336" s="39">
        <f t="shared" si="125"/>
        <v>1.6236957023338435E-4</v>
      </c>
      <c r="AA1336" s="41">
        <f t="shared" si="122"/>
        <v>12349999.999998271</v>
      </c>
      <c r="AB1336" s="39">
        <f t="shared" si="123"/>
        <v>6.4102564102573078E-3</v>
      </c>
      <c r="AC1336" s="38">
        <f t="shared" si="124"/>
        <v>0.18175209014903596</v>
      </c>
      <c r="AD1336" s="3"/>
    </row>
    <row r="1337" spans="1:30" x14ac:dyDescent="0.25">
      <c r="A1337" s="37">
        <v>46973</v>
      </c>
      <c r="B1337" s="41">
        <v>20000000</v>
      </c>
      <c r="C1337" s="41">
        <v>0</v>
      </c>
      <c r="D1337" s="41">
        <v>50000000</v>
      </c>
      <c r="E1337" s="41">
        <v>0</v>
      </c>
      <c r="F1337" s="41">
        <v>50000000</v>
      </c>
      <c r="G1337" s="41">
        <v>0</v>
      </c>
      <c r="H1337" s="41">
        <v>50000000</v>
      </c>
      <c r="I1337" s="41">
        <v>0</v>
      </c>
      <c r="J1337" s="41">
        <v>40000000</v>
      </c>
      <c r="K1337" s="41">
        <v>0</v>
      </c>
      <c r="L1337" s="41">
        <v>10000000</v>
      </c>
      <c r="M1337" s="41">
        <v>0</v>
      </c>
      <c r="N1337" s="41">
        <v>107729166.6666684</v>
      </c>
      <c r="O1337" s="41">
        <v>79166.666666666672</v>
      </c>
      <c r="P1337" s="41">
        <v>75000000</v>
      </c>
      <c r="Q1337" s="41">
        <v>0</v>
      </c>
      <c r="R1337" s="41">
        <v>50000000</v>
      </c>
      <c r="S1337" s="41">
        <v>0</v>
      </c>
      <c r="T1337" s="41">
        <v>35000000</v>
      </c>
      <c r="U1337" s="41">
        <v>0</v>
      </c>
      <c r="V1337" s="41">
        <v>487729166.66666842</v>
      </c>
      <c r="W1337" s="41">
        <v>79166.666666666672</v>
      </c>
      <c r="X1337" s="38">
        <f t="shared" si="120"/>
        <v>0.97545833333333687</v>
      </c>
      <c r="Y1337" s="39">
        <f t="shared" si="121"/>
        <v>1.5833333333333335E-4</v>
      </c>
      <c r="Z1337" s="39">
        <f t="shared" si="125"/>
        <v>1.6234321063604305E-4</v>
      </c>
      <c r="AA1337" s="41">
        <f t="shared" si="122"/>
        <v>12270833.333331585</v>
      </c>
      <c r="AB1337" s="39">
        <f t="shared" si="123"/>
        <v>6.4516129032267258E-3</v>
      </c>
      <c r="AC1337" s="38">
        <f t="shared" si="124"/>
        <v>0.18171722780273508</v>
      </c>
      <c r="AD1337" s="3"/>
    </row>
    <row r="1338" spans="1:30" x14ac:dyDescent="0.25">
      <c r="A1338" s="37">
        <v>46974</v>
      </c>
      <c r="B1338" s="41">
        <v>20000000</v>
      </c>
      <c r="C1338" s="41">
        <v>0</v>
      </c>
      <c r="D1338" s="41">
        <v>50000000</v>
      </c>
      <c r="E1338" s="41">
        <v>0</v>
      </c>
      <c r="F1338" s="41">
        <v>50000000</v>
      </c>
      <c r="G1338" s="41">
        <v>0</v>
      </c>
      <c r="H1338" s="41">
        <v>50000000</v>
      </c>
      <c r="I1338" s="41">
        <v>0</v>
      </c>
      <c r="J1338" s="41">
        <v>40000000</v>
      </c>
      <c r="K1338" s="41">
        <v>0</v>
      </c>
      <c r="L1338" s="41">
        <v>10000000</v>
      </c>
      <c r="M1338" s="41">
        <v>0</v>
      </c>
      <c r="N1338" s="41">
        <v>107808333.333335</v>
      </c>
      <c r="O1338" s="41">
        <v>79166.666666666672</v>
      </c>
      <c r="P1338" s="41">
        <v>75000000</v>
      </c>
      <c r="Q1338" s="41">
        <v>0</v>
      </c>
      <c r="R1338" s="41">
        <v>50000000</v>
      </c>
      <c r="S1338" s="41">
        <v>0</v>
      </c>
      <c r="T1338" s="41">
        <v>35000000</v>
      </c>
      <c r="U1338" s="41">
        <v>0</v>
      </c>
      <c r="V1338" s="41">
        <v>487808333.33333498</v>
      </c>
      <c r="W1338" s="41">
        <v>79166.666666666672</v>
      </c>
      <c r="X1338" s="38">
        <f t="shared" si="120"/>
        <v>0.97561666666667002</v>
      </c>
      <c r="Y1338" s="39">
        <f t="shared" si="121"/>
        <v>1.5833333333333335E-4</v>
      </c>
      <c r="Z1338" s="39">
        <f t="shared" si="125"/>
        <v>1.6231685959591587E-4</v>
      </c>
      <c r="AA1338" s="41">
        <f t="shared" si="122"/>
        <v>12191666.666665018</v>
      </c>
      <c r="AB1338" s="39">
        <f t="shared" si="123"/>
        <v>6.4935064935073726E-3</v>
      </c>
      <c r="AC1338" s="38">
        <f t="shared" si="124"/>
        <v>0.18168237882794605</v>
      </c>
      <c r="AD1338" s="3"/>
    </row>
    <row r="1339" spans="1:30" x14ac:dyDescent="0.25">
      <c r="A1339" s="37">
        <v>46975</v>
      </c>
      <c r="B1339" s="41">
        <v>20000000</v>
      </c>
      <c r="C1339" s="41">
        <v>0</v>
      </c>
      <c r="D1339" s="41">
        <v>50000000</v>
      </c>
      <c r="E1339" s="41">
        <v>0</v>
      </c>
      <c r="F1339" s="41">
        <v>50000000</v>
      </c>
      <c r="G1339" s="41">
        <v>0</v>
      </c>
      <c r="H1339" s="41">
        <v>50000000</v>
      </c>
      <c r="I1339" s="41">
        <v>0</v>
      </c>
      <c r="J1339" s="41">
        <v>40000000</v>
      </c>
      <c r="K1339" s="41">
        <v>0</v>
      </c>
      <c r="L1339" s="41">
        <v>10000000</v>
      </c>
      <c r="M1339" s="41">
        <v>0</v>
      </c>
      <c r="N1339" s="41">
        <v>107887500.0000017</v>
      </c>
      <c r="O1339" s="41">
        <v>79166.666666666672</v>
      </c>
      <c r="P1339" s="41">
        <v>75000000</v>
      </c>
      <c r="Q1339" s="41">
        <v>0</v>
      </c>
      <c r="R1339" s="41">
        <v>50000000</v>
      </c>
      <c r="S1339" s="41">
        <v>0</v>
      </c>
      <c r="T1339" s="41">
        <v>35000000</v>
      </c>
      <c r="U1339" s="41">
        <v>0</v>
      </c>
      <c r="V1339" s="41">
        <v>487887500.00000173</v>
      </c>
      <c r="W1339" s="41">
        <v>79166.666666666672</v>
      </c>
      <c r="X1339" s="38">
        <f t="shared" si="120"/>
        <v>0.9757750000000035</v>
      </c>
      <c r="Y1339" s="39">
        <f t="shared" si="121"/>
        <v>1.5833333333333335E-4</v>
      </c>
      <c r="Z1339" s="39">
        <f t="shared" si="125"/>
        <v>1.6229051710883662E-4</v>
      </c>
      <c r="AA1339" s="41">
        <f t="shared" si="122"/>
        <v>12112499.999998271</v>
      </c>
      <c r="AB1339" s="39">
        <f t="shared" si="123"/>
        <v>6.5359477124192341E-3</v>
      </c>
      <c r="AC1339" s="38">
        <f t="shared" si="124"/>
        <v>0.18164754321697724</v>
      </c>
      <c r="AD1339" s="3"/>
    </row>
    <row r="1340" spans="1:30" x14ac:dyDescent="0.25">
      <c r="A1340" s="37">
        <v>46976</v>
      </c>
      <c r="B1340" s="41">
        <v>20000000</v>
      </c>
      <c r="C1340" s="41">
        <v>0</v>
      </c>
      <c r="D1340" s="41">
        <v>50000000</v>
      </c>
      <c r="E1340" s="41">
        <v>0</v>
      </c>
      <c r="F1340" s="41">
        <v>50000000</v>
      </c>
      <c r="G1340" s="41">
        <v>0</v>
      </c>
      <c r="H1340" s="41">
        <v>50000000</v>
      </c>
      <c r="I1340" s="41">
        <v>0</v>
      </c>
      <c r="J1340" s="41">
        <v>40000000</v>
      </c>
      <c r="K1340" s="41">
        <v>0</v>
      </c>
      <c r="L1340" s="41">
        <v>10000000</v>
      </c>
      <c r="M1340" s="41">
        <v>0</v>
      </c>
      <c r="N1340" s="41">
        <v>107966666.6666684</v>
      </c>
      <c r="O1340" s="41">
        <v>79166.666666666672</v>
      </c>
      <c r="P1340" s="41">
        <v>75000000</v>
      </c>
      <c r="Q1340" s="41">
        <v>0</v>
      </c>
      <c r="R1340" s="41">
        <v>50000000</v>
      </c>
      <c r="S1340" s="41">
        <v>0</v>
      </c>
      <c r="T1340" s="41">
        <v>35000000</v>
      </c>
      <c r="U1340" s="41">
        <v>0</v>
      </c>
      <c r="V1340" s="41">
        <v>487966666.66666842</v>
      </c>
      <c r="W1340" s="41">
        <v>79166.666666666672</v>
      </c>
      <c r="X1340" s="38">
        <f t="shared" si="120"/>
        <v>0.97593333333333687</v>
      </c>
      <c r="Y1340" s="39">
        <f t="shared" si="121"/>
        <v>1.5833333333333335E-4</v>
      </c>
      <c r="Z1340" s="39">
        <f t="shared" si="125"/>
        <v>1.6226418317064157E-4</v>
      </c>
      <c r="AA1340" s="41">
        <f t="shared" si="122"/>
        <v>12033333.333331585</v>
      </c>
      <c r="AB1340" s="39">
        <f t="shared" si="123"/>
        <v>6.578947368422009E-3</v>
      </c>
      <c r="AC1340" s="38">
        <f t="shared" si="124"/>
        <v>0.18161272096214306</v>
      </c>
      <c r="AD1340" s="3"/>
    </row>
    <row r="1341" spans="1:30" x14ac:dyDescent="0.25">
      <c r="A1341" s="37">
        <v>46977</v>
      </c>
      <c r="B1341" s="41">
        <v>20000000</v>
      </c>
      <c r="C1341" s="41">
        <v>0</v>
      </c>
      <c r="D1341" s="41">
        <v>50000000</v>
      </c>
      <c r="E1341" s="41">
        <v>0</v>
      </c>
      <c r="F1341" s="41">
        <v>50000000</v>
      </c>
      <c r="G1341" s="41">
        <v>0</v>
      </c>
      <c r="H1341" s="41">
        <v>50000000</v>
      </c>
      <c r="I1341" s="41">
        <v>0</v>
      </c>
      <c r="J1341" s="41">
        <v>40000000</v>
      </c>
      <c r="K1341" s="41">
        <v>0</v>
      </c>
      <c r="L1341" s="41">
        <v>10000000</v>
      </c>
      <c r="M1341" s="41">
        <v>0</v>
      </c>
      <c r="N1341" s="41">
        <v>108045833.3333351</v>
      </c>
      <c r="O1341" s="41">
        <v>79166.666666666672</v>
      </c>
      <c r="P1341" s="41">
        <v>75000000</v>
      </c>
      <c r="Q1341" s="41">
        <v>0</v>
      </c>
      <c r="R1341" s="41">
        <v>50000000</v>
      </c>
      <c r="S1341" s="41">
        <v>0</v>
      </c>
      <c r="T1341" s="41">
        <v>35000000</v>
      </c>
      <c r="U1341" s="41">
        <v>0</v>
      </c>
      <c r="V1341" s="41">
        <v>488045833.33333498</v>
      </c>
      <c r="W1341" s="41">
        <v>79166.666666666672</v>
      </c>
      <c r="X1341" s="38">
        <f t="shared" si="120"/>
        <v>0.97609166666666991</v>
      </c>
      <c r="Y1341" s="39">
        <f t="shared" si="121"/>
        <v>1.5833333333333335E-4</v>
      </c>
      <c r="Z1341" s="39">
        <f t="shared" si="125"/>
        <v>1.6223785777717001E-4</v>
      </c>
      <c r="AA1341" s="41">
        <f t="shared" si="122"/>
        <v>11954166.666665018</v>
      </c>
      <c r="AB1341" s="39">
        <f t="shared" si="123"/>
        <v>6.6225165562923049E-3</v>
      </c>
      <c r="AC1341" s="38">
        <f t="shared" si="124"/>
        <v>0.18157791205576387</v>
      </c>
      <c r="AD1341" s="3"/>
    </row>
    <row r="1342" spans="1:30" x14ac:dyDescent="0.25">
      <c r="A1342" s="37">
        <v>46978</v>
      </c>
      <c r="B1342" s="41">
        <v>20000000</v>
      </c>
      <c r="C1342" s="41">
        <v>0</v>
      </c>
      <c r="D1342" s="41">
        <v>50000000</v>
      </c>
      <c r="E1342" s="41">
        <v>0</v>
      </c>
      <c r="F1342" s="41">
        <v>50000000</v>
      </c>
      <c r="G1342" s="41">
        <v>0</v>
      </c>
      <c r="H1342" s="41">
        <v>50000000</v>
      </c>
      <c r="I1342" s="41">
        <v>0</v>
      </c>
      <c r="J1342" s="41">
        <v>40000000</v>
      </c>
      <c r="K1342" s="41">
        <v>0</v>
      </c>
      <c r="L1342" s="41">
        <v>10000000</v>
      </c>
      <c r="M1342" s="41">
        <v>0</v>
      </c>
      <c r="N1342" s="41">
        <v>108125000.0000017</v>
      </c>
      <c r="O1342" s="41">
        <v>79166.666666666672</v>
      </c>
      <c r="P1342" s="41">
        <v>75000000</v>
      </c>
      <c r="Q1342" s="41">
        <v>0</v>
      </c>
      <c r="R1342" s="41">
        <v>50000000</v>
      </c>
      <c r="S1342" s="41">
        <v>0</v>
      </c>
      <c r="T1342" s="41">
        <v>35000000</v>
      </c>
      <c r="U1342" s="41">
        <v>0</v>
      </c>
      <c r="V1342" s="41">
        <v>488125000.00000173</v>
      </c>
      <c r="W1342" s="41">
        <v>79166.666666666672</v>
      </c>
      <c r="X1342" s="38">
        <f t="shared" si="120"/>
        <v>0.9762500000000035</v>
      </c>
      <c r="Y1342" s="39">
        <f t="shared" si="121"/>
        <v>1.5833333333333335E-4</v>
      </c>
      <c r="Z1342" s="39">
        <f t="shared" si="125"/>
        <v>1.6221154092426374E-4</v>
      </c>
      <c r="AA1342" s="41">
        <f t="shared" si="122"/>
        <v>11874999.999998271</v>
      </c>
      <c r="AB1342" s="39">
        <f t="shared" si="123"/>
        <v>6.6666666666676377E-3</v>
      </c>
      <c r="AC1342" s="38">
        <f t="shared" si="124"/>
        <v>0.18154311649016566</v>
      </c>
      <c r="AD1342" s="3"/>
    </row>
    <row r="1343" spans="1:30" x14ac:dyDescent="0.25">
      <c r="A1343" s="37">
        <v>46979</v>
      </c>
      <c r="B1343" s="41">
        <v>20000000</v>
      </c>
      <c r="C1343" s="41">
        <v>0</v>
      </c>
      <c r="D1343" s="41">
        <v>50000000</v>
      </c>
      <c r="E1343" s="41">
        <v>0</v>
      </c>
      <c r="F1343" s="41">
        <v>50000000</v>
      </c>
      <c r="G1343" s="41">
        <v>0</v>
      </c>
      <c r="H1343" s="41">
        <v>50000000</v>
      </c>
      <c r="I1343" s="41">
        <v>0</v>
      </c>
      <c r="J1343" s="41">
        <v>40000000</v>
      </c>
      <c r="K1343" s="41">
        <v>0</v>
      </c>
      <c r="L1343" s="41">
        <v>10000000</v>
      </c>
      <c r="M1343" s="41">
        <v>0</v>
      </c>
      <c r="N1343" s="41">
        <v>108204166.6666684</v>
      </c>
      <c r="O1343" s="41">
        <v>79166.666666666672</v>
      </c>
      <c r="P1343" s="41">
        <v>75000000</v>
      </c>
      <c r="Q1343" s="41">
        <v>0</v>
      </c>
      <c r="R1343" s="41">
        <v>50000000</v>
      </c>
      <c r="S1343" s="41">
        <v>0</v>
      </c>
      <c r="T1343" s="41">
        <v>35000000</v>
      </c>
      <c r="U1343" s="41">
        <v>0</v>
      </c>
      <c r="V1343" s="41">
        <v>488204166.66666842</v>
      </c>
      <c r="W1343" s="41">
        <v>79166.666666666672</v>
      </c>
      <c r="X1343" s="38">
        <f t="shared" si="120"/>
        <v>0.97640833333333688</v>
      </c>
      <c r="Y1343" s="39">
        <f t="shared" si="121"/>
        <v>1.5833333333333335E-4</v>
      </c>
      <c r="Z1343" s="39">
        <f t="shared" si="125"/>
        <v>1.6218523260776724E-4</v>
      </c>
      <c r="AA1343" s="41">
        <f t="shared" si="122"/>
        <v>11795833.333331585</v>
      </c>
      <c r="AB1343" s="39">
        <f t="shared" si="123"/>
        <v>6.7114093959741499E-3</v>
      </c>
      <c r="AC1343" s="38">
        <f t="shared" si="124"/>
        <v>0.18150833425768056</v>
      </c>
      <c r="AD1343" s="3"/>
    </row>
    <row r="1344" spans="1:30" x14ac:dyDescent="0.25">
      <c r="A1344" s="37">
        <v>46980</v>
      </c>
      <c r="B1344" s="41">
        <v>20000000</v>
      </c>
      <c r="C1344" s="41">
        <v>0</v>
      </c>
      <c r="D1344" s="41">
        <v>50000000</v>
      </c>
      <c r="E1344" s="41">
        <v>0</v>
      </c>
      <c r="F1344" s="41">
        <v>50000000</v>
      </c>
      <c r="G1344" s="41">
        <v>0</v>
      </c>
      <c r="H1344" s="41">
        <v>50000000</v>
      </c>
      <c r="I1344" s="41">
        <v>0</v>
      </c>
      <c r="J1344" s="41">
        <v>40000000</v>
      </c>
      <c r="K1344" s="41">
        <v>0</v>
      </c>
      <c r="L1344" s="41">
        <v>10000000</v>
      </c>
      <c r="M1344" s="41">
        <v>0</v>
      </c>
      <c r="N1344" s="41">
        <v>108283333.3333351</v>
      </c>
      <c r="O1344" s="41">
        <v>79166.666666666672</v>
      </c>
      <c r="P1344" s="41">
        <v>75000000</v>
      </c>
      <c r="Q1344" s="41">
        <v>0</v>
      </c>
      <c r="R1344" s="41">
        <v>50000000</v>
      </c>
      <c r="S1344" s="41">
        <v>0</v>
      </c>
      <c r="T1344" s="41">
        <v>35000000</v>
      </c>
      <c r="U1344" s="41">
        <v>0</v>
      </c>
      <c r="V1344" s="41">
        <v>488283333.33333498</v>
      </c>
      <c r="W1344" s="41">
        <v>79166.666666666672</v>
      </c>
      <c r="X1344" s="38">
        <f t="shared" si="120"/>
        <v>0.97656666666666991</v>
      </c>
      <c r="Y1344" s="39">
        <f t="shared" si="121"/>
        <v>1.5833333333333335E-4</v>
      </c>
      <c r="Z1344" s="39">
        <f t="shared" si="125"/>
        <v>1.6215893282352784E-4</v>
      </c>
      <c r="AA1344" s="41">
        <f t="shared" si="122"/>
        <v>11716666.666665018</v>
      </c>
      <c r="AB1344" s="39">
        <f t="shared" si="123"/>
        <v>6.7567567567577078E-3</v>
      </c>
      <c r="AC1344" s="38">
        <f t="shared" si="124"/>
        <v>0.18147356535064654</v>
      </c>
      <c r="AD1344" s="3"/>
    </row>
    <row r="1345" spans="1:30" x14ac:dyDescent="0.25">
      <c r="A1345" s="37">
        <v>46981</v>
      </c>
      <c r="B1345" s="41">
        <v>20000000</v>
      </c>
      <c r="C1345" s="41">
        <v>0</v>
      </c>
      <c r="D1345" s="41">
        <v>50000000</v>
      </c>
      <c r="E1345" s="41">
        <v>0</v>
      </c>
      <c r="F1345" s="41">
        <v>50000000</v>
      </c>
      <c r="G1345" s="41">
        <v>0</v>
      </c>
      <c r="H1345" s="41">
        <v>50000000</v>
      </c>
      <c r="I1345" s="41">
        <v>0</v>
      </c>
      <c r="J1345" s="41">
        <v>40000000</v>
      </c>
      <c r="K1345" s="41">
        <v>0</v>
      </c>
      <c r="L1345" s="41">
        <v>10000000</v>
      </c>
      <c r="M1345" s="41">
        <v>0</v>
      </c>
      <c r="N1345" s="41">
        <v>108362500.0000017</v>
      </c>
      <c r="O1345" s="41">
        <v>79166.666666666672</v>
      </c>
      <c r="P1345" s="41">
        <v>75000000</v>
      </c>
      <c r="Q1345" s="41">
        <v>0</v>
      </c>
      <c r="R1345" s="41">
        <v>50000000</v>
      </c>
      <c r="S1345" s="41">
        <v>0</v>
      </c>
      <c r="T1345" s="41">
        <v>35000000</v>
      </c>
      <c r="U1345" s="41">
        <v>0</v>
      </c>
      <c r="V1345" s="41">
        <v>488362500.00000173</v>
      </c>
      <c r="W1345" s="41">
        <v>79166.666666666672</v>
      </c>
      <c r="X1345" s="38">
        <f t="shared" si="120"/>
        <v>0.97672500000000351</v>
      </c>
      <c r="Y1345" s="39">
        <f t="shared" si="121"/>
        <v>1.5833333333333335E-4</v>
      </c>
      <c r="Z1345" s="39">
        <f t="shared" si="125"/>
        <v>1.6213264156739545E-4</v>
      </c>
      <c r="AA1345" s="41">
        <f t="shared" si="122"/>
        <v>11637499.999998271</v>
      </c>
      <c r="AB1345" s="39">
        <f t="shared" si="123"/>
        <v>6.8027210884363852E-3</v>
      </c>
      <c r="AC1345" s="38">
        <f t="shared" si="124"/>
        <v>0.18143880976140719</v>
      </c>
      <c r="AD1345" s="3"/>
    </row>
    <row r="1346" spans="1:30" x14ac:dyDescent="0.25">
      <c r="A1346" s="37">
        <v>46982</v>
      </c>
      <c r="B1346" s="41">
        <v>20000000</v>
      </c>
      <c r="C1346" s="41">
        <v>0</v>
      </c>
      <c r="D1346" s="41">
        <v>50000000</v>
      </c>
      <c r="E1346" s="41">
        <v>0</v>
      </c>
      <c r="F1346" s="41">
        <v>50000000</v>
      </c>
      <c r="G1346" s="41">
        <v>0</v>
      </c>
      <c r="H1346" s="41">
        <v>50000000</v>
      </c>
      <c r="I1346" s="41">
        <v>0</v>
      </c>
      <c r="J1346" s="41">
        <v>40000000</v>
      </c>
      <c r="K1346" s="41">
        <v>0</v>
      </c>
      <c r="L1346" s="41">
        <v>10000000</v>
      </c>
      <c r="M1346" s="41">
        <v>0</v>
      </c>
      <c r="N1346" s="41">
        <v>108441666.6666684</v>
      </c>
      <c r="O1346" s="41">
        <v>79166.666666666672</v>
      </c>
      <c r="P1346" s="41">
        <v>75000000</v>
      </c>
      <c r="Q1346" s="41">
        <v>0</v>
      </c>
      <c r="R1346" s="41">
        <v>50000000</v>
      </c>
      <c r="S1346" s="41">
        <v>0</v>
      </c>
      <c r="T1346" s="41">
        <v>35000000</v>
      </c>
      <c r="U1346" s="41">
        <v>0</v>
      </c>
      <c r="V1346" s="41">
        <v>488441666.66666842</v>
      </c>
      <c r="W1346" s="41">
        <v>79166.666666666672</v>
      </c>
      <c r="X1346" s="38">
        <f t="shared" si="120"/>
        <v>0.97688333333333688</v>
      </c>
      <c r="Y1346" s="39">
        <f t="shared" si="121"/>
        <v>1.5833333333333335E-4</v>
      </c>
      <c r="Z1346" s="39">
        <f t="shared" si="125"/>
        <v>1.621063588352226E-4</v>
      </c>
      <c r="AA1346" s="41">
        <f t="shared" si="122"/>
        <v>11558333.333331585</v>
      </c>
      <c r="AB1346" s="39">
        <f t="shared" si="123"/>
        <v>6.8493150684941868E-3</v>
      </c>
      <c r="AC1346" s="38">
        <f t="shared" si="124"/>
        <v>0.18140406748231233</v>
      </c>
      <c r="AD1346" s="3"/>
    </row>
    <row r="1347" spans="1:30" x14ac:dyDescent="0.25">
      <c r="A1347" s="37">
        <v>46983</v>
      </c>
      <c r="B1347" s="41">
        <v>20000000</v>
      </c>
      <c r="C1347" s="41">
        <v>0</v>
      </c>
      <c r="D1347" s="41">
        <v>50000000</v>
      </c>
      <c r="E1347" s="41">
        <v>0</v>
      </c>
      <c r="F1347" s="41">
        <v>50000000</v>
      </c>
      <c r="G1347" s="41">
        <v>0</v>
      </c>
      <c r="H1347" s="41">
        <v>50000000</v>
      </c>
      <c r="I1347" s="41">
        <v>0</v>
      </c>
      <c r="J1347" s="41">
        <v>40000000</v>
      </c>
      <c r="K1347" s="41">
        <v>0</v>
      </c>
      <c r="L1347" s="41">
        <v>10000000</v>
      </c>
      <c r="M1347" s="41">
        <v>0</v>
      </c>
      <c r="N1347" s="41">
        <v>108520833.3333351</v>
      </c>
      <c r="O1347" s="41">
        <v>79166.666666666672</v>
      </c>
      <c r="P1347" s="41">
        <v>75000000</v>
      </c>
      <c r="Q1347" s="41">
        <v>0</v>
      </c>
      <c r="R1347" s="41">
        <v>50000000</v>
      </c>
      <c r="S1347" s="41">
        <v>0</v>
      </c>
      <c r="T1347" s="41">
        <v>35000000</v>
      </c>
      <c r="U1347" s="41">
        <v>0</v>
      </c>
      <c r="V1347" s="41">
        <v>488520833.3333351</v>
      </c>
      <c r="W1347" s="41">
        <v>79166.666666666672</v>
      </c>
      <c r="X1347" s="38">
        <f t="shared" si="120"/>
        <v>0.97704166666667025</v>
      </c>
      <c r="Y1347" s="39">
        <f t="shared" si="121"/>
        <v>1.5833333333333335E-4</v>
      </c>
      <c r="Z1347" s="39">
        <f t="shared" si="125"/>
        <v>1.6208008462286467E-4</v>
      </c>
      <c r="AA1347" s="41">
        <f t="shared" si="122"/>
        <v>11479166.666664898</v>
      </c>
      <c r="AB1347" s="39">
        <f t="shared" si="123"/>
        <v>6.8965517241389935E-3</v>
      </c>
      <c r="AC1347" s="38">
        <f t="shared" si="124"/>
        <v>0.1813693385057174</v>
      </c>
      <c r="AD1347" s="3"/>
    </row>
    <row r="1348" spans="1:30" x14ac:dyDescent="0.25">
      <c r="A1348" s="37">
        <v>46984</v>
      </c>
      <c r="B1348" s="41">
        <v>20000000</v>
      </c>
      <c r="C1348" s="41">
        <v>0</v>
      </c>
      <c r="D1348" s="41">
        <v>50000000</v>
      </c>
      <c r="E1348" s="41">
        <v>0</v>
      </c>
      <c r="F1348" s="41">
        <v>50000000</v>
      </c>
      <c r="G1348" s="41">
        <v>0</v>
      </c>
      <c r="H1348" s="41">
        <v>50000000</v>
      </c>
      <c r="I1348" s="41">
        <v>0</v>
      </c>
      <c r="J1348" s="41">
        <v>40000000</v>
      </c>
      <c r="K1348" s="41">
        <v>0</v>
      </c>
      <c r="L1348" s="41">
        <v>10000000</v>
      </c>
      <c r="M1348" s="41">
        <v>0</v>
      </c>
      <c r="N1348" s="41">
        <v>108600000.0000018</v>
      </c>
      <c r="O1348" s="41">
        <v>79166.666666666672</v>
      </c>
      <c r="P1348" s="41">
        <v>75000000</v>
      </c>
      <c r="Q1348" s="41">
        <v>0</v>
      </c>
      <c r="R1348" s="41">
        <v>50000000</v>
      </c>
      <c r="S1348" s="41">
        <v>0</v>
      </c>
      <c r="T1348" s="41">
        <v>35000000</v>
      </c>
      <c r="U1348" s="41">
        <v>0</v>
      </c>
      <c r="V1348" s="41">
        <v>488600000.00000179</v>
      </c>
      <c r="W1348" s="41">
        <v>79166.666666666672</v>
      </c>
      <c r="X1348" s="38">
        <f t="shared" si="120"/>
        <v>0.97720000000000362</v>
      </c>
      <c r="Y1348" s="39">
        <f t="shared" si="121"/>
        <v>1.5833333333333335E-4</v>
      </c>
      <c r="Z1348" s="39">
        <f t="shared" si="125"/>
        <v>1.6205381892617964E-4</v>
      </c>
      <c r="AA1348" s="41">
        <f t="shared" si="122"/>
        <v>11399999.999998212</v>
      </c>
      <c r="AB1348" s="39">
        <f t="shared" si="123"/>
        <v>6.9444444444455343E-3</v>
      </c>
      <c r="AC1348" s="38">
        <f t="shared" si="124"/>
        <v>0.18133462282398374</v>
      </c>
      <c r="AD1348" s="3"/>
    </row>
    <row r="1349" spans="1:30" x14ac:dyDescent="0.25">
      <c r="A1349" s="37">
        <v>46985</v>
      </c>
      <c r="B1349" s="41">
        <v>20000000</v>
      </c>
      <c r="C1349" s="41">
        <v>0</v>
      </c>
      <c r="D1349" s="41">
        <v>50000000</v>
      </c>
      <c r="E1349" s="41">
        <v>0</v>
      </c>
      <c r="F1349" s="41">
        <v>50000000</v>
      </c>
      <c r="G1349" s="41">
        <v>0</v>
      </c>
      <c r="H1349" s="41">
        <v>50000000</v>
      </c>
      <c r="I1349" s="41">
        <v>0</v>
      </c>
      <c r="J1349" s="41">
        <v>40000000</v>
      </c>
      <c r="K1349" s="41">
        <v>0</v>
      </c>
      <c r="L1349" s="41">
        <v>10000000</v>
      </c>
      <c r="M1349" s="41">
        <v>0</v>
      </c>
      <c r="N1349" s="41">
        <v>108679166.6666684</v>
      </c>
      <c r="O1349" s="41">
        <v>79166.666666666672</v>
      </c>
      <c r="P1349" s="41">
        <v>75000000</v>
      </c>
      <c r="Q1349" s="41">
        <v>0</v>
      </c>
      <c r="R1349" s="41">
        <v>50000000</v>
      </c>
      <c r="S1349" s="41">
        <v>0</v>
      </c>
      <c r="T1349" s="41">
        <v>35000000</v>
      </c>
      <c r="U1349" s="41">
        <v>0</v>
      </c>
      <c r="V1349" s="41">
        <v>488679166.66666842</v>
      </c>
      <c r="W1349" s="41">
        <v>79166.666666666672</v>
      </c>
      <c r="X1349" s="38">
        <f t="shared" si="120"/>
        <v>0.97735833333333688</v>
      </c>
      <c r="Y1349" s="39">
        <f t="shared" si="121"/>
        <v>1.5833333333333335E-4</v>
      </c>
      <c r="Z1349" s="39">
        <f t="shared" si="125"/>
        <v>1.620275617410282E-4</v>
      </c>
      <c r="AA1349" s="41">
        <f t="shared" si="122"/>
        <v>11320833.333331585</v>
      </c>
      <c r="AB1349" s="39">
        <f t="shared" si="123"/>
        <v>6.9930069930080737E-3</v>
      </c>
      <c r="AC1349" s="38">
        <f t="shared" si="124"/>
        <v>0.18129992042947859</v>
      </c>
      <c r="AD1349" s="3"/>
    </row>
    <row r="1350" spans="1:30" x14ac:dyDescent="0.25">
      <c r="A1350" s="37">
        <v>46986</v>
      </c>
      <c r="B1350" s="41">
        <v>20000000</v>
      </c>
      <c r="C1350" s="41">
        <v>0</v>
      </c>
      <c r="D1350" s="41">
        <v>50000000</v>
      </c>
      <c r="E1350" s="41">
        <v>0</v>
      </c>
      <c r="F1350" s="41">
        <v>50000000</v>
      </c>
      <c r="G1350" s="41">
        <v>0</v>
      </c>
      <c r="H1350" s="41">
        <v>50000000</v>
      </c>
      <c r="I1350" s="41">
        <v>0</v>
      </c>
      <c r="J1350" s="41">
        <v>40000000</v>
      </c>
      <c r="K1350" s="41">
        <v>0</v>
      </c>
      <c r="L1350" s="41">
        <v>10000000</v>
      </c>
      <c r="M1350" s="41">
        <v>0</v>
      </c>
      <c r="N1350" s="41">
        <v>108758333.3333351</v>
      </c>
      <c r="O1350" s="41">
        <v>79166.666666666672</v>
      </c>
      <c r="P1350" s="41">
        <v>75000000</v>
      </c>
      <c r="Q1350" s="41">
        <v>0</v>
      </c>
      <c r="R1350" s="41">
        <v>50000000</v>
      </c>
      <c r="S1350" s="41">
        <v>0</v>
      </c>
      <c r="T1350" s="41">
        <v>35000000</v>
      </c>
      <c r="U1350" s="41">
        <v>0</v>
      </c>
      <c r="V1350" s="41">
        <v>488758333.3333351</v>
      </c>
      <c r="W1350" s="41">
        <v>79166.666666666672</v>
      </c>
      <c r="X1350" s="38">
        <f t="shared" si="120"/>
        <v>0.97751666666667025</v>
      </c>
      <c r="Y1350" s="39">
        <f t="shared" si="121"/>
        <v>1.5833333333333335E-4</v>
      </c>
      <c r="Z1350" s="39">
        <f t="shared" si="125"/>
        <v>1.6200131306327373E-4</v>
      </c>
      <c r="AA1350" s="41">
        <f t="shared" si="122"/>
        <v>11241666.666664898</v>
      </c>
      <c r="AB1350" s="39">
        <f t="shared" si="123"/>
        <v>7.0422535211278683E-3</v>
      </c>
      <c r="AC1350" s="38">
        <f t="shared" si="124"/>
        <v>0.18126523131457498</v>
      </c>
      <c r="AD1350" s="3"/>
    </row>
    <row r="1351" spans="1:30" x14ac:dyDescent="0.25">
      <c r="A1351" s="37">
        <v>46987</v>
      </c>
      <c r="B1351" s="41">
        <v>20000000</v>
      </c>
      <c r="C1351" s="41">
        <v>0</v>
      </c>
      <c r="D1351" s="41">
        <v>50000000</v>
      </c>
      <c r="E1351" s="41">
        <v>0</v>
      </c>
      <c r="F1351" s="41">
        <v>50000000</v>
      </c>
      <c r="G1351" s="41">
        <v>0</v>
      </c>
      <c r="H1351" s="41">
        <v>50000000</v>
      </c>
      <c r="I1351" s="41">
        <v>0</v>
      </c>
      <c r="J1351" s="41">
        <v>40000000</v>
      </c>
      <c r="K1351" s="41">
        <v>0</v>
      </c>
      <c r="L1351" s="41">
        <v>10000000</v>
      </c>
      <c r="M1351" s="41">
        <v>0</v>
      </c>
      <c r="N1351" s="41">
        <v>108837500.0000018</v>
      </c>
      <c r="O1351" s="41">
        <v>79166.666666666672</v>
      </c>
      <c r="P1351" s="41">
        <v>75000000</v>
      </c>
      <c r="Q1351" s="41">
        <v>0</v>
      </c>
      <c r="R1351" s="41">
        <v>50000000</v>
      </c>
      <c r="S1351" s="41">
        <v>0</v>
      </c>
      <c r="T1351" s="41">
        <v>35000000</v>
      </c>
      <c r="U1351" s="41">
        <v>0</v>
      </c>
      <c r="V1351" s="41">
        <v>488837500.00000179</v>
      </c>
      <c r="W1351" s="41">
        <v>79166.666666666672</v>
      </c>
      <c r="X1351" s="38">
        <f t="shared" si="120"/>
        <v>0.97767500000000362</v>
      </c>
      <c r="Y1351" s="39">
        <f t="shared" si="121"/>
        <v>1.5833333333333335E-4</v>
      </c>
      <c r="Z1351" s="39">
        <f t="shared" si="125"/>
        <v>1.6197507288878222E-4</v>
      </c>
      <c r="AA1351" s="41">
        <f t="shared" si="122"/>
        <v>11162499.999998212</v>
      </c>
      <c r="AB1351" s="39">
        <f t="shared" si="123"/>
        <v>7.0921985815614206E-3</v>
      </c>
      <c r="AC1351" s="38">
        <f t="shared" si="124"/>
        <v>0.18123055547165173</v>
      </c>
      <c r="AD1351" s="3"/>
    </row>
    <row r="1352" spans="1:30" x14ac:dyDescent="0.25">
      <c r="A1352" s="37">
        <v>46988</v>
      </c>
      <c r="B1352" s="41">
        <v>20000000</v>
      </c>
      <c r="C1352" s="41">
        <v>0</v>
      </c>
      <c r="D1352" s="41">
        <v>50000000</v>
      </c>
      <c r="E1352" s="41">
        <v>0</v>
      </c>
      <c r="F1352" s="41">
        <v>50000000</v>
      </c>
      <c r="G1352" s="41">
        <v>0</v>
      </c>
      <c r="H1352" s="41">
        <v>50000000</v>
      </c>
      <c r="I1352" s="41">
        <v>0</v>
      </c>
      <c r="J1352" s="41">
        <v>40000000</v>
      </c>
      <c r="K1352" s="41">
        <v>0</v>
      </c>
      <c r="L1352" s="41">
        <v>10000000</v>
      </c>
      <c r="M1352" s="41">
        <v>0</v>
      </c>
      <c r="N1352" s="41">
        <v>108916666.6666684</v>
      </c>
      <c r="O1352" s="41">
        <v>79166.666666666672</v>
      </c>
      <c r="P1352" s="41">
        <v>75000000</v>
      </c>
      <c r="Q1352" s="41">
        <v>0</v>
      </c>
      <c r="R1352" s="41">
        <v>50000000</v>
      </c>
      <c r="S1352" s="41">
        <v>0</v>
      </c>
      <c r="T1352" s="41">
        <v>35000000</v>
      </c>
      <c r="U1352" s="41">
        <v>0</v>
      </c>
      <c r="V1352" s="41">
        <v>488916666.66666842</v>
      </c>
      <c r="W1352" s="41">
        <v>79166.666666666672</v>
      </c>
      <c r="X1352" s="38">
        <f t="shared" si="120"/>
        <v>0.97783333333333688</v>
      </c>
      <c r="Y1352" s="39">
        <f t="shared" si="121"/>
        <v>1.5833333333333335E-4</v>
      </c>
      <c r="Z1352" s="39">
        <f t="shared" si="125"/>
        <v>1.6194884121342241E-4</v>
      </c>
      <c r="AA1352" s="41">
        <f t="shared" si="122"/>
        <v>11083333.333331585</v>
      </c>
      <c r="AB1352" s="39">
        <f t="shared" si="123"/>
        <v>7.1428571428582702E-3</v>
      </c>
      <c r="AC1352" s="38">
        <f t="shared" si="124"/>
        <v>0.18119589289309365</v>
      </c>
      <c r="AD1352" s="3"/>
    </row>
    <row r="1353" spans="1:30" x14ac:dyDescent="0.25">
      <c r="A1353" s="37">
        <v>46989</v>
      </c>
      <c r="B1353" s="41">
        <v>20000000</v>
      </c>
      <c r="C1353" s="41">
        <v>0</v>
      </c>
      <c r="D1353" s="41">
        <v>50000000</v>
      </c>
      <c r="E1353" s="41">
        <v>0</v>
      </c>
      <c r="F1353" s="41">
        <v>50000000</v>
      </c>
      <c r="G1353" s="41">
        <v>0</v>
      </c>
      <c r="H1353" s="41">
        <v>50000000</v>
      </c>
      <c r="I1353" s="41">
        <v>0</v>
      </c>
      <c r="J1353" s="41">
        <v>40000000</v>
      </c>
      <c r="K1353" s="41">
        <v>0</v>
      </c>
      <c r="L1353" s="41">
        <v>10000000</v>
      </c>
      <c r="M1353" s="41">
        <v>0</v>
      </c>
      <c r="N1353" s="41">
        <v>108995833.3333351</v>
      </c>
      <c r="O1353" s="41">
        <v>79166.666666666672</v>
      </c>
      <c r="P1353" s="41">
        <v>75000000</v>
      </c>
      <c r="Q1353" s="41">
        <v>0</v>
      </c>
      <c r="R1353" s="41">
        <v>50000000</v>
      </c>
      <c r="S1353" s="41">
        <v>0</v>
      </c>
      <c r="T1353" s="41">
        <v>35000000</v>
      </c>
      <c r="U1353" s="41">
        <v>0</v>
      </c>
      <c r="V1353" s="41">
        <v>488995833.3333351</v>
      </c>
      <c r="W1353" s="41">
        <v>79166.666666666672</v>
      </c>
      <c r="X1353" s="38">
        <f t="shared" si="120"/>
        <v>0.97799166666667026</v>
      </c>
      <c r="Y1353" s="39">
        <f t="shared" si="121"/>
        <v>1.5833333333333335E-4</v>
      </c>
      <c r="Z1353" s="39">
        <f t="shared" si="125"/>
        <v>1.6192261803306572E-4</v>
      </c>
      <c r="AA1353" s="41">
        <f t="shared" si="122"/>
        <v>11004166.666664898</v>
      </c>
      <c r="AB1353" s="39">
        <f t="shared" si="123"/>
        <v>7.1942446043177033E-3</v>
      </c>
      <c r="AC1353" s="38">
        <f t="shared" si="124"/>
        <v>0.18116124357129121</v>
      </c>
      <c r="AD1353" s="3"/>
    </row>
    <row r="1354" spans="1:30" x14ac:dyDescent="0.25">
      <c r="A1354" s="37">
        <v>46990</v>
      </c>
      <c r="B1354" s="41">
        <v>20000000</v>
      </c>
      <c r="C1354" s="41">
        <v>0</v>
      </c>
      <c r="D1354" s="41">
        <v>50000000</v>
      </c>
      <c r="E1354" s="41">
        <v>0</v>
      </c>
      <c r="F1354" s="41">
        <v>50000000</v>
      </c>
      <c r="G1354" s="41">
        <v>0</v>
      </c>
      <c r="H1354" s="41">
        <v>50000000</v>
      </c>
      <c r="I1354" s="41">
        <v>0</v>
      </c>
      <c r="J1354" s="41">
        <v>40000000</v>
      </c>
      <c r="K1354" s="41">
        <v>0</v>
      </c>
      <c r="L1354" s="41">
        <v>10000000</v>
      </c>
      <c r="M1354" s="41">
        <v>0</v>
      </c>
      <c r="N1354" s="41">
        <v>109075000.0000018</v>
      </c>
      <c r="O1354" s="41">
        <v>79166.666666666672</v>
      </c>
      <c r="P1354" s="41">
        <v>75000000</v>
      </c>
      <c r="Q1354" s="41">
        <v>0</v>
      </c>
      <c r="R1354" s="41">
        <v>50000000</v>
      </c>
      <c r="S1354" s="41">
        <v>0</v>
      </c>
      <c r="T1354" s="41">
        <v>35000000</v>
      </c>
      <c r="U1354" s="41">
        <v>0</v>
      </c>
      <c r="V1354" s="41">
        <v>489075000.00000179</v>
      </c>
      <c r="W1354" s="41">
        <v>79166.666666666672</v>
      </c>
      <c r="X1354" s="38">
        <f t="shared" si="120"/>
        <v>0.97815000000000363</v>
      </c>
      <c r="Y1354" s="39">
        <f t="shared" si="121"/>
        <v>1.5833333333333335E-4</v>
      </c>
      <c r="Z1354" s="39">
        <f t="shared" si="125"/>
        <v>1.618964033435862E-4</v>
      </c>
      <c r="AA1354" s="41">
        <f t="shared" si="122"/>
        <v>10924999.999998212</v>
      </c>
      <c r="AB1354" s="39">
        <f t="shared" si="123"/>
        <v>7.2463768115953895E-3</v>
      </c>
      <c r="AC1354" s="38">
        <f t="shared" si="124"/>
        <v>0.18112660749864076</v>
      </c>
      <c r="AD1354" s="3"/>
    </row>
    <row r="1355" spans="1:30" x14ac:dyDescent="0.25">
      <c r="A1355" s="37">
        <v>46991</v>
      </c>
      <c r="B1355" s="41">
        <v>20000000</v>
      </c>
      <c r="C1355" s="41">
        <v>0</v>
      </c>
      <c r="D1355" s="41">
        <v>50000000</v>
      </c>
      <c r="E1355" s="41">
        <v>0</v>
      </c>
      <c r="F1355" s="41">
        <v>50000000</v>
      </c>
      <c r="G1355" s="41">
        <v>0</v>
      </c>
      <c r="H1355" s="41">
        <v>50000000</v>
      </c>
      <c r="I1355" s="41">
        <v>0</v>
      </c>
      <c r="J1355" s="41">
        <v>40000000</v>
      </c>
      <c r="K1355" s="41">
        <v>0</v>
      </c>
      <c r="L1355" s="41">
        <v>10000000</v>
      </c>
      <c r="M1355" s="41">
        <v>0</v>
      </c>
      <c r="N1355" s="41">
        <v>109154166.6666685</v>
      </c>
      <c r="O1355" s="41">
        <v>79166.666666666672</v>
      </c>
      <c r="P1355" s="41">
        <v>75000000</v>
      </c>
      <c r="Q1355" s="41">
        <v>0</v>
      </c>
      <c r="R1355" s="41">
        <v>50000000</v>
      </c>
      <c r="S1355" s="41">
        <v>0</v>
      </c>
      <c r="T1355" s="41">
        <v>35000000</v>
      </c>
      <c r="U1355" s="41">
        <v>0</v>
      </c>
      <c r="V1355" s="41">
        <v>489154166.66666847</v>
      </c>
      <c r="W1355" s="41">
        <v>79166.666666666672</v>
      </c>
      <c r="X1355" s="38">
        <f t="shared" si="120"/>
        <v>0.978308333333337</v>
      </c>
      <c r="Y1355" s="39">
        <f t="shared" si="121"/>
        <v>1.5833333333333335E-4</v>
      </c>
      <c r="Z1355" s="39">
        <f t="shared" si="125"/>
        <v>1.6187019714086057E-4</v>
      </c>
      <c r="AA1355" s="41">
        <f t="shared" si="122"/>
        <v>10845833.333331525</v>
      </c>
      <c r="AB1355" s="39">
        <f t="shared" si="123"/>
        <v>7.2992700729939183E-3</v>
      </c>
      <c r="AC1355" s="38">
        <f t="shared" si="124"/>
        <v>0.1810919846675445</v>
      </c>
      <c r="AD1355" s="3"/>
    </row>
    <row r="1356" spans="1:30" x14ac:dyDescent="0.25">
      <c r="A1356" s="37">
        <v>46992</v>
      </c>
      <c r="B1356" s="41">
        <v>20000000</v>
      </c>
      <c r="C1356" s="41">
        <v>0</v>
      </c>
      <c r="D1356" s="41">
        <v>50000000</v>
      </c>
      <c r="E1356" s="41">
        <v>0</v>
      </c>
      <c r="F1356" s="41">
        <v>50000000</v>
      </c>
      <c r="G1356" s="41">
        <v>0</v>
      </c>
      <c r="H1356" s="41">
        <v>50000000</v>
      </c>
      <c r="I1356" s="41">
        <v>0</v>
      </c>
      <c r="J1356" s="41">
        <v>40000000</v>
      </c>
      <c r="K1356" s="41">
        <v>0</v>
      </c>
      <c r="L1356" s="41">
        <v>10000000</v>
      </c>
      <c r="M1356" s="41">
        <v>0</v>
      </c>
      <c r="N1356" s="41">
        <v>109233333.3333351</v>
      </c>
      <c r="O1356" s="41">
        <v>79166.666666666672</v>
      </c>
      <c r="P1356" s="41">
        <v>75000000</v>
      </c>
      <c r="Q1356" s="41">
        <v>0</v>
      </c>
      <c r="R1356" s="41">
        <v>50000000</v>
      </c>
      <c r="S1356" s="41">
        <v>0</v>
      </c>
      <c r="T1356" s="41">
        <v>35000000</v>
      </c>
      <c r="U1356" s="41">
        <v>0</v>
      </c>
      <c r="V1356" s="41">
        <v>489233333.33333522</v>
      </c>
      <c r="W1356" s="41">
        <v>79166.666666666672</v>
      </c>
      <c r="X1356" s="38">
        <f t="shared" si="120"/>
        <v>0.97846666666667048</v>
      </c>
      <c r="Y1356" s="39">
        <f t="shared" si="121"/>
        <v>1.5833333333333335E-4</v>
      </c>
      <c r="Z1356" s="39">
        <f t="shared" si="125"/>
        <v>1.6184399942076826E-4</v>
      </c>
      <c r="AA1356" s="41">
        <f t="shared" si="122"/>
        <v>10766666.666664779</v>
      </c>
      <c r="AB1356" s="39">
        <f t="shared" si="123"/>
        <v>7.3529411764718779E-3</v>
      </c>
      <c r="AC1356" s="38">
        <f t="shared" si="124"/>
        <v>0.18105737507041036</v>
      </c>
      <c r="AD1356" s="3"/>
    </row>
    <row r="1357" spans="1:30" x14ac:dyDescent="0.25">
      <c r="A1357" s="37">
        <v>46993</v>
      </c>
      <c r="B1357" s="41">
        <v>20000000</v>
      </c>
      <c r="C1357" s="41">
        <v>0</v>
      </c>
      <c r="D1357" s="41">
        <v>50000000</v>
      </c>
      <c r="E1357" s="41">
        <v>0</v>
      </c>
      <c r="F1357" s="41">
        <v>50000000</v>
      </c>
      <c r="G1357" s="41">
        <v>0</v>
      </c>
      <c r="H1357" s="41">
        <v>50000000</v>
      </c>
      <c r="I1357" s="41">
        <v>0</v>
      </c>
      <c r="J1357" s="41">
        <v>40000000</v>
      </c>
      <c r="K1357" s="41">
        <v>0</v>
      </c>
      <c r="L1357" s="41">
        <v>10000000</v>
      </c>
      <c r="M1357" s="41">
        <v>0</v>
      </c>
      <c r="N1357" s="41">
        <v>109312500.0000018</v>
      </c>
      <c r="O1357" s="41">
        <v>79166.666666666672</v>
      </c>
      <c r="P1357" s="41">
        <v>75000000</v>
      </c>
      <c r="Q1357" s="41">
        <v>0</v>
      </c>
      <c r="R1357" s="41">
        <v>50000000</v>
      </c>
      <c r="S1357" s="41">
        <v>0</v>
      </c>
      <c r="T1357" s="41">
        <v>35000000</v>
      </c>
      <c r="U1357" s="41">
        <v>0</v>
      </c>
      <c r="V1357" s="41">
        <v>489312500.00000179</v>
      </c>
      <c r="W1357" s="41">
        <v>79166.666666666672</v>
      </c>
      <c r="X1357" s="38">
        <f t="shared" si="120"/>
        <v>0.97862500000000363</v>
      </c>
      <c r="Y1357" s="39">
        <f t="shared" si="121"/>
        <v>1.5833333333333335E-4</v>
      </c>
      <c r="Z1357" s="39">
        <f t="shared" si="125"/>
        <v>1.6181781017919131E-4</v>
      </c>
      <c r="AA1357" s="41">
        <f t="shared" si="122"/>
        <v>10687499.999998212</v>
      </c>
      <c r="AB1357" s="39">
        <f t="shared" si="123"/>
        <v>7.4074074074086472E-3</v>
      </c>
      <c r="AC1357" s="38">
        <f t="shared" si="124"/>
        <v>0.18102277869965225</v>
      </c>
      <c r="AD1357" s="3"/>
    </row>
    <row r="1358" spans="1:30" x14ac:dyDescent="0.25">
      <c r="A1358" s="37">
        <v>46994</v>
      </c>
      <c r="B1358" s="41">
        <v>20000000</v>
      </c>
      <c r="C1358" s="41">
        <v>0</v>
      </c>
      <c r="D1358" s="41">
        <v>50000000</v>
      </c>
      <c r="E1358" s="41">
        <v>0</v>
      </c>
      <c r="F1358" s="41">
        <v>50000000</v>
      </c>
      <c r="G1358" s="41">
        <v>0</v>
      </c>
      <c r="H1358" s="41">
        <v>50000000</v>
      </c>
      <c r="I1358" s="41">
        <v>0</v>
      </c>
      <c r="J1358" s="41">
        <v>40000000</v>
      </c>
      <c r="K1358" s="41">
        <v>0</v>
      </c>
      <c r="L1358" s="41">
        <v>10000000</v>
      </c>
      <c r="M1358" s="41">
        <v>0</v>
      </c>
      <c r="N1358" s="41">
        <v>109391666.6666685</v>
      </c>
      <c r="O1358" s="41">
        <v>79166.666666666672</v>
      </c>
      <c r="P1358" s="41">
        <v>75000000</v>
      </c>
      <c r="Q1358" s="41">
        <v>0</v>
      </c>
      <c r="R1358" s="41">
        <v>50000000</v>
      </c>
      <c r="S1358" s="41">
        <v>0</v>
      </c>
      <c r="T1358" s="41">
        <v>35000000</v>
      </c>
      <c r="U1358" s="41">
        <v>0</v>
      </c>
      <c r="V1358" s="41">
        <v>489391666.66666847</v>
      </c>
      <c r="W1358" s="41">
        <v>79166.666666666672</v>
      </c>
      <c r="X1358" s="38">
        <f t="shared" si="120"/>
        <v>0.978783333333337</v>
      </c>
      <c r="Y1358" s="39">
        <f t="shared" si="121"/>
        <v>1.5833333333333335E-4</v>
      </c>
      <c r="Z1358" s="39">
        <f t="shared" si="125"/>
        <v>1.6179162941201458E-4</v>
      </c>
      <c r="AA1358" s="41">
        <f t="shared" si="122"/>
        <v>10608333.333331525</v>
      </c>
      <c r="AB1358" s="39">
        <f t="shared" si="123"/>
        <v>7.4626865671654514E-3</v>
      </c>
      <c r="AC1358" s="38">
        <f t="shared" si="124"/>
        <v>0.18098819554768961</v>
      </c>
      <c r="AD1358" s="3"/>
    </row>
    <row r="1359" spans="1:30" x14ac:dyDescent="0.25">
      <c r="A1359" s="37">
        <v>46995</v>
      </c>
      <c r="B1359" s="41">
        <v>20000000</v>
      </c>
      <c r="C1359" s="41">
        <v>0</v>
      </c>
      <c r="D1359" s="41">
        <v>50000000</v>
      </c>
      <c r="E1359" s="41">
        <v>0</v>
      </c>
      <c r="F1359" s="41">
        <v>50000000</v>
      </c>
      <c r="G1359" s="41">
        <v>0</v>
      </c>
      <c r="H1359" s="41">
        <v>50000000</v>
      </c>
      <c r="I1359" s="41">
        <v>0</v>
      </c>
      <c r="J1359" s="41">
        <v>40000000</v>
      </c>
      <c r="K1359" s="41">
        <v>0</v>
      </c>
      <c r="L1359" s="41">
        <v>10000000</v>
      </c>
      <c r="M1359" s="41">
        <v>0</v>
      </c>
      <c r="N1359" s="41">
        <v>109470833.3333351</v>
      </c>
      <c r="O1359" s="41">
        <v>79166.666666666672</v>
      </c>
      <c r="P1359" s="41">
        <v>75000000</v>
      </c>
      <c r="Q1359" s="41">
        <v>0</v>
      </c>
      <c r="R1359" s="41">
        <v>50000000</v>
      </c>
      <c r="S1359" s="41">
        <v>0</v>
      </c>
      <c r="T1359" s="41">
        <v>35000000</v>
      </c>
      <c r="U1359" s="41">
        <v>0</v>
      </c>
      <c r="V1359" s="41">
        <v>489470833.33333522</v>
      </c>
      <c r="W1359" s="41">
        <v>79166.666666666672</v>
      </c>
      <c r="X1359" s="38">
        <f t="shared" si="120"/>
        <v>0.97894166666667048</v>
      </c>
      <c r="Y1359" s="39">
        <f t="shared" si="121"/>
        <v>1.5833333333333335E-4</v>
      </c>
      <c r="Z1359" s="39">
        <f t="shared" si="125"/>
        <v>1.6176545711512534E-4</v>
      </c>
      <c r="AA1359" s="41">
        <f t="shared" si="122"/>
        <v>10529166.666664779</v>
      </c>
      <c r="AB1359" s="39">
        <f t="shared" si="123"/>
        <v>7.5187969924825513E-3</v>
      </c>
      <c r="AC1359" s="38">
        <f t="shared" si="124"/>
        <v>0.1809536256069478</v>
      </c>
      <c r="AD1359" s="3"/>
    </row>
    <row r="1360" spans="1:30" x14ac:dyDescent="0.25">
      <c r="A1360" s="37">
        <v>46996</v>
      </c>
      <c r="B1360" s="41">
        <v>20000000</v>
      </c>
      <c r="C1360" s="41">
        <v>0</v>
      </c>
      <c r="D1360" s="41">
        <v>50000000</v>
      </c>
      <c r="E1360" s="41">
        <v>0</v>
      </c>
      <c r="F1360" s="41">
        <v>50000000</v>
      </c>
      <c r="G1360" s="41">
        <v>0</v>
      </c>
      <c r="H1360" s="41">
        <v>50000000</v>
      </c>
      <c r="I1360" s="41">
        <v>0</v>
      </c>
      <c r="J1360" s="41">
        <v>40000000</v>
      </c>
      <c r="K1360" s="41">
        <v>0</v>
      </c>
      <c r="L1360" s="41">
        <v>10000000</v>
      </c>
      <c r="M1360" s="41">
        <v>0</v>
      </c>
      <c r="N1360" s="41">
        <v>109550000.0000018</v>
      </c>
      <c r="O1360" s="41">
        <v>79166.666666666672</v>
      </c>
      <c r="P1360" s="41">
        <v>75000000</v>
      </c>
      <c r="Q1360" s="41">
        <v>0</v>
      </c>
      <c r="R1360" s="41">
        <v>50000000</v>
      </c>
      <c r="S1360" s="41">
        <v>0</v>
      </c>
      <c r="T1360" s="41">
        <v>35000000</v>
      </c>
      <c r="U1360" s="41">
        <v>0</v>
      </c>
      <c r="V1360" s="41">
        <v>489550000.00000179</v>
      </c>
      <c r="W1360" s="41">
        <v>79166.666666666672</v>
      </c>
      <c r="X1360" s="38">
        <f t="shared" si="120"/>
        <v>0.97910000000000352</v>
      </c>
      <c r="Y1360" s="39">
        <f t="shared" si="121"/>
        <v>1.5833333333333335E-4</v>
      </c>
      <c r="Z1360" s="39">
        <f t="shared" si="125"/>
        <v>1.6173929328441367E-4</v>
      </c>
      <c r="AA1360" s="41">
        <f t="shared" si="122"/>
        <v>10449999.999998212</v>
      </c>
      <c r="AB1360" s="39">
        <f t="shared" si="123"/>
        <v>7.5757575757588727E-3</v>
      </c>
      <c r="AC1360" s="38">
        <f t="shared" si="124"/>
        <v>0.18091906886985809</v>
      </c>
      <c r="AD1360" s="3"/>
    </row>
    <row r="1361" spans="1:30" x14ac:dyDescent="0.25">
      <c r="A1361" s="37">
        <v>46997</v>
      </c>
      <c r="B1361" s="41">
        <v>20000000</v>
      </c>
      <c r="C1361" s="41">
        <v>0</v>
      </c>
      <c r="D1361" s="41">
        <v>50000000</v>
      </c>
      <c r="E1361" s="41">
        <v>0</v>
      </c>
      <c r="F1361" s="41">
        <v>50000000</v>
      </c>
      <c r="G1361" s="41">
        <v>0</v>
      </c>
      <c r="H1361" s="41">
        <v>50000000</v>
      </c>
      <c r="I1361" s="41">
        <v>0</v>
      </c>
      <c r="J1361" s="41">
        <v>40000000</v>
      </c>
      <c r="K1361" s="41">
        <v>0</v>
      </c>
      <c r="L1361" s="41">
        <v>10000000</v>
      </c>
      <c r="M1361" s="41">
        <v>0</v>
      </c>
      <c r="N1361" s="41">
        <v>109629166.6666685</v>
      </c>
      <c r="O1361" s="41">
        <v>79166.666666666672</v>
      </c>
      <c r="P1361" s="41">
        <v>75000000</v>
      </c>
      <c r="Q1361" s="41">
        <v>0</v>
      </c>
      <c r="R1361" s="41">
        <v>50000000</v>
      </c>
      <c r="S1361" s="41">
        <v>0</v>
      </c>
      <c r="T1361" s="41">
        <v>35000000</v>
      </c>
      <c r="U1361" s="41">
        <v>0</v>
      </c>
      <c r="V1361" s="41">
        <v>489629166.66666847</v>
      </c>
      <c r="W1361" s="41">
        <v>79166.666666666672</v>
      </c>
      <c r="X1361" s="38">
        <f t="shared" si="120"/>
        <v>0.97925833333333689</v>
      </c>
      <c r="Y1361" s="39">
        <f t="shared" si="121"/>
        <v>1.5833333333333335E-4</v>
      </c>
      <c r="Z1361" s="39">
        <f t="shared" si="125"/>
        <v>1.617131379157724E-4</v>
      </c>
      <c r="AA1361" s="41">
        <f t="shared" si="122"/>
        <v>10370833.333331525</v>
      </c>
      <c r="AB1361" s="39">
        <f t="shared" si="123"/>
        <v>7.6335877862608731E-3</v>
      </c>
      <c r="AC1361" s="38">
        <f t="shared" si="124"/>
        <v>0.18088452532885732</v>
      </c>
      <c r="AD1361" s="3"/>
    </row>
    <row r="1362" spans="1:30" x14ac:dyDescent="0.25">
      <c r="A1362" s="37">
        <v>46998</v>
      </c>
      <c r="B1362" s="41">
        <v>20000000</v>
      </c>
      <c r="C1362" s="41">
        <v>0</v>
      </c>
      <c r="D1362" s="41">
        <v>50000000</v>
      </c>
      <c r="E1362" s="41">
        <v>0</v>
      </c>
      <c r="F1362" s="41">
        <v>50000000</v>
      </c>
      <c r="G1362" s="41">
        <v>0</v>
      </c>
      <c r="H1362" s="41">
        <v>50000000</v>
      </c>
      <c r="I1362" s="41">
        <v>0</v>
      </c>
      <c r="J1362" s="41">
        <v>40000000</v>
      </c>
      <c r="K1362" s="41">
        <v>0</v>
      </c>
      <c r="L1362" s="41">
        <v>10000000</v>
      </c>
      <c r="M1362" s="41">
        <v>0</v>
      </c>
      <c r="N1362" s="41">
        <v>109708333.33333521</v>
      </c>
      <c r="O1362" s="41">
        <v>79166.666666666672</v>
      </c>
      <c r="P1362" s="41">
        <v>75000000</v>
      </c>
      <c r="Q1362" s="41">
        <v>0</v>
      </c>
      <c r="R1362" s="41">
        <v>50000000</v>
      </c>
      <c r="S1362" s="41">
        <v>0</v>
      </c>
      <c r="T1362" s="41">
        <v>35000000</v>
      </c>
      <c r="U1362" s="41">
        <v>0</v>
      </c>
      <c r="V1362" s="41">
        <v>489708333.33333522</v>
      </c>
      <c r="W1362" s="41">
        <v>79166.666666666672</v>
      </c>
      <c r="X1362" s="38">
        <f t="shared" si="120"/>
        <v>0.97941666666667049</v>
      </c>
      <c r="Y1362" s="39">
        <f t="shared" si="121"/>
        <v>1.5833333333333335E-4</v>
      </c>
      <c r="Z1362" s="39">
        <f t="shared" si="125"/>
        <v>1.616869910050968E-4</v>
      </c>
      <c r="AA1362" s="41">
        <f t="shared" si="122"/>
        <v>10291666.666664779</v>
      </c>
      <c r="AB1362" s="39">
        <f t="shared" si="123"/>
        <v>7.6923076923091039E-3</v>
      </c>
      <c r="AC1362" s="38">
        <f t="shared" si="124"/>
        <v>0.18084999497638821</v>
      </c>
      <c r="AD1362" s="3"/>
    </row>
    <row r="1363" spans="1:30" x14ac:dyDescent="0.25">
      <c r="A1363" s="37">
        <v>46999</v>
      </c>
      <c r="B1363" s="41">
        <v>20000000</v>
      </c>
      <c r="C1363" s="41">
        <v>0</v>
      </c>
      <c r="D1363" s="41">
        <v>50000000</v>
      </c>
      <c r="E1363" s="41">
        <v>0</v>
      </c>
      <c r="F1363" s="41">
        <v>50000000</v>
      </c>
      <c r="G1363" s="41">
        <v>0</v>
      </c>
      <c r="H1363" s="41">
        <v>50000000</v>
      </c>
      <c r="I1363" s="41">
        <v>0</v>
      </c>
      <c r="J1363" s="41">
        <v>40000000</v>
      </c>
      <c r="K1363" s="41">
        <v>0</v>
      </c>
      <c r="L1363" s="41">
        <v>10000000</v>
      </c>
      <c r="M1363" s="41">
        <v>0</v>
      </c>
      <c r="N1363" s="41">
        <v>109787500.0000018</v>
      </c>
      <c r="O1363" s="41">
        <v>79166.666666666672</v>
      </c>
      <c r="P1363" s="41">
        <v>75000000</v>
      </c>
      <c r="Q1363" s="41">
        <v>0</v>
      </c>
      <c r="R1363" s="41">
        <v>50000000</v>
      </c>
      <c r="S1363" s="41">
        <v>0</v>
      </c>
      <c r="T1363" s="41">
        <v>35000000</v>
      </c>
      <c r="U1363" s="41">
        <v>0</v>
      </c>
      <c r="V1363" s="41">
        <v>489787500.00000179</v>
      </c>
      <c r="W1363" s="41">
        <v>79166.666666666672</v>
      </c>
      <c r="X1363" s="38">
        <f t="shared" si="120"/>
        <v>0.97957500000000353</v>
      </c>
      <c r="Y1363" s="39">
        <f t="shared" si="121"/>
        <v>1.5833333333333335E-4</v>
      </c>
      <c r="Z1363" s="39">
        <f t="shared" si="125"/>
        <v>1.6166085254828492E-4</v>
      </c>
      <c r="AA1363" s="41">
        <f t="shared" si="122"/>
        <v>10212499.999998212</v>
      </c>
      <c r="AB1363" s="39">
        <f t="shared" si="123"/>
        <v>7.7519379844974822E-3</v>
      </c>
      <c r="AC1363" s="38">
        <f t="shared" si="124"/>
        <v>0.18081547780489932</v>
      </c>
      <c r="AD1363" s="3"/>
    </row>
    <row r="1364" spans="1:30" x14ac:dyDescent="0.25">
      <c r="A1364" s="37">
        <v>47000</v>
      </c>
      <c r="B1364" s="41">
        <v>20000000</v>
      </c>
      <c r="C1364" s="41">
        <v>0</v>
      </c>
      <c r="D1364" s="41">
        <v>50000000</v>
      </c>
      <c r="E1364" s="41">
        <v>0</v>
      </c>
      <c r="F1364" s="41">
        <v>50000000</v>
      </c>
      <c r="G1364" s="41">
        <v>0</v>
      </c>
      <c r="H1364" s="41">
        <v>50000000</v>
      </c>
      <c r="I1364" s="41">
        <v>0</v>
      </c>
      <c r="J1364" s="41">
        <v>40000000</v>
      </c>
      <c r="K1364" s="41">
        <v>0</v>
      </c>
      <c r="L1364" s="41">
        <v>10000000</v>
      </c>
      <c r="M1364" s="41">
        <v>0</v>
      </c>
      <c r="N1364" s="41">
        <v>109866666.6666685</v>
      </c>
      <c r="O1364" s="41">
        <v>79166.666666666672</v>
      </c>
      <c r="P1364" s="41">
        <v>75000000</v>
      </c>
      <c r="Q1364" s="41">
        <v>0</v>
      </c>
      <c r="R1364" s="41">
        <v>50000000</v>
      </c>
      <c r="S1364" s="41">
        <v>0</v>
      </c>
      <c r="T1364" s="41">
        <v>35000000</v>
      </c>
      <c r="U1364" s="41">
        <v>0</v>
      </c>
      <c r="V1364" s="41">
        <v>489866666.66666847</v>
      </c>
      <c r="W1364" s="41">
        <v>79166.666666666672</v>
      </c>
      <c r="X1364" s="38">
        <f t="shared" si="120"/>
        <v>0.9797333333333369</v>
      </c>
      <c r="Y1364" s="39">
        <f t="shared" si="121"/>
        <v>1.5833333333333335E-4</v>
      </c>
      <c r="Z1364" s="39">
        <f t="shared" si="125"/>
        <v>1.6163472254123755E-4</v>
      </c>
      <c r="AA1364" s="41">
        <f t="shared" si="122"/>
        <v>10133333.333331525</v>
      </c>
      <c r="AB1364" s="39">
        <f t="shared" si="123"/>
        <v>7.8125000000013947E-3</v>
      </c>
      <c r="AC1364" s="38">
        <f t="shared" si="124"/>
        <v>0.1807809738068448</v>
      </c>
      <c r="AD1364" s="3"/>
    </row>
    <row r="1365" spans="1:30" x14ac:dyDescent="0.25">
      <c r="A1365" s="37">
        <v>47001</v>
      </c>
      <c r="B1365" s="41">
        <v>20000000</v>
      </c>
      <c r="C1365" s="41">
        <v>0</v>
      </c>
      <c r="D1365" s="41">
        <v>50000000</v>
      </c>
      <c r="E1365" s="41">
        <v>0</v>
      </c>
      <c r="F1365" s="41">
        <v>50000000</v>
      </c>
      <c r="G1365" s="41">
        <v>0</v>
      </c>
      <c r="H1365" s="41">
        <v>50000000</v>
      </c>
      <c r="I1365" s="41">
        <v>0</v>
      </c>
      <c r="J1365" s="41">
        <v>40000000</v>
      </c>
      <c r="K1365" s="41">
        <v>0</v>
      </c>
      <c r="L1365" s="41">
        <v>10000000</v>
      </c>
      <c r="M1365" s="41">
        <v>0</v>
      </c>
      <c r="N1365" s="41">
        <v>109945833.33333521</v>
      </c>
      <c r="O1365" s="41">
        <v>79166.666666666672</v>
      </c>
      <c r="P1365" s="41">
        <v>75000000</v>
      </c>
      <c r="Q1365" s="41">
        <v>0</v>
      </c>
      <c r="R1365" s="41">
        <v>50000000</v>
      </c>
      <c r="S1365" s="41">
        <v>0</v>
      </c>
      <c r="T1365" s="41">
        <v>35000000</v>
      </c>
      <c r="U1365" s="41">
        <v>0</v>
      </c>
      <c r="V1365" s="41">
        <v>489945833.33333522</v>
      </c>
      <c r="W1365" s="41">
        <v>79166.666666666672</v>
      </c>
      <c r="X1365" s="38">
        <f t="shared" si="120"/>
        <v>0.97989166666667049</v>
      </c>
      <c r="Y1365" s="39">
        <f t="shared" si="121"/>
        <v>1.5833333333333335E-4</v>
      </c>
      <c r="Z1365" s="39">
        <f t="shared" si="125"/>
        <v>1.6160860097985788E-4</v>
      </c>
      <c r="AA1365" s="41">
        <f t="shared" si="122"/>
        <v>10054166.666664779</v>
      </c>
      <c r="AB1365" s="39">
        <f t="shared" si="123"/>
        <v>7.8740157480329739E-3</v>
      </c>
      <c r="AC1365" s="38">
        <f t="shared" si="124"/>
        <v>0.18074648297468462</v>
      </c>
      <c r="AD1365" s="3"/>
    </row>
    <row r="1366" spans="1:30" x14ac:dyDescent="0.25">
      <c r="A1366" s="37">
        <v>47002</v>
      </c>
      <c r="B1366" s="41">
        <v>20000000</v>
      </c>
      <c r="C1366" s="41">
        <v>0</v>
      </c>
      <c r="D1366" s="41">
        <v>50000000</v>
      </c>
      <c r="E1366" s="41">
        <v>0</v>
      </c>
      <c r="F1366" s="41">
        <v>50000000</v>
      </c>
      <c r="G1366" s="41">
        <v>0</v>
      </c>
      <c r="H1366" s="41">
        <v>50000000</v>
      </c>
      <c r="I1366" s="41">
        <v>0</v>
      </c>
      <c r="J1366" s="41">
        <v>40000000</v>
      </c>
      <c r="K1366" s="41">
        <v>0</v>
      </c>
      <c r="L1366" s="41">
        <v>10000000</v>
      </c>
      <c r="M1366" s="41">
        <v>0</v>
      </c>
      <c r="N1366" s="41">
        <v>110025000.0000018</v>
      </c>
      <c r="O1366" s="41">
        <v>79166.666666666672</v>
      </c>
      <c r="P1366" s="41">
        <v>75000000</v>
      </c>
      <c r="Q1366" s="41">
        <v>0</v>
      </c>
      <c r="R1366" s="41">
        <v>50000000</v>
      </c>
      <c r="S1366" s="41">
        <v>0</v>
      </c>
      <c r="T1366" s="41">
        <v>35000000</v>
      </c>
      <c r="U1366" s="41">
        <v>0</v>
      </c>
      <c r="V1366" s="41">
        <v>490025000.00000179</v>
      </c>
      <c r="W1366" s="41">
        <v>79166.666666666672</v>
      </c>
      <c r="X1366" s="38">
        <f t="shared" si="120"/>
        <v>0.98005000000000353</v>
      </c>
      <c r="Y1366" s="39">
        <f t="shared" si="121"/>
        <v>1.5833333333333335E-4</v>
      </c>
      <c r="Z1366" s="39">
        <f t="shared" si="125"/>
        <v>1.6158248786005196E-4</v>
      </c>
      <c r="AA1366" s="41">
        <f t="shared" si="122"/>
        <v>9974999.9999982119</v>
      </c>
      <c r="AB1366" s="39">
        <f t="shared" si="123"/>
        <v>7.9365079365093603E-3</v>
      </c>
      <c r="AC1366" s="38">
        <f t="shared" si="124"/>
        <v>0.18071200530088471</v>
      </c>
      <c r="AD1366" s="3"/>
    </row>
    <row r="1367" spans="1:30" x14ac:dyDescent="0.25">
      <c r="A1367" s="37">
        <v>47003</v>
      </c>
      <c r="B1367" s="41">
        <v>20000000</v>
      </c>
      <c r="C1367" s="41">
        <v>0</v>
      </c>
      <c r="D1367" s="41">
        <v>50000000</v>
      </c>
      <c r="E1367" s="41">
        <v>0</v>
      </c>
      <c r="F1367" s="41">
        <v>50000000</v>
      </c>
      <c r="G1367" s="41">
        <v>0</v>
      </c>
      <c r="H1367" s="41">
        <v>50000000</v>
      </c>
      <c r="I1367" s="41">
        <v>0</v>
      </c>
      <c r="J1367" s="41">
        <v>40000000</v>
      </c>
      <c r="K1367" s="41">
        <v>0</v>
      </c>
      <c r="L1367" s="41">
        <v>10000000</v>
      </c>
      <c r="M1367" s="41">
        <v>0</v>
      </c>
      <c r="N1367" s="41">
        <v>110104166.6666685</v>
      </c>
      <c r="O1367" s="41">
        <v>79166.666666666672</v>
      </c>
      <c r="P1367" s="41">
        <v>75000000</v>
      </c>
      <c r="Q1367" s="41">
        <v>0</v>
      </c>
      <c r="R1367" s="41">
        <v>50000000</v>
      </c>
      <c r="S1367" s="41">
        <v>0</v>
      </c>
      <c r="T1367" s="41">
        <v>35000000</v>
      </c>
      <c r="U1367" s="41">
        <v>0</v>
      </c>
      <c r="V1367" s="41">
        <v>490104166.66666847</v>
      </c>
      <c r="W1367" s="41">
        <v>79166.666666666672</v>
      </c>
      <c r="X1367" s="38">
        <f t="shared" ref="X1367:X1431" si="126">V1367/$B$6</f>
        <v>0.9802083333333369</v>
      </c>
      <c r="Y1367" s="39">
        <f t="shared" ref="Y1367:Y1431" si="127">W1367/$B$6</f>
        <v>1.5833333333333335E-4</v>
      </c>
      <c r="Z1367" s="39">
        <f t="shared" si="125"/>
        <v>1.6155638317772843E-4</v>
      </c>
      <c r="AA1367" s="41">
        <f t="shared" ref="AA1367:AA1430" si="128">$B$6-V1367</f>
        <v>9895833.3333315253</v>
      </c>
      <c r="AB1367" s="39">
        <f t="shared" ref="AB1367:AB1430" si="129">W1367/AA1367</f>
        <v>8.0000000000014625E-3</v>
      </c>
      <c r="AC1367" s="38">
        <f t="shared" ref="AC1367:AC1431" si="130" xml:space="preserve"> P1367/(V1367-P1367)</f>
        <v>0.1806775407779164</v>
      </c>
      <c r="AD1367" s="3"/>
    </row>
    <row r="1368" spans="1:30" x14ac:dyDescent="0.25">
      <c r="A1368" s="37">
        <v>47004</v>
      </c>
      <c r="B1368" s="41">
        <v>20000000</v>
      </c>
      <c r="C1368" s="41">
        <v>0</v>
      </c>
      <c r="D1368" s="41">
        <v>50000000</v>
      </c>
      <c r="E1368" s="41">
        <v>0</v>
      </c>
      <c r="F1368" s="41">
        <v>50000000</v>
      </c>
      <c r="G1368" s="41">
        <v>0</v>
      </c>
      <c r="H1368" s="41">
        <v>50000000</v>
      </c>
      <c r="I1368" s="41">
        <v>0</v>
      </c>
      <c r="J1368" s="41">
        <v>40000000</v>
      </c>
      <c r="K1368" s="41">
        <v>0</v>
      </c>
      <c r="L1368" s="41">
        <v>10000000</v>
      </c>
      <c r="M1368" s="41">
        <v>0</v>
      </c>
      <c r="N1368" s="41">
        <v>110183333.33333521</v>
      </c>
      <c r="O1368" s="41">
        <v>79166.666666666672</v>
      </c>
      <c r="P1368" s="41">
        <v>75000000</v>
      </c>
      <c r="Q1368" s="41">
        <v>0</v>
      </c>
      <c r="R1368" s="41">
        <v>50000000</v>
      </c>
      <c r="S1368" s="41">
        <v>0</v>
      </c>
      <c r="T1368" s="41">
        <v>35000000</v>
      </c>
      <c r="U1368" s="41">
        <v>0</v>
      </c>
      <c r="V1368" s="41">
        <v>490183333.33333522</v>
      </c>
      <c r="W1368" s="41">
        <v>79166.666666666672</v>
      </c>
      <c r="X1368" s="38">
        <f t="shared" si="126"/>
        <v>0.98036666666667049</v>
      </c>
      <c r="Y1368" s="39">
        <f t="shared" si="127"/>
        <v>1.5833333333333335E-4</v>
      </c>
      <c r="Z1368" s="39">
        <f t="shared" ref="Z1368:Z1432" si="131">W1368/V1367</f>
        <v>1.6153028692879857E-4</v>
      </c>
      <c r="AA1368" s="41">
        <f t="shared" si="128"/>
        <v>9816666.6666647792</v>
      </c>
      <c r="AB1368" s="39">
        <f t="shared" si="129"/>
        <v>8.0645161290338087E-3</v>
      </c>
      <c r="AC1368" s="38">
        <f t="shared" si="130"/>
        <v>0.18064308939825699</v>
      </c>
      <c r="AD1368" s="3"/>
    </row>
    <row r="1369" spans="1:30" x14ac:dyDescent="0.25">
      <c r="A1369" s="37">
        <v>47005</v>
      </c>
      <c r="B1369" s="41">
        <v>20000000</v>
      </c>
      <c r="C1369" s="41">
        <v>0</v>
      </c>
      <c r="D1369" s="41">
        <v>50000000</v>
      </c>
      <c r="E1369" s="41">
        <v>0</v>
      </c>
      <c r="F1369" s="41">
        <v>50000000</v>
      </c>
      <c r="G1369" s="41">
        <v>0</v>
      </c>
      <c r="H1369" s="41">
        <v>50000000</v>
      </c>
      <c r="I1369" s="41">
        <v>0</v>
      </c>
      <c r="J1369" s="41">
        <v>40000000</v>
      </c>
      <c r="K1369" s="41">
        <v>0</v>
      </c>
      <c r="L1369" s="41">
        <v>10000000</v>
      </c>
      <c r="M1369" s="41">
        <v>0</v>
      </c>
      <c r="N1369" s="41">
        <v>110262500.00000191</v>
      </c>
      <c r="O1369" s="41">
        <v>79166.666666666672</v>
      </c>
      <c r="P1369" s="41">
        <v>75000000</v>
      </c>
      <c r="Q1369" s="41">
        <v>0</v>
      </c>
      <c r="R1369" s="41">
        <v>50000000</v>
      </c>
      <c r="S1369" s="41">
        <v>0</v>
      </c>
      <c r="T1369" s="41">
        <v>35000000</v>
      </c>
      <c r="U1369" s="41">
        <v>0</v>
      </c>
      <c r="V1369" s="41">
        <v>490262500.00000179</v>
      </c>
      <c r="W1369" s="41">
        <v>79166.666666666672</v>
      </c>
      <c r="X1369" s="38">
        <f t="shared" si="126"/>
        <v>0.98052500000000353</v>
      </c>
      <c r="Y1369" s="39">
        <f t="shared" si="127"/>
        <v>1.5833333333333335E-4</v>
      </c>
      <c r="Z1369" s="39">
        <f t="shared" si="131"/>
        <v>1.6150419910917623E-4</v>
      </c>
      <c r="AA1369" s="41">
        <f t="shared" si="128"/>
        <v>9737499.9999982119</v>
      </c>
      <c r="AB1369" s="39">
        <f t="shared" si="129"/>
        <v>8.1300813008145009E-3</v>
      </c>
      <c r="AC1369" s="38">
        <f t="shared" si="130"/>
        <v>0.18060865115438951</v>
      </c>
      <c r="AD1369" s="3"/>
    </row>
    <row r="1370" spans="1:30" x14ac:dyDescent="0.25">
      <c r="A1370" s="37">
        <v>47006</v>
      </c>
      <c r="B1370" s="41">
        <v>20000000</v>
      </c>
      <c r="C1370" s="41">
        <v>0</v>
      </c>
      <c r="D1370" s="41">
        <v>50000000</v>
      </c>
      <c r="E1370" s="41">
        <v>0</v>
      </c>
      <c r="F1370" s="41">
        <v>50000000</v>
      </c>
      <c r="G1370" s="41">
        <v>0</v>
      </c>
      <c r="H1370" s="41">
        <v>50000000</v>
      </c>
      <c r="I1370" s="41">
        <v>0</v>
      </c>
      <c r="J1370" s="41">
        <v>40000000</v>
      </c>
      <c r="K1370" s="41">
        <v>0</v>
      </c>
      <c r="L1370" s="41">
        <v>10000000</v>
      </c>
      <c r="M1370" s="41">
        <v>0</v>
      </c>
      <c r="N1370" s="41">
        <v>110341666.6666685</v>
      </c>
      <c r="O1370" s="41">
        <v>79166.666666666672</v>
      </c>
      <c r="P1370" s="41">
        <v>75000000</v>
      </c>
      <c r="Q1370" s="41">
        <v>0</v>
      </c>
      <c r="R1370" s="41">
        <v>50000000</v>
      </c>
      <c r="S1370" s="41">
        <v>0</v>
      </c>
      <c r="T1370" s="41">
        <v>35000000</v>
      </c>
      <c r="U1370" s="41">
        <v>0</v>
      </c>
      <c r="V1370" s="41">
        <v>490341666.66666847</v>
      </c>
      <c r="W1370" s="41">
        <v>79166.666666666672</v>
      </c>
      <c r="X1370" s="38">
        <f t="shared" si="126"/>
        <v>0.9806833333333369</v>
      </c>
      <c r="Y1370" s="39">
        <f t="shared" si="127"/>
        <v>1.5833333333333335E-4</v>
      </c>
      <c r="Z1370" s="39">
        <f t="shared" si="131"/>
        <v>1.6147811971477808E-4</v>
      </c>
      <c r="AA1370" s="41">
        <f t="shared" si="128"/>
        <v>9658333.3333315253</v>
      </c>
      <c r="AB1370" s="39">
        <f t="shared" si="129"/>
        <v>8.1967213114769455E-3</v>
      </c>
      <c r="AC1370" s="38">
        <f t="shared" si="130"/>
        <v>0.1805742260388026</v>
      </c>
      <c r="AD1370" s="3"/>
    </row>
    <row r="1371" spans="1:30" x14ac:dyDescent="0.25">
      <c r="A1371" s="37">
        <v>47007</v>
      </c>
      <c r="B1371" s="41">
        <v>20000000</v>
      </c>
      <c r="C1371" s="41">
        <v>0</v>
      </c>
      <c r="D1371" s="41">
        <v>50000000</v>
      </c>
      <c r="E1371" s="41">
        <v>0</v>
      </c>
      <c r="F1371" s="41">
        <v>50000000</v>
      </c>
      <c r="G1371" s="41">
        <v>0</v>
      </c>
      <c r="H1371" s="41">
        <v>50000000</v>
      </c>
      <c r="I1371" s="41">
        <v>0</v>
      </c>
      <c r="J1371" s="41">
        <v>40000000</v>
      </c>
      <c r="K1371" s="41">
        <v>0</v>
      </c>
      <c r="L1371" s="41">
        <v>10000000</v>
      </c>
      <c r="M1371" s="41">
        <v>0</v>
      </c>
      <c r="N1371" s="41">
        <v>110420833.33333521</v>
      </c>
      <c r="O1371" s="41">
        <v>79166.666666666672</v>
      </c>
      <c r="P1371" s="41">
        <v>75000000</v>
      </c>
      <c r="Q1371" s="41">
        <v>0</v>
      </c>
      <c r="R1371" s="41">
        <v>50000000</v>
      </c>
      <c r="S1371" s="41">
        <v>0</v>
      </c>
      <c r="T1371" s="41">
        <v>35000000</v>
      </c>
      <c r="U1371" s="41">
        <v>0</v>
      </c>
      <c r="V1371" s="41">
        <v>490420833.33333522</v>
      </c>
      <c r="W1371" s="41">
        <v>79166.666666666672</v>
      </c>
      <c r="X1371" s="38">
        <f t="shared" si="126"/>
        <v>0.98084166666667039</v>
      </c>
      <c r="Y1371" s="39">
        <f t="shared" si="127"/>
        <v>1.5833333333333335E-4</v>
      </c>
      <c r="Z1371" s="39">
        <f t="shared" si="131"/>
        <v>1.6145204874152319E-4</v>
      </c>
      <c r="AA1371" s="41">
        <f t="shared" si="128"/>
        <v>9579166.6666647792</v>
      </c>
      <c r="AB1371" s="39">
        <f t="shared" si="129"/>
        <v>8.2644628099189845E-3</v>
      </c>
      <c r="AC1371" s="38">
        <f t="shared" si="130"/>
        <v>0.18053981404399072</v>
      </c>
      <c r="AD1371" s="3"/>
    </row>
    <row r="1372" spans="1:30" x14ac:dyDescent="0.25">
      <c r="A1372" s="37">
        <v>47008</v>
      </c>
      <c r="B1372" s="41">
        <v>20000000</v>
      </c>
      <c r="C1372" s="41">
        <v>0</v>
      </c>
      <c r="D1372" s="41">
        <v>50000000</v>
      </c>
      <c r="E1372" s="41">
        <v>0</v>
      </c>
      <c r="F1372" s="41">
        <v>50000000</v>
      </c>
      <c r="G1372" s="41">
        <v>0</v>
      </c>
      <c r="H1372" s="41">
        <v>50000000</v>
      </c>
      <c r="I1372" s="41">
        <v>0</v>
      </c>
      <c r="J1372" s="41">
        <v>40000000</v>
      </c>
      <c r="K1372" s="41">
        <v>0</v>
      </c>
      <c r="L1372" s="41">
        <v>10000000</v>
      </c>
      <c r="M1372" s="41">
        <v>0</v>
      </c>
      <c r="N1372" s="41">
        <v>110500000.00000191</v>
      </c>
      <c r="O1372" s="41">
        <v>79166.666666666672</v>
      </c>
      <c r="P1372" s="41">
        <v>75000000</v>
      </c>
      <c r="Q1372" s="41">
        <v>0</v>
      </c>
      <c r="R1372" s="41">
        <v>50000000</v>
      </c>
      <c r="S1372" s="41">
        <v>0</v>
      </c>
      <c r="T1372" s="41">
        <v>35000000</v>
      </c>
      <c r="U1372" s="41">
        <v>0</v>
      </c>
      <c r="V1372" s="41">
        <v>490500000.00000191</v>
      </c>
      <c r="W1372" s="41">
        <v>79166.666666666672</v>
      </c>
      <c r="X1372" s="38">
        <f t="shared" si="126"/>
        <v>0.98100000000000387</v>
      </c>
      <c r="Y1372" s="39">
        <f t="shared" si="127"/>
        <v>1.5833333333333335E-4</v>
      </c>
      <c r="Z1372" s="39">
        <f t="shared" si="131"/>
        <v>1.6142598618533341E-4</v>
      </c>
      <c r="AA1372" s="41">
        <f t="shared" si="128"/>
        <v>9499999.9999980927</v>
      </c>
      <c r="AB1372" s="39">
        <f t="shared" si="129"/>
        <v>8.3333333333350072E-3</v>
      </c>
      <c r="AC1372" s="38">
        <f t="shared" si="130"/>
        <v>0.18050541516245405</v>
      </c>
      <c r="AD1372" s="3"/>
    </row>
    <row r="1373" spans="1:30" x14ac:dyDescent="0.25">
      <c r="A1373" s="37">
        <v>47009</v>
      </c>
      <c r="B1373" s="41">
        <v>20000000</v>
      </c>
      <c r="C1373" s="41">
        <v>0</v>
      </c>
      <c r="D1373" s="41">
        <v>50000000</v>
      </c>
      <c r="E1373" s="41">
        <v>0</v>
      </c>
      <c r="F1373" s="41">
        <v>50000000</v>
      </c>
      <c r="G1373" s="41">
        <v>0</v>
      </c>
      <c r="H1373" s="41">
        <v>50000000</v>
      </c>
      <c r="I1373" s="41">
        <v>0</v>
      </c>
      <c r="J1373" s="41">
        <v>40000000</v>
      </c>
      <c r="K1373" s="41">
        <v>0</v>
      </c>
      <c r="L1373" s="41">
        <v>10000000</v>
      </c>
      <c r="M1373" s="41">
        <v>0</v>
      </c>
      <c r="N1373" s="41">
        <v>110579166.6666685</v>
      </c>
      <c r="O1373" s="41">
        <v>79166.666666666672</v>
      </c>
      <c r="P1373" s="41">
        <v>75000000</v>
      </c>
      <c r="Q1373" s="41">
        <v>0</v>
      </c>
      <c r="R1373" s="41">
        <v>50000000</v>
      </c>
      <c r="S1373" s="41">
        <v>0</v>
      </c>
      <c r="T1373" s="41">
        <v>35000000</v>
      </c>
      <c r="U1373" s="41">
        <v>0</v>
      </c>
      <c r="V1373" s="41">
        <v>490579166.66666847</v>
      </c>
      <c r="W1373" s="41">
        <v>79166.666666666672</v>
      </c>
      <c r="X1373" s="38">
        <f t="shared" si="126"/>
        <v>0.98115833333333691</v>
      </c>
      <c r="Y1373" s="39">
        <f t="shared" si="127"/>
        <v>1.5833333333333335E-4</v>
      </c>
      <c r="Z1373" s="39">
        <f t="shared" si="131"/>
        <v>1.6139993204213326E-4</v>
      </c>
      <c r="AA1373" s="41">
        <f t="shared" si="128"/>
        <v>9420833.3333315253</v>
      </c>
      <c r="AB1373" s="39">
        <f t="shared" si="129"/>
        <v>8.4033613445394281E-3</v>
      </c>
      <c r="AC1373" s="38">
        <f t="shared" si="130"/>
        <v>0.18047102938669851</v>
      </c>
      <c r="AD1373" s="3"/>
    </row>
    <row r="1374" spans="1:30" x14ac:dyDescent="0.25">
      <c r="A1374" s="37">
        <v>47010</v>
      </c>
      <c r="B1374" s="41">
        <v>20000000</v>
      </c>
      <c r="C1374" s="41">
        <v>0</v>
      </c>
      <c r="D1374" s="41">
        <v>50000000</v>
      </c>
      <c r="E1374" s="41">
        <v>0</v>
      </c>
      <c r="F1374" s="41">
        <v>50000000</v>
      </c>
      <c r="G1374" s="41">
        <v>0</v>
      </c>
      <c r="H1374" s="41">
        <v>50000000</v>
      </c>
      <c r="I1374" s="41">
        <v>0</v>
      </c>
      <c r="J1374" s="41">
        <v>40000000</v>
      </c>
      <c r="K1374" s="41">
        <v>0</v>
      </c>
      <c r="L1374" s="41">
        <v>10000000</v>
      </c>
      <c r="M1374" s="41">
        <v>0</v>
      </c>
      <c r="N1374" s="41">
        <v>110658333.33333521</v>
      </c>
      <c r="O1374" s="41">
        <v>79166.666666666672</v>
      </c>
      <c r="P1374" s="41">
        <v>75000000</v>
      </c>
      <c r="Q1374" s="41">
        <v>0</v>
      </c>
      <c r="R1374" s="41">
        <v>50000000</v>
      </c>
      <c r="S1374" s="41">
        <v>0</v>
      </c>
      <c r="T1374" s="41">
        <v>35000000</v>
      </c>
      <c r="U1374" s="41">
        <v>0</v>
      </c>
      <c r="V1374" s="41">
        <v>490658333.33333522</v>
      </c>
      <c r="W1374" s="41">
        <v>79166.666666666672</v>
      </c>
      <c r="X1374" s="38">
        <f t="shared" si="126"/>
        <v>0.98131666666667039</v>
      </c>
      <c r="Y1374" s="39">
        <f t="shared" si="127"/>
        <v>1.5833333333333335E-4</v>
      </c>
      <c r="Z1374" s="39">
        <f t="shared" si="131"/>
        <v>1.6137388630784984E-4</v>
      </c>
      <c r="AA1374" s="41">
        <f t="shared" si="128"/>
        <v>9341666.6666647792</v>
      </c>
      <c r="AB1374" s="39">
        <f t="shared" si="129"/>
        <v>8.4745762711881528E-3</v>
      </c>
      <c r="AC1374" s="38">
        <f t="shared" si="130"/>
        <v>0.18043665670923553</v>
      </c>
      <c r="AD1374" s="3"/>
    </row>
    <row r="1375" spans="1:30" x14ac:dyDescent="0.25">
      <c r="A1375" s="37">
        <v>47011</v>
      </c>
      <c r="B1375" s="41">
        <v>20000000</v>
      </c>
      <c r="C1375" s="41">
        <v>0</v>
      </c>
      <c r="D1375" s="41">
        <v>50000000</v>
      </c>
      <c r="E1375" s="41">
        <v>0</v>
      </c>
      <c r="F1375" s="41">
        <v>50000000</v>
      </c>
      <c r="G1375" s="41">
        <v>0</v>
      </c>
      <c r="H1375" s="41">
        <v>50000000</v>
      </c>
      <c r="I1375" s="41">
        <v>0</v>
      </c>
      <c r="J1375" s="41">
        <v>40000000</v>
      </c>
      <c r="K1375" s="41">
        <v>0</v>
      </c>
      <c r="L1375" s="41">
        <v>10000000</v>
      </c>
      <c r="M1375" s="41">
        <v>0</v>
      </c>
      <c r="N1375" s="41">
        <v>110737500.00000191</v>
      </c>
      <c r="O1375" s="41">
        <v>79166.666666666672</v>
      </c>
      <c r="P1375" s="41">
        <v>75000000</v>
      </c>
      <c r="Q1375" s="41">
        <v>0</v>
      </c>
      <c r="R1375" s="41">
        <v>50000000</v>
      </c>
      <c r="S1375" s="41">
        <v>0</v>
      </c>
      <c r="T1375" s="41">
        <v>35000000</v>
      </c>
      <c r="U1375" s="41">
        <v>0</v>
      </c>
      <c r="V1375" s="41">
        <v>490737500.00000191</v>
      </c>
      <c r="W1375" s="41">
        <v>79166.666666666672</v>
      </c>
      <c r="X1375" s="38">
        <f t="shared" si="126"/>
        <v>0.98147500000000376</v>
      </c>
      <c r="Y1375" s="39">
        <f t="shared" si="127"/>
        <v>1.5833333333333335E-4</v>
      </c>
      <c r="Z1375" s="39">
        <f t="shared" si="131"/>
        <v>1.6134784897841274E-4</v>
      </c>
      <c r="AA1375" s="41">
        <f t="shared" si="128"/>
        <v>9262499.9999980927</v>
      </c>
      <c r="AB1375" s="39">
        <f t="shared" si="129"/>
        <v>8.5470085470103069E-3</v>
      </c>
      <c r="AC1375" s="38">
        <f t="shared" si="130"/>
        <v>0.18040229712258254</v>
      </c>
      <c r="AD1375" s="3"/>
    </row>
    <row r="1376" spans="1:30" x14ac:dyDescent="0.25">
      <c r="A1376" s="37">
        <v>47012</v>
      </c>
      <c r="B1376" s="41">
        <v>20000000</v>
      </c>
      <c r="C1376" s="41">
        <v>0</v>
      </c>
      <c r="D1376" s="41">
        <v>50000000</v>
      </c>
      <c r="E1376" s="41">
        <v>0</v>
      </c>
      <c r="F1376" s="41">
        <v>50000000</v>
      </c>
      <c r="G1376" s="41">
        <v>0</v>
      </c>
      <c r="H1376" s="41">
        <v>50000000</v>
      </c>
      <c r="I1376" s="41">
        <v>0</v>
      </c>
      <c r="J1376" s="41">
        <v>40000000</v>
      </c>
      <c r="K1376" s="41">
        <v>0</v>
      </c>
      <c r="L1376" s="41">
        <v>10000000</v>
      </c>
      <c r="M1376" s="41">
        <v>0</v>
      </c>
      <c r="N1376" s="41">
        <v>110816666.66666859</v>
      </c>
      <c r="O1376" s="41">
        <v>79166.666666666672</v>
      </c>
      <c r="P1376" s="41">
        <v>75000000</v>
      </c>
      <c r="Q1376" s="41">
        <v>0</v>
      </c>
      <c r="R1376" s="41">
        <v>50000000</v>
      </c>
      <c r="S1376" s="41">
        <v>0</v>
      </c>
      <c r="T1376" s="41">
        <v>35000000</v>
      </c>
      <c r="U1376" s="41">
        <v>0</v>
      </c>
      <c r="V1376" s="41">
        <v>490816666.66666847</v>
      </c>
      <c r="W1376" s="41">
        <v>79166.666666666672</v>
      </c>
      <c r="X1376" s="38">
        <f t="shared" si="126"/>
        <v>0.98163333333333691</v>
      </c>
      <c r="Y1376" s="39">
        <f t="shared" si="127"/>
        <v>1.5833333333333335E-4</v>
      </c>
      <c r="Z1376" s="39">
        <f t="shared" si="131"/>
        <v>1.6132182004975442E-4</v>
      </c>
      <c r="AA1376" s="41">
        <f t="shared" si="128"/>
        <v>9183333.3333315253</v>
      </c>
      <c r="AB1376" s="39">
        <f t="shared" si="129"/>
        <v>8.620689655174112E-3</v>
      </c>
      <c r="AC1376" s="38">
        <f t="shared" si="130"/>
        <v>0.1803679506192625</v>
      </c>
      <c r="AD1376" s="3"/>
    </row>
    <row r="1377" spans="1:30" x14ac:dyDescent="0.25">
      <c r="A1377" s="37">
        <v>47013</v>
      </c>
      <c r="B1377" s="41">
        <v>20000000</v>
      </c>
      <c r="C1377" s="41">
        <v>0</v>
      </c>
      <c r="D1377" s="41">
        <v>50000000</v>
      </c>
      <c r="E1377" s="41">
        <v>0</v>
      </c>
      <c r="F1377" s="41">
        <v>50000000</v>
      </c>
      <c r="G1377" s="41">
        <v>0</v>
      </c>
      <c r="H1377" s="41">
        <v>50000000</v>
      </c>
      <c r="I1377" s="41">
        <v>0</v>
      </c>
      <c r="J1377" s="41">
        <v>40000000</v>
      </c>
      <c r="K1377" s="41">
        <v>0</v>
      </c>
      <c r="L1377" s="41">
        <v>10000000</v>
      </c>
      <c r="M1377" s="41">
        <v>0</v>
      </c>
      <c r="N1377" s="41">
        <v>110895833.33333521</v>
      </c>
      <c r="O1377" s="41">
        <v>79166.666666666672</v>
      </c>
      <c r="P1377" s="41">
        <v>75000000</v>
      </c>
      <c r="Q1377" s="41">
        <v>0</v>
      </c>
      <c r="R1377" s="41">
        <v>50000000</v>
      </c>
      <c r="S1377" s="41">
        <v>0</v>
      </c>
      <c r="T1377" s="41">
        <v>35000000</v>
      </c>
      <c r="U1377" s="41">
        <v>0</v>
      </c>
      <c r="V1377" s="41">
        <v>490895833.33333522</v>
      </c>
      <c r="W1377" s="41">
        <v>79166.666666666672</v>
      </c>
      <c r="X1377" s="38">
        <f t="shared" si="126"/>
        <v>0.98179166666667039</v>
      </c>
      <c r="Y1377" s="39">
        <f t="shared" si="127"/>
        <v>1.5833333333333335E-4</v>
      </c>
      <c r="Z1377" s="39">
        <f t="shared" si="131"/>
        <v>1.6129579951780986E-4</v>
      </c>
      <c r="AA1377" s="41">
        <f t="shared" si="128"/>
        <v>9104166.6666647792</v>
      </c>
      <c r="AB1377" s="39">
        <f t="shared" si="129"/>
        <v>8.695652173914846E-3</v>
      </c>
      <c r="AC1377" s="38">
        <f t="shared" si="130"/>
        <v>0.18033361719180402</v>
      </c>
      <c r="AD1377" s="3"/>
    </row>
    <row r="1378" spans="1:30" x14ac:dyDescent="0.25">
      <c r="A1378" s="37">
        <v>47014</v>
      </c>
      <c r="B1378" s="41">
        <v>20000000</v>
      </c>
      <c r="C1378" s="41">
        <v>0</v>
      </c>
      <c r="D1378" s="41">
        <v>50000000</v>
      </c>
      <c r="E1378" s="41">
        <v>0</v>
      </c>
      <c r="F1378" s="41">
        <v>50000000</v>
      </c>
      <c r="G1378" s="41">
        <v>0</v>
      </c>
      <c r="H1378" s="41">
        <v>50000000</v>
      </c>
      <c r="I1378" s="41">
        <v>0</v>
      </c>
      <c r="J1378" s="41">
        <v>40000000</v>
      </c>
      <c r="K1378" s="41">
        <v>0</v>
      </c>
      <c r="L1378" s="41">
        <v>10000000</v>
      </c>
      <c r="M1378" s="41">
        <v>0</v>
      </c>
      <c r="N1378" s="41">
        <v>110975000.00000191</v>
      </c>
      <c r="O1378" s="41">
        <v>79166.666666666672</v>
      </c>
      <c r="P1378" s="41">
        <v>75000000</v>
      </c>
      <c r="Q1378" s="41">
        <v>0</v>
      </c>
      <c r="R1378" s="41">
        <v>50000000</v>
      </c>
      <c r="S1378" s="41">
        <v>0</v>
      </c>
      <c r="T1378" s="41">
        <v>35000000</v>
      </c>
      <c r="U1378" s="41">
        <v>0</v>
      </c>
      <c r="V1378" s="41">
        <v>490975000.00000191</v>
      </c>
      <c r="W1378" s="41">
        <v>79166.666666666672</v>
      </c>
      <c r="X1378" s="38">
        <f t="shared" si="126"/>
        <v>0.98195000000000376</v>
      </c>
      <c r="Y1378" s="39">
        <f t="shared" si="127"/>
        <v>1.5833333333333335E-4</v>
      </c>
      <c r="Z1378" s="39">
        <f t="shared" si="131"/>
        <v>1.6126978737851654E-4</v>
      </c>
      <c r="AA1378" s="41">
        <f t="shared" si="128"/>
        <v>9024999.9999980927</v>
      </c>
      <c r="AB1378" s="39">
        <f t="shared" si="129"/>
        <v>8.7719298245632574E-3</v>
      </c>
      <c r="AC1378" s="38">
        <f t="shared" si="130"/>
        <v>0.18029929683274151</v>
      </c>
      <c r="AD1378" s="3"/>
    </row>
    <row r="1379" spans="1:30" x14ac:dyDescent="0.25">
      <c r="A1379" s="37">
        <v>47015</v>
      </c>
      <c r="B1379" s="41">
        <v>20000000</v>
      </c>
      <c r="C1379" s="41">
        <v>0</v>
      </c>
      <c r="D1379" s="41">
        <v>50000000</v>
      </c>
      <c r="E1379" s="41">
        <v>0</v>
      </c>
      <c r="F1379" s="41">
        <v>50000000</v>
      </c>
      <c r="G1379" s="41">
        <v>0</v>
      </c>
      <c r="H1379" s="41">
        <v>50000000</v>
      </c>
      <c r="I1379" s="41">
        <v>0</v>
      </c>
      <c r="J1379" s="41">
        <v>40000000</v>
      </c>
      <c r="K1379" s="41">
        <v>0</v>
      </c>
      <c r="L1379" s="41">
        <v>10000000</v>
      </c>
      <c r="M1379" s="41">
        <v>0</v>
      </c>
      <c r="N1379" s="41">
        <v>111054166.66666859</v>
      </c>
      <c r="O1379" s="41">
        <v>79166.666666666672</v>
      </c>
      <c r="P1379" s="41">
        <v>75000000</v>
      </c>
      <c r="Q1379" s="41">
        <v>0</v>
      </c>
      <c r="R1379" s="41">
        <v>50000000</v>
      </c>
      <c r="S1379" s="41">
        <v>0</v>
      </c>
      <c r="T1379" s="41">
        <v>35000000</v>
      </c>
      <c r="U1379" s="41">
        <v>0</v>
      </c>
      <c r="V1379" s="41">
        <v>491054166.66666859</v>
      </c>
      <c r="W1379" s="41">
        <v>79166.666666666672</v>
      </c>
      <c r="X1379" s="38">
        <f t="shared" si="126"/>
        <v>0.98210833333333714</v>
      </c>
      <c r="Y1379" s="39">
        <f t="shared" si="127"/>
        <v>1.5833333333333335E-4</v>
      </c>
      <c r="Z1379" s="39">
        <f t="shared" si="131"/>
        <v>1.6124378362781478E-4</v>
      </c>
      <c r="AA1379" s="41">
        <f t="shared" si="128"/>
        <v>8945833.3333314061</v>
      </c>
      <c r="AB1379" s="39">
        <f t="shared" si="129"/>
        <v>8.8495575221258001E-3</v>
      </c>
      <c r="AC1379" s="38">
        <f t="shared" si="130"/>
        <v>0.18026498953461506</v>
      </c>
      <c r="AD1379" s="3"/>
    </row>
    <row r="1380" spans="1:30" x14ac:dyDescent="0.25">
      <c r="A1380" s="37">
        <v>47016</v>
      </c>
      <c r="B1380" s="41">
        <v>20000000</v>
      </c>
      <c r="C1380" s="41">
        <v>0</v>
      </c>
      <c r="D1380" s="41">
        <v>50000000</v>
      </c>
      <c r="E1380" s="41">
        <v>0</v>
      </c>
      <c r="F1380" s="41">
        <v>50000000</v>
      </c>
      <c r="G1380" s="41">
        <v>0</v>
      </c>
      <c r="H1380" s="41">
        <v>50000000</v>
      </c>
      <c r="I1380" s="41">
        <v>0</v>
      </c>
      <c r="J1380" s="41">
        <v>40000000</v>
      </c>
      <c r="K1380" s="41">
        <v>0</v>
      </c>
      <c r="L1380" s="41">
        <v>10000000</v>
      </c>
      <c r="M1380" s="41">
        <v>0</v>
      </c>
      <c r="N1380" s="41">
        <v>111133333.3333353</v>
      </c>
      <c r="O1380" s="41">
        <v>79166.666666666672</v>
      </c>
      <c r="P1380" s="41">
        <v>75000000</v>
      </c>
      <c r="Q1380" s="41">
        <v>0</v>
      </c>
      <c r="R1380" s="41">
        <v>50000000</v>
      </c>
      <c r="S1380" s="41">
        <v>0</v>
      </c>
      <c r="T1380" s="41">
        <v>35000000</v>
      </c>
      <c r="U1380" s="41">
        <v>0</v>
      </c>
      <c r="V1380" s="41">
        <v>491133333.33333528</v>
      </c>
      <c r="W1380" s="41">
        <v>79166.666666666672</v>
      </c>
      <c r="X1380" s="38">
        <f t="shared" si="126"/>
        <v>0.98226666666667051</v>
      </c>
      <c r="Y1380" s="39">
        <f t="shared" si="127"/>
        <v>1.5833333333333335E-4</v>
      </c>
      <c r="Z1380" s="39">
        <f t="shared" si="131"/>
        <v>1.6121778826164737E-4</v>
      </c>
      <c r="AA1380" s="41">
        <f t="shared" si="128"/>
        <v>8866666.6666647196</v>
      </c>
      <c r="AB1380" s="39">
        <f t="shared" si="129"/>
        <v>8.92857142857339E-3</v>
      </c>
      <c r="AC1380" s="38">
        <f t="shared" si="130"/>
        <v>0.18023069528997032</v>
      </c>
      <c r="AD1380" s="3"/>
    </row>
    <row r="1381" spans="1:30" x14ac:dyDescent="0.25">
      <c r="A1381" s="37">
        <v>47017</v>
      </c>
      <c r="B1381" s="41">
        <v>20000000</v>
      </c>
      <c r="C1381" s="41">
        <v>0</v>
      </c>
      <c r="D1381" s="41">
        <v>50000000</v>
      </c>
      <c r="E1381" s="41">
        <v>0</v>
      </c>
      <c r="F1381" s="41">
        <v>50000000</v>
      </c>
      <c r="G1381" s="41">
        <v>0</v>
      </c>
      <c r="H1381" s="41">
        <v>50000000</v>
      </c>
      <c r="I1381" s="41">
        <v>0</v>
      </c>
      <c r="J1381" s="41">
        <v>40000000</v>
      </c>
      <c r="K1381" s="41">
        <v>0</v>
      </c>
      <c r="L1381" s="41">
        <v>10000000</v>
      </c>
      <c r="M1381" s="41">
        <v>0</v>
      </c>
      <c r="N1381" s="41">
        <v>111212500.00000191</v>
      </c>
      <c r="O1381" s="41">
        <v>79166.666666666672</v>
      </c>
      <c r="P1381" s="41">
        <v>75000000</v>
      </c>
      <c r="Q1381" s="41">
        <v>0</v>
      </c>
      <c r="R1381" s="41">
        <v>50000000</v>
      </c>
      <c r="S1381" s="41">
        <v>0</v>
      </c>
      <c r="T1381" s="41">
        <v>35000000</v>
      </c>
      <c r="U1381" s="41">
        <v>0</v>
      </c>
      <c r="V1381" s="41">
        <v>491212500.00000191</v>
      </c>
      <c r="W1381" s="41">
        <v>79166.666666666672</v>
      </c>
      <c r="X1381" s="38">
        <f t="shared" si="126"/>
        <v>0.98242500000000377</v>
      </c>
      <c r="Y1381" s="39">
        <f t="shared" si="127"/>
        <v>1.5833333333333335E-4</v>
      </c>
      <c r="Z1381" s="39">
        <f t="shared" si="131"/>
        <v>1.6119180127595974E-4</v>
      </c>
      <c r="AA1381" s="41">
        <f t="shared" si="128"/>
        <v>8787499.9999980927</v>
      </c>
      <c r="AB1381" s="39">
        <f t="shared" si="129"/>
        <v>9.0090090090109657E-3</v>
      </c>
      <c r="AC1381" s="38">
        <f t="shared" si="130"/>
        <v>0.18019641409135875</v>
      </c>
      <c r="AD1381" s="3"/>
    </row>
    <row r="1382" spans="1:30" x14ac:dyDescent="0.25">
      <c r="A1382" s="37">
        <v>47018</v>
      </c>
      <c r="B1382" s="41">
        <v>20000000</v>
      </c>
      <c r="C1382" s="41">
        <v>0</v>
      </c>
      <c r="D1382" s="41">
        <v>50000000</v>
      </c>
      <c r="E1382" s="41">
        <v>0</v>
      </c>
      <c r="F1382" s="41">
        <v>50000000</v>
      </c>
      <c r="G1382" s="41">
        <v>0</v>
      </c>
      <c r="H1382" s="41">
        <v>50000000</v>
      </c>
      <c r="I1382" s="41">
        <v>0</v>
      </c>
      <c r="J1382" s="41">
        <v>40000000</v>
      </c>
      <c r="K1382" s="41">
        <v>0</v>
      </c>
      <c r="L1382" s="41">
        <v>10000000</v>
      </c>
      <c r="M1382" s="41">
        <v>0</v>
      </c>
      <c r="N1382" s="41">
        <v>111291666.66666859</v>
      </c>
      <c r="O1382" s="41">
        <v>79166.666666666672</v>
      </c>
      <c r="P1382" s="41">
        <v>75000000</v>
      </c>
      <c r="Q1382" s="41">
        <v>0</v>
      </c>
      <c r="R1382" s="41">
        <v>50000000</v>
      </c>
      <c r="S1382" s="41">
        <v>0</v>
      </c>
      <c r="T1382" s="41">
        <v>35000000</v>
      </c>
      <c r="U1382" s="41">
        <v>0</v>
      </c>
      <c r="V1382" s="41">
        <v>491291666.66666859</v>
      </c>
      <c r="W1382" s="41">
        <v>79166.666666666672</v>
      </c>
      <c r="X1382" s="38">
        <f t="shared" si="126"/>
        <v>0.98258333333333714</v>
      </c>
      <c r="Y1382" s="39">
        <f t="shared" si="127"/>
        <v>1.5833333333333335E-4</v>
      </c>
      <c r="Z1382" s="39">
        <f t="shared" si="131"/>
        <v>1.6116582266669999E-4</v>
      </c>
      <c r="AA1382" s="41">
        <f t="shared" si="128"/>
        <v>8708333.3333314061</v>
      </c>
      <c r="AB1382" s="39">
        <f t="shared" si="129"/>
        <v>9.0909090909111027E-3</v>
      </c>
      <c r="AC1382" s="38">
        <f t="shared" si="130"/>
        <v>0.18016214593133736</v>
      </c>
      <c r="AD1382" s="3"/>
    </row>
    <row r="1383" spans="1:30" x14ac:dyDescent="0.25">
      <c r="A1383" s="37">
        <v>47019</v>
      </c>
      <c r="B1383" s="41">
        <v>20000000</v>
      </c>
      <c r="C1383" s="41">
        <v>0</v>
      </c>
      <c r="D1383" s="41">
        <v>50000000</v>
      </c>
      <c r="E1383" s="41">
        <v>0</v>
      </c>
      <c r="F1383" s="41">
        <v>50000000</v>
      </c>
      <c r="G1383" s="41">
        <v>0</v>
      </c>
      <c r="H1383" s="41">
        <v>50000000</v>
      </c>
      <c r="I1383" s="41">
        <v>0</v>
      </c>
      <c r="J1383" s="41">
        <v>40000000</v>
      </c>
      <c r="K1383" s="41">
        <v>0</v>
      </c>
      <c r="L1383" s="41">
        <v>10000000</v>
      </c>
      <c r="M1383" s="41">
        <v>0</v>
      </c>
      <c r="N1383" s="41">
        <v>111370833.3333353</v>
      </c>
      <c r="O1383" s="41">
        <v>79166.666666666672</v>
      </c>
      <c r="P1383" s="41">
        <v>75000000</v>
      </c>
      <c r="Q1383" s="41">
        <v>0</v>
      </c>
      <c r="R1383" s="41">
        <v>50000000</v>
      </c>
      <c r="S1383" s="41">
        <v>0</v>
      </c>
      <c r="T1383" s="41">
        <v>35000000</v>
      </c>
      <c r="U1383" s="41">
        <v>0</v>
      </c>
      <c r="V1383" s="41">
        <v>491370833.33333528</v>
      </c>
      <c r="W1383" s="41">
        <v>79166.666666666672</v>
      </c>
      <c r="X1383" s="38">
        <f t="shared" si="126"/>
        <v>0.98274166666667051</v>
      </c>
      <c r="Y1383" s="39">
        <f t="shared" si="127"/>
        <v>1.5833333333333335E-4</v>
      </c>
      <c r="Z1383" s="39">
        <f t="shared" si="131"/>
        <v>1.6113985242981874E-4</v>
      </c>
      <c r="AA1383" s="41">
        <f t="shared" si="128"/>
        <v>8629166.6666647196</v>
      </c>
      <c r="AB1383" s="39">
        <f t="shared" si="129"/>
        <v>9.1743119266075746E-3</v>
      </c>
      <c r="AC1383" s="38">
        <f t="shared" si="130"/>
        <v>0.18012789080246891</v>
      </c>
      <c r="AD1383" s="3"/>
    </row>
    <row r="1384" spans="1:30" x14ac:dyDescent="0.25">
      <c r="A1384" s="37">
        <v>47020</v>
      </c>
      <c r="B1384" s="41">
        <v>20000000</v>
      </c>
      <c r="C1384" s="41">
        <v>0</v>
      </c>
      <c r="D1384" s="41">
        <v>50000000</v>
      </c>
      <c r="E1384" s="41">
        <v>0</v>
      </c>
      <c r="F1384" s="41">
        <v>50000000</v>
      </c>
      <c r="G1384" s="41">
        <v>0</v>
      </c>
      <c r="H1384" s="41">
        <v>50000000</v>
      </c>
      <c r="I1384" s="41">
        <v>0</v>
      </c>
      <c r="J1384" s="41">
        <v>40000000</v>
      </c>
      <c r="K1384" s="41">
        <v>0</v>
      </c>
      <c r="L1384" s="41">
        <v>10000000</v>
      </c>
      <c r="M1384" s="41">
        <v>0</v>
      </c>
      <c r="N1384" s="41">
        <v>111450000.00000191</v>
      </c>
      <c r="O1384" s="41">
        <v>79166.666666666672</v>
      </c>
      <c r="P1384" s="41">
        <v>75000000</v>
      </c>
      <c r="Q1384" s="41">
        <v>0</v>
      </c>
      <c r="R1384" s="41">
        <v>50000000</v>
      </c>
      <c r="S1384" s="41">
        <v>0</v>
      </c>
      <c r="T1384" s="41">
        <v>35000000</v>
      </c>
      <c r="U1384" s="41">
        <v>0</v>
      </c>
      <c r="V1384" s="41">
        <v>491450000.00000191</v>
      </c>
      <c r="W1384" s="41">
        <v>79166.666666666672</v>
      </c>
      <c r="X1384" s="38">
        <f t="shared" si="126"/>
        <v>0.98290000000000377</v>
      </c>
      <c r="Y1384" s="39">
        <f t="shared" si="127"/>
        <v>1.5833333333333335E-4</v>
      </c>
      <c r="Z1384" s="39">
        <f t="shared" si="131"/>
        <v>1.6111389056126929E-4</v>
      </c>
      <c r="AA1384" s="41">
        <f t="shared" si="128"/>
        <v>8549999.9999980927</v>
      </c>
      <c r="AB1384" s="39">
        <f t="shared" si="129"/>
        <v>9.2592592592613248E-3</v>
      </c>
      <c r="AC1384" s="38">
        <f t="shared" si="130"/>
        <v>0.18009364869732178</v>
      </c>
      <c r="AD1384" s="3"/>
    </row>
    <row r="1385" spans="1:30" x14ac:dyDescent="0.25">
      <c r="A1385" s="37">
        <v>47021</v>
      </c>
      <c r="B1385" s="41">
        <v>20000000</v>
      </c>
      <c r="C1385" s="41">
        <v>0</v>
      </c>
      <c r="D1385" s="41">
        <v>50000000</v>
      </c>
      <c r="E1385" s="41">
        <v>0</v>
      </c>
      <c r="F1385" s="41">
        <v>50000000</v>
      </c>
      <c r="G1385" s="41">
        <v>0</v>
      </c>
      <c r="H1385" s="41">
        <v>50000000</v>
      </c>
      <c r="I1385" s="41">
        <v>0</v>
      </c>
      <c r="J1385" s="41">
        <v>40000000</v>
      </c>
      <c r="K1385" s="41">
        <v>0</v>
      </c>
      <c r="L1385" s="41">
        <v>10000000</v>
      </c>
      <c r="M1385" s="41">
        <v>0</v>
      </c>
      <c r="N1385" s="41">
        <v>111529166.66666859</v>
      </c>
      <c r="O1385" s="41">
        <v>79166.666666666672</v>
      </c>
      <c r="P1385" s="41">
        <v>75000000</v>
      </c>
      <c r="Q1385" s="41">
        <v>0</v>
      </c>
      <c r="R1385" s="41">
        <v>50000000</v>
      </c>
      <c r="S1385" s="41">
        <v>0</v>
      </c>
      <c r="T1385" s="41">
        <v>35000000</v>
      </c>
      <c r="U1385" s="41">
        <v>0</v>
      </c>
      <c r="V1385" s="41">
        <v>491529166.66666859</v>
      </c>
      <c r="W1385" s="41">
        <v>79166.666666666672</v>
      </c>
      <c r="X1385" s="38">
        <f t="shared" si="126"/>
        <v>0.98305833333333714</v>
      </c>
      <c r="Y1385" s="39">
        <f t="shared" si="127"/>
        <v>1.5833333333333335E-4</v>
      </c>
      <c r="Z1385" s="39">
        <f t="shared" si="131"/>
        <v>1.6108793705700756E-4</v>
      </c>
      <c r="AA1385" s="41">
        <f t="shared" si="128"/>
        <v>8470833.3333314061</v>
      </c>
      <c r="AB1385" s="39">
        <f t="shared" si="129"/>
        <v>9.3457943925254906E-3</v>
      </c>
      <c r="AC1385" s="38">
        <f t="shared" si="130"/>
        <v>0.18005941960846997</v>
      </c>
      <c r="AD1385" s="3"/>
    </row>
    <row r="1386" spans="1:30" x14ac:dyDescent="0.25">
      <c r="A1386" s="37">
        <v>47022</v>
      </c>
      <c r="B1386" s="41">
        <v>20000000</v>
      </c>
      <c r="C1386" s="41">
        <v>0</v>
      </c>
      <c r="D1386" s="41">
        <v>50000000</v>
      </c>
      <c r="E1386" s="41">
        <v>0</v>
      </c>
      <c r="F1386" s="41">
        <v>50000000</v>
      </c>
      <c r="G1386" s="41">
        <v>0</v>
      </c>
      <c r="H1386" s="41">
        <v>50000000</v>
      </c>
      <c r="I1386" s="41">
        <v>0</v>
      </c>
      <c r="J1386" s="41">
        <v>40000000</v>
      </c>
      <c r="K1386" s="41">
        <v>0</v>
      </c>
      <c r="L1386" s="41">
        <v>10000000</v>
      </c>
      <c r="M1386" s="41">
        <v>0</v>
      </c>
      <c r="N1386" s="41">
        <v>111608333.3333353</v>
      </c>
      <c r="O1386" s="41">
        <v>79166.666666666672</v>
      </c>
      <c r="P1386" s="41">
        <v>75000000</v>
      </c>
      <c r="Q1386" s="41">
        <v>0</v>
      </c>
      <c r="R1386" s="41">
        <v>50000000</v>
      </c>
      <c r="S1386" s="41">
        <v>0</v>
      </c>
      <c r="T1386" s="41">
        <v>35000000</v>
      </c>
      <c r="U1386" s="41">
        <v>0</v>
      </c>
      <c r="V1386" s="41">
        <v>491608333.33333528</v>
      </c>
      <c r="W1386" s="41">
        <v>79166.666666666672</v>
      </c>
      <c r="X1386" s="38">
        <f t="shared" si="126"/>
        <v>0.98321666666667051</v>
      </c>
      <c r="Y1386" s="39">
        <f t="shared" si="127"/>
        <v>1.5833333333333335E-4</v>
      </c>
      <c r="Z1386" s="39">
        <f t="shared" si="131"/>
        <v>1.6106199191299201E-4</v>
      </c>
      <c r="AA1386" s="41">
        <f t="shared" si="128"/>
        <v>8391666.6666647196</v>
      </c>
      <c r="AB1386" s="39">
        <f t="shared" si="129"/>
        <v>9.4339622641531323E-3</v>
      </c>
      <c r="AC1386" s="38">
        <f t="shared" si="130"/>
        <v>0.18002520352849316</v>
      </c>
      <c r="AD1386" s="3"/>
    </row>
    <row r="1387" spans="1:30" x14ac:dyDescent="0.25">
      <c r="A1387" s="37">
        <v>47023</v>
      </c>
      <c r="B1387" s="41">
        <v>20000000</v>
      </c>
      <c r="C1387" s="41">
        <v>0</v>
      </c>
      <c r="D1387" s="41">
        <v>50000000</v>
      </c>
      <c r="E1387" s="41">
        <v>0</v>
      </c>
      <c r="F1387" s="41">
        <v>50000000</v>
      </c>
      <c r="G1387" s="41">
        <v>0</v>
      </c>
      <c r="H1387" s="41">
        <v>50000000</v>
      </c>
      <c r="I1387" s="41">
        <v>0</v>
      </c>
      <c r="J1387" s="41">
        <v>40000000</v>
      </c>
      <c r="K1387" s="41">
        <v>0</v>
      </c>
      <c r="L1387" s="41">
        <v>10000000</v>
      </c>
      <c r="M1387" s="41">
        <v>0</v>
      </c>
      <c r="N1387" s="41">
        <v>111687500.000002</v>
      </c>
      <c r="O1387" s="41">
        <v>79166.666666666672</v>
      </c>
      <c r="P1387" s="41">
        <v>75000000</v>
      </c>
      <c r="Q1387" s="41">
        <v>0</v>
      </c>
      <c r="R1387" s="41">
        <v>50000000</v>
      </c>
      <c r="S1387" s="41">
        <v>0</v>
      </c>
      <c r="T1387" s="41">
        <v>35000000</v>
      </c>
      <c r="U1387" s="41">
        <v>0</v>
      </c>
      <c r="V1387" s="41">
        <v>491687500.00000203</v>
      </c>
      <c r="W1387" s="41">
        <v>79166.666666666672</v>
      </c>
      <c r="X1387" s="38">
        <f t="shared" si="126"/>
        <v>0.98337500000000411</v>
      </c>
      <c r="Y1387" s="39">
        <f t="shared" si="127"/>
        <v>1.5833333333333335E-4</v>
      </c>
      <c r="Z1387" s="39">
        <f t="shared" si="131"/>
        <v>1.6103605512518372E-4</v>
      </c>
      <c r="AA1387" s="41">
        <f t="shared" si="128"/>
        <v>8312499.9999979734</v>
      </c>
      <c r="AB1387" s="39">
        <f t="shared" si="129"/>
        <v>9.5238095238118457E-3</v>
      </c>
      <c r="AC1387" s="38">
        <f t="shared" si="130"/>
        <v>0.17999100044997662</v>
      </c>
      <c r="AD1387" s="3"/>
    </row>
    <row r="1388" spans="1:30" x14ac:dyDescent="0.25">
      <c r="A1388" s="37">
        <v>47024</v>
      </c>
      <c r="B1388" s="41">
        <v>20000000</v>
      </c>
      <c r="C1388" s="41">
        <v>0</v>
      </c>
      <c r="D1388" s="41">
        <v>50000000</v>
      </c>
      <c r="E1388" s="41">
        <v>0</v>
      </c>
      <c r="F1388" s="41">
        <v>50000000</v>
      </c>
      <c r="G1388" s="41">
        <v>0</v>
      </c>
      <c r="H1388" s="41">
        <v>50000000</v>
      </c>
      <c r="I1388" s="41">
        <v>0</v>
      </c>
      <c r="J1388" s="41">
        <v>40000000</v>
      </c>
      <c r="K1388" s="41">
        <v>0</v>
      </c>
      <c r="L1388" s="41">
        <v>10000000</v>
      </c>
      <c r="M1388" s="41">
        <v>0</v>
      </c>
      <c r="N1388" s="41">
        <v>111766666.66666859</v>
      </c>
      <c r="O1388" s="41">
        <v>79166.666666666672</v>
      </c>
      <c r="P1388" s="41">
        <v>75000000</v>
      </c>
      <c r="Q1388" s="41">
        <v>0</v>
      </c>
      <c r="R1388" s="41">
        <v>50000000</v>
      </c>
      <c r="S1388" s="41">
        <v>0</v>
      </c>
      <c r="T1388" s="41">
        <v>35000000</v>
      </c>
      <c r="U1388" s="41">
        <v>0</v>
      </c>
      <c r="V1388" s="41">
        <v>491766666.66666871</v>
      </c>
      <c r="W1388" s="41">
        <v>79166.666666666672</v>
      </c>
      <c r="X1388" s="38">
        <f t="shared" si="126"/>
        <v>0.98353333333333748</v>
      </c>
      <c r="Y1388" s="39">
        <f t="shared" si="127"/>
        <v>1.5833333333333335E-4</v>
      </c>
      <c r="Z1388" s="39">
        <f t="shared" si="131"/>
        <v>1.6101012668954639E-4</v>
      </c>
      <c r="AA1388" s="41">
        <f t="shared" si="128"/>
        <v>8233333.3333312869</v>
      </c>
      <c r="AB1388" s="39">
        <f t="shared" si="129"/>
        <v>9.6153846153870064E-3</v>
      </c>
      <c r="AC1388" s="38">
        <f t="shared" si="130"/>
        <v>0.17995681036551139</v>
      </c>
      <c r="AD1388" s="3"/>
    </row>
    <row r="1389" spans="1:30" x14ac:dyDescent="0.25">
      <c r="A1389" s="37">
        <v>47025</v>
      </c>
      <c r="B1389" s="41">
        <v>20000000</v>
      </c>
      <c r="C1389" s="41">
        <v>0</v>
      </c>
      <c r="D1389" s="41">
        <v>50000000</v>
      </c>
      <c r="E1389" s="41">
        <v>0</v>
      </c>
      <c r="F1389" s="41">
        <v>50000000</v>
      </c>
      <c r="G1389" s="41">
        <v>0</v>
      </c>
      <c r="H1389" s="41">
        <v>50000000</v>
      </c>
      <c r="I1389" s="41">
        <v>0</v>
      </c>
      <c r="J1389" s="41">
        <v>40000000</v>
      </c>
      <c r="K1389" s="41">
        <v>0</v>
      </c>
      <c r="L1389" s="41">
        <v>10000000</v>
      </c>
      <c r="M1389" s="41">
        <v>0</v>
      </c>
      <c r="N1389" s="41">
        <v>111845833.3333353</v>
      </c>
      <c r="O1389" s="41">
        <v>79166.666666666672</v>
      </c>
      <c r="P1389" s="41">
        <v>75000000</v>
      </c>
      <c r="Q1389" s="41">
        <v>0</v>
      </c>
      <c r="R1389" s="41">
        <v>50000000</v>
      </c>
      <c r="S1389" s="41">
        <v>0</v>
      </c>
      <c r="T1389" s="41">
        <v>35000000</v>
      </c>
      <c r="U1389" s="41">
        <v>0</v>
      </c>
      <c r="V1389" s="41">
        <v>491845833.33333528</v>
      </c>
      <c r="W1389" s="41">
        <v>79166.666666666672</v>
      </c>
      <c r="X1389" s="38">
        <f t="shared" si="126"/>
        <v>0.98369166666667052</v>
      </c>
      <c r="Y1389" s="39">
        <f t="shared" si="127"/>
        <v>1.5833333333333335E-4</v>
      </c>
      <c r="Z1389" s="39">
        <f t="shared" si="131"/>
        <v>1.6098420660204637E-4</v>
      </c>
      <c r="AA1389" s="41">
        <f t="shared" si="128"/>
        <v>8154166.6666647196</v>
      </c>
      <c r="AB1389" s="39">
        <f t="shared" si="129"/>
        <v>9.7087378640799884E-3</v>
      </c>
      <c r="AC1389" s="38">
        <f t="shared" si="130"/>
        <v>0.17992263326769406</v>
      </c>
      <c r="AD1389" s="3"/>
    </row>
    <row r="1390" spans="1:30" x14ac:dyDescent="0.25">
      <c r="A1390" s="37">
        <v>47026</v>
      </c>
      <c r="B1390" s="41">
        <v>20000000</v>
      </c>
      <c r="C1390" s="41">
        <v>0</v>
      </c>
      <c r="D1390" s="41">
        <v>50000000</v>
      </c>
      <c r="E1390" s="41">
        <v>0</v>
      </c>
      <c r="F1390" s="41">
        <v>50000000</v>
      </c>
      <c r="G1390" s="41">
        <v>0</v>
      </c>
      <c r="H1390" s="41">
        <v>50000000</v>
      </c>
      <c r="I1390" s="41">
        <v>0</v>
      </c>
      <c r="J1390" s="41">
        <v>40000000</v>
      </c>
      <c r="K1390" s="41">
        <v>0</v>
      </c>
      <c r="L1390" s="41">
        <v>10000000</v>
      </c>
      <c r="M1390" s="41">
        <v>0</v>
      </c>
      <c r="N1390" s="41">
        <v>111925000.000002</v>
      </c>
      <c r="O1390" s="41">
        <v>79166.666666666672</v>
      </c>
      <c r="P1390" s="41">
        <v>75000000</v>
      </c>
      <c r="Q1390" s="41">
        <v>0</v>
      </c>
      <c r="R1390" s="41">
        <v>50000000</v>
      </c>
      <c r="S1390" s="41">
        <v>0</v>
      </c>
      <c r="T1390" s="41">
        <v>35000000</v>
      </c>
      <c r="U1390" s="41">
        <v>0</v>
      </c>
      <c r="V1390" s="41">
        <v>491925000.00000203</v>
      </c>
      <c r="W1390" s="41">
        <v>79166.666666666672</v>
      </c>
      <c r="X1390" s="38">
        <f t="shared" si="126"/>
        <v>0.983850000000004</v>
      </c>
      <c r="Y1390" s="39">
        <f t="shared" si="127"/>
        <v>1.5833333333333335E-4</v>
      </c>
      <c r="Z1390" s="39">
        <f t="shared" si="131"/>
        <v>1.6095829485865258E-4</v>
      </c>
      <c r="AA1390" s="41">
        <f t="shared" si="128"/>
        <v>8074999.9999979734</v>
      </c>
      <c r="AB1390" s="39">
        <f t="shared" si="129"/>
        <v>9.8039215686299124E-3</v>
      </c>
      <c r="AC1390" s="38">
        <f t="shared" si="130"/>
        <v>0.17988846914912668</v>
      </c>
      <c r="AD1390" s="3"/>
    </row>
    <row r="1391" spans="1:30" x14ac:dyDescent="0.25">
      <c r="A1391" s="37">
        <v>47027</v>
      </c>
      <c r="B1391" s="41">
        <v>20000000</v>
      </c>
      <c r="C1391" s="41">
        <v>0</v>
      </c>
      <c r="D1391" s="41">
        <v>50000000</v>
      </c>
      <c r="E1391" s="41">
        <v>0</v>
      </c>
      <c r="F1391" s="41">
        <v>50000000</v>
      </c>
      <c r="G1391" s="41">
        <v>0</v>
      </c>
      <c r="H1391" s="41">
        <v>50000000</v>
      </c>
      <c r="I1391" s="41">
        <v>0</v>
      </c>
      <c r="J1391" s="41">
        <v>40000000</v>
      </c>
      <c r="K1391" s="41">
        <v>0</v>
      </c>
      <c r="L1391" s="41">
        <v>10000000</v>
      </c>
      <c r="M1391" s="41">
        <v>0</v>
      </c>
      <c r="N1391" s="41">
        <v>112004166.66666859</v>
      </c>
      <c r="O1391" s="41">
        <v>79166.666666666672</v>
      </c>
      <c r="P1391" s="41">
        <v>75000000</v>
      </c>
      <c r="Q1391" s="41">
        <v>0</v>
      </c>
      <c r="R1391" s="41">
        <v>50000000</v>
      </c>
      <c r="S1391" s="41">
        <v>0</v>
      </c>
      <c r="T1391" s="41">
        <v>35000000</v>
      </c>
      <c r="U1391" s="41">
        <v>0</v>
      </c>
      <c r="V1391" s="41">
        <v>492004166.66666871</v>
      </c>
      <c r="W1391" s="41">
        <v>79166.666666666672</v>
      </c>
      <c r="X1391" s="38">
        <f t="shared" si="126"/>
        <v>0.98400833333333748</v>
      </c>
      <c r="Y1391" s="39">
        <f t="shared" si="127"/>
        <v>1.5833333333333335E-4</v>
      </c>
      <c r="Z1391" s="39">
        <f t="shared" si="131"/>
        <v>1.6093239145533638E-4</v>
      </c>
      <c r="AA1391" s="41">
        <f t="shared" si="128"/>
        <v>7995833.3333312869</v>
      </c>
      <c r="AB1391" s="39">
        <f t="shared" si="129"/>
        <v>9.9009900990124355E-3</v>
      </c>
      <c r="AC1391" s="38">
        <f t="shared" si="130"/>
        <v>0.17985431800241716</v>
      </c>
      <c r="AD1391" s="3"/>
    </row>
    <row r="1392" spans="1:30" x14ac:dyDescent="0.25">
      <c r="A1392" s="37">
        <v>47028</v>
      </c>
      <c r="B1392" s="41">
        <v>20000000</v>
      </c>
      <c r="C1392" s="41">
        <v>0</v>
      </c>
      <c r="D1392" s="41">
        <v>50000000</v>
      </c>
      <c r="E1392" s="41">
        <v>0</v>
      </c>
      <c r="F1392" s="41">
        <v>50000000</v>
      </c>
      <c r="G1392" s="41">
        <v>0</v>
      </c>
      <c r="H1392" s="41">
        <v>50000000</v>
      </c>
      <c r="I1392" s="41">
        <v>0</v>
      </c>
      <c r="J1392" s="41">
        <v>40000000</v>
      </c>
      <c r="K1392" s="41">
        <v>0</v>
      </c>
      <c r="L1392" s="41">
        <v>10000000</v>
      </c>
      <c r="M1392" s="41">
        <v>0</v>
      </c>
      <c r="N1392" s="41">
        <v>112083333.3333353</v>
      </c>
      <c r="O1392" s="41">
        <v>79166.666666666672</v>
      </c>
      <c r="P1392" s="41">
        <v>75000000</v>
      </c>
      <c r="Q1392" s="41">
        <v>0</v>
      </c>
      <c r="R1392" s="41">
        <v>50000000</v>
      </c>
      <c r="S1392" s="41">
        <v>0</v>
      </c>
      <c r="T1392" s="41">
        <v>35000000</v>
      </c>
      <c r="U1392" s="41">
        <v>0</v>
      </c>
      <c r="V1392" s="41">
        <v>492083333.33333528</v>
      </c>
      <c r="W1392" s="41">
        <v>79166.666666666672</v>
      </c>
      <c r="X1392" s="38">
        <f t="shared" si="126"/>
        <v>0.98416666666667052</v>
      </c>
      <c r="Y1392" s="39">
        <f t="shared" si="127"/>
        <v>1.5833333333333335E-4</v>
      </c>
      <c r="Z1392" s="39">
        <f t="shared" si="131"/>
        <v>1.6090649638807194E-4</v>
      </c>
      <c r="AA1392" s="41">
        <f t="shared" si="128"/>
        <v>7916666.6666647196</v>
      </c>
      <c r="AB1392" s="39">
        <f t="shared" si="129"/>
        <v>1.000000000000246E-2</v>
      </c>
      <c r="AC1392" s="38">
        <f t="shared" si="130"/>
        <v>0.17982017982017898</v>
      </c>
      <c r="AD1392" s="3"/>
    </row>
    <row r="1393" spans="1:30" x14ac:dyDescent="0.25">
      <c r="A1393" s="37">
        <v>47029</v>
      </c>
      <c r="B1393" s="41">
        <v>20000000</v>
      </c>
      <c r="C1393" s="41">
        <v>0</v>
      </c>
      <c r="D1393" s="41">
        <v>50000000</v>
      </c>
      <c r="E1393" s="41">
        <v>0</v>
      </c>
      <c r="F1393" s="41">
        <v>50000000</v>
      </c>
      <c r="G1393" s="41">
        <v>0</v>
      </c>
      <c r="H1393" s="41">
        <v>50000000</v>
      </c>
      <c r="I1393" s="41">
        <v>0</v>
      </c>
      <c r="J1393" s="41">
        <v>40000000</v>
      </c>
      <c r="K1393" s="41">
        <v>0</v>
      </c>
      <c r="L1393" s="41">
        <v>10000000</v>
      </c>
      <c r="M1393" s="41">
        <v>0</v>
      </c>
      <c r="N1393" s="41">
        <v>112162500.000002</v>
      </c>
      <c r="O1393" s="41">
        <v>79166.666666666672</v>
      </c>
      <c r="P1393" s="41">
        <v>75000000</v>
      </c>
      <c r="Q1393" s="41">
        <v>0</v>
      </c>
      <c r="R1393" s="41">
        <v>50000000</v>
      </c>
      <c r="S1393" s="41">
        <v>0</v>
      </c>
      <c r="T1393" s="41">
        <v>35000000</v>
      </c>
      <c r="U1393" s="41">
        <v>0</v>
      </c>
      <c r="V1393" s="41">
        <v>492162500.00000203</v>
      </c>
      <c r="W1393" s="41">
        <v>79166.666666666672</v>
      </c>
      <c r="X1393" s="38">
        <f t="shared" si="126"/>
        <v>0.984325000000004</v>
      </c>
      <c r="Y1393" s="39">
        <f t="shared" si="127"/>
        <v>1.5833333333333335E-4</v>
      </c>
      <c r="Z1393" s="39">
        <f t="shared" si="131"/>
        <v>1.6088060965283596E-4</v>
      </c>
      <c r="AA1393" s="41">
        <f t="shared" si="128"/>
        <v>7837499.9999979734</v>
      </c>
      <c r="AB1393" s="39">
        <f t="shared" si="129"/>
        <v>1.0101010101012713E-2</v>
      </c>
      <c r="AC1393" s="38">
        <f t="shared" si="130"/>
        <v>0.17978605459503103</v>
      </c>
      <c r="AD1393" s="3"/>
    </row>
    <row r="1394" spans="1:30" x14ac:dyDescent="0.25">
      <c r="A1394" s="37">
        <v>47030</v>
      </c>
      <c r="B1394" s="41">
        <v>20000000</v>
      </c>
      <c r="C1394" s="41">
        <v>0</v>
      </c>
      <c r="D1394" s="41">
        <v>50000000</v>
      </c>
      <c r="E1394" s="41">
        <v>0</v>
      </c>
      <c r="F1394" s="41">
        <v>50000000</v>
      </c>
      <c r="G1394" s="41">
        <v>0</v>
      </c>
      <c r="H1394" s="41">
        <v>50000000</v>
      </c>
      <c r="I1394" s="41">
        <v>0</v>
      </c>
      <c r="J1394" s="41">
        <v>40000000</v>
      </c>
      <c r="K1394" s="41">
        <v>0</v>
      </c>
      <c r="L1394" s="41">
        <v>10000000</v>
      </c>
      <c r="M1394" s="41">
        <v>0</v>
      </c>
      <c r="N1394" s="41">
        <v>112241666.6666687</v>
      </c>
      <c r="O1394" s="41">
        <v>79166.666666666672</v>
      </c>
      <c r="P1394" s="41">
        <v>75000000</v>
      </c>
      <c r="Q1394" s="41">
        <v>0</v>
      </c>
      <c r="R1394" s="41">
        <v>50000000</v>
      </c>
      <c r="S1394" s="41">
        <v>0</v>
      </c>
      <c r="T1394" s="41">
        <v>35000000</v>
      </c>
      <c r="U1394" s="41">
        <v>0</v>
      </c>
      <c r="V1394" s="41">
        <v>492241666.66666871</v>
      </c>
      <c r="W1394" s="41">
        <v>79166.666666666672</v>
      </c>
      <c r="X1394" s="38">
        <f t="shared" si="126"/>
        <v>0.98448333333333737</v>
      </c>
      <c r="Y1394" s="39">
        <f t="shared" si="127"/>
        <v>1.5833333333333335E-4</v>
      </c>
      <c r="Z1394" s="39">
        <f t="shared" si="131"/>
        <v>1.6085473124560759E-4</v>
      </c>
      <c r="AA1394" s="41">
        <f t="shared" si="128"/>
        <v>7758333.3333312869</v>
      </c>
      <c r="AB1394" s="39">
        <f t="shared" si="129"/>
        <v>1.0204081632655753E-2</v>
      </c>
      <c r="AC1394" s="38">
        <f t="shared" si="130"/>
        <v>0.17975194231959807</v>
      </c>
      <c r="AD1394" s="3"/>
    </row>
    <row r="1395" spans="1:30" x14ac:dyDescent="0.25">
      <c r="A1395" s="37">
        <v>47031</v>
      </c>
      <c r="B1395" s="41">
        <v>20000000</v>
      </c>
      <c r="C1395" s="41">
        <v>0</v>
      </c>
      <c r="D1395" s="41">
        <v>50000000</v>
      </c>
      <c r="E1395" s="41">
        <v>0</v>
      </c>
      <c r="F1395" s="41">
        <v>50000000</v>
      </c>
      <c r="G1395" s="41">
        <v>0</v>
      </c>
      <c r="H1395" s="41">
        <v>50000000</v>
      </c>
      <c r="I1395" s="41">
        <v>0</v>
      </c>
      <c r="J1395" s="41">
        <v>40000000</v>
      </c>
      <c r="K1395" s="41">
        <v>0</v>
      </c>
      <c r="L1395" s="41">
        <v>10000000</v>
      </c>
      <c r="M1395" s="41">
        <v>0</v>
      </c>
      <c r="N1395" s="41">
        <v>112320833.3333353</v>
      </c>
      <c r="O1395" s="41">
        <v>79166.666666666672</v>
      </c>
      <c r="P1395" s="41">
        <v>75000000</v>
      </c>
      <c r="Q1395" s="41">
        <v>0</v>
      </c>
      <c r="R1395" s="41">
        <v>50000000</v>
      </c>
      <c r="S1395" s="41">
        <v>0</v>
      </c>
      <c r="T1395" s="41">
        <v>35000000</v>
      </c>
      <c r="U1395" s="41">
        <v>0</v>
      </c>
      <c r="V1395" s="41">
        <v>492320833.33333528</v>
      </c>
      <c r="W1395" s="41">
        <v>79166.666666666672</v>
      </c>
      <c r="X1395" s="38">
        <f t="shared" si="126"/>
        <v>0.98464166666667052</v>
      </c>
      <c r="Y1395" s="39">
        <f t="shared" si="127"/>
        <v>1.5833333333333335E-4</v>
      </c>
      <c r="Z1395" s="39">
        <f t="shared" si="131"/>
        <v>1.6082886116236878E-4</v>
      </c>
      <c r="AA1395" s="41">
        <f t="shared" si="128"/>
        <v>7679166.6666647196</v>
      </c>
      <c r="AB1395" s="39">
        <f t="shared" si="129"/>
        <v>1.0309278350518078E-2</v>
      </c>
      <c r="AC1395" s="38">
        <f t="shared" si="130"/>
        <v>0.17971784298651033</v>
      </c>
      <c r="AD1395" s="3"/>
    </row>
    <row r="1396" spans="1:30" x14ac:dyDescent="0.25">
      <c r="A1396" s="37">
        <v>47032</v>
      </c>
      <c r="B1396" s="41">
        <v>20000000</v>
      </c>
      <c r="C1396" s="41">
        <v>0</v>
      </c>
      <c r="D1396" s="41">
        <v>50000000</v>
      </c>
      <c r="E1396" s="41">
        <v>0</v>
      </c>
      <c r="F1396" s="41">
        <v>50000000</v>
      </c>
      <c r="G1396" s="41">
        <v>0</v>
      </c>
      <c r="H1396" s="41">
        <v>50000000</v>
      </c>
      <c r="I1396" s="41">
        <v>0</v>
      </c>
      <c r="J1396" s="41">
        <v>40000000</v>
      </c>
      <c r="K1396" s="41">
        <v>0</v>
      </c>
      <c r="L1396" s="41">
        <v>10000000</v>
      </c>
      <c r="M1396" s="41">
        <v>0</v>
      </c>
      <c r="N1396" s="41">
        <v>112400000.000002</v>
      </c>
      <c r="O1396" s="41">
        <v>79166.666666666672</v>
      </c>
      <c r="P1396" s="41">
        <v>75000000</v>
      </c>
      <c r="Q1396" s="41">
        <v>0</v>
      </c>
      <c r="R1396" s="41">
        <v>50000000</v>
      </c>
      <c r="S1396" s="41">
        <v>0</v>
      </c>
      <c r="T1396" s="41">
        <v>35000000</v>
      </c>
      <c r="U1396" s="41">
        <v>0</v>
      </c>
      <c r="V1396" s="41">
        <v>492400000.00000203</v>
      </c>
      <c r="W1396" s="41">
        <v>79166.666666666672</v>
      </c>
      <c r="X1396" s="38">
        <f t="shared" si="126"/>
        <v>0.98480000000000401</v>
      </c>
      <c r="Y1396" s="39">
        <f t="shared" si="127"/>
        <v>1.5833333333333335E-4</v>
      </c>
      <c r="Z1396" s="39">
        <f t="shared" si="131"/>
        <v>1.6080299939910396E-4</v>
      </c>
      <c r="AA1396" s="41">
        <f t="shared" si="128"/>
        <v>7599999.9999979734</v>
      </c>
      <c r="AB1396" s="39">
        <f t="shared" si="129"/>
        <v>1.0416666666669445E-2</v>
      </c>
      <c r="AC1396" s="38">
        <f t="shared" si="130"/>
        <v>0.17968375658840355</v>
      </c>
      <c r="AD1396" s="3"/>
    </row>
    <row r="1397" spans="1:30" x14ac:dyDescent="0.25">
      <c r="A1397" s="37">
        <v>47033</v>
      </c>
      <c r="B1397" s="41">
        <v>20000000</v>
      </c>
      <c r="C1397" s="41">
        <v>0</v>
      </c>
      <c r="D1397" s="41">
        <v>50000000</v>
      </c>
      <c r="E1397" s="41">
        <v>0</v>
      </c>
      <c r="F1397" s="41">
        <v>50000000</v>
      </c>
      <c r="G1397" s="41">
        <v>0</v>
      </c>
      <c r="H1397" s="41">
        <v>50000000</v>
      </c>
      <c r="I1397" s="41">
        <v>0</v>
      </c>
      <c r="J1397" s="41">
        <v>40000000</v>
      </c>
      <c r="K1397" s="41">
        <v>0</v>
      </c>
      <c r="L1397" s="41">
        <v>10000000</v>
      </c>
      <c r="M1397" s="41">
        <v>0</v>
      </c>
      <c r="N1397" s="41">
        <v>112479166.6666687</v>
      </c>
      <c r="O1397" s="41">
        <v>79166.666666666672</v>
      </c>
      <c r="P1397" s="41">
        <v>75000000</v>
      </c>
      <c r="Q1397" s="41">
        <v>0</v>
      </c>
      <c r="R1397" s="41">
        <v>50000000</v>
      </c>
      <c r="S1397" s="41">
        <v>0</v>
      </c>
      <c r="T1397" s="41">
        <v>35000000</v>
      </c>
      <c r="U1397" s="41">
        <v>0</v>
      </c>
      <c r="V1397" s="41">
        <v>492479166.66666871</v>
      </c>
      <c r="W1397" s="41">
        <v>79166.666666666672</v>
      </c>
      <c r="X1397" s="38">
        <f t="shared" si="126"/>
        <v>0.98495833333333738</v>
      </c>
      <c r="Y1397" s="39">
        <f t="shared" si="127"/>
        <v>1.5833333333333335E-4</v>
      </c>
      <c r="Z1397" s="39">
        <f t="shared" si="131"/>
        <v>1.6077714595180004E-4</v>
      </c>
      <c r="AA1397" s="41">
        <f t="shared" si="128"/>
        <v>7520833.3333312869</v>
      </c>
      <c r="AB1397" s="39">
        <f t="shared" si="129"/>
        <v>1.052631578947655E-2</v>
      </c>
      <c r="AC1397" s="38">
        <f t="shared" si="130"/>
        <v>0.17964968311791918</v>
      </c>
      <c r="AD1397" s="3"/>
    </row>
    <row r="1398" spans="1:30" x14ac:dyDescent="0.25">
      <c r="A1398" s="37">
        <v>47034</v>
      </c>
      <c r="B1398" s="41">
        <v>20000000</v>
      </c>
      <c r="C1398" s="41">
        <v>0</v>
      </c>
      <c r="D1398" s="41">
        <v>50000000</v>
      </c>
      <c r="E1398" s="41">
        <v>0</v>
      </c>
      <c r="F1398" s="41">
        <v>50000000</v>
      </c>
      <c r="G1398" s="41">
        <v>0</v>
      </c>
      <c r="H1398" s="41">
        <v>50000000</v>
      </c>
      <c r="I1398" s="41">
        <v>0</v>
      </c>
      <c r="J1398" s="41">
        <v>40000000</v>
      </c>
      <c r="K1398" s="41">
        <v>0</v>
      </c>
      <c r="L1398" s="41">
        <v>10000000</v>
      </c>
      <c r="M1398" s="41">
        <v>0</v>
      </c>
      <c r="N1398" s="41">
        <v>112558333.3333353</v>
      </c>
      <c r="O1398" s="41">
        <v>79166.666666666672</v>
      </c>
      <c r="P1398" s="41">
        <v>75000000</v>
      </c>
      <c r="Q1398" s="41">
        <v>0</v>
      </c>
      <c r="R1398" s="41">
        <v>50000000</v>
      </c>
      <c r="S1398" s="41">
        <v>0</v>
      </c>
      <c r="T1398" s="41">
        <v>35000000</v>
      </c>
      <c r="U1398" s="41">
        <v>0</v>
      </c>
      <c r="V1398" s="41">
        <v>492558333.33333528</v>
      </c>
      <c r="W1398" s="41">
        <v>79166.666666666672</v>
      </c>
      <c r="X1398" s="38">
        <f t="shared" si="126"/>
        <v>0.98511666666667053</v>
      </c>
      <c r="Y1398" s="39">
        <f t="shared" si="127"/>
        <v>1.5833333333333335E-4</v>
      </c>
      <c r="Z1398" s="39">
        <f t="shared" si="131"/>
        <v>1.6075130081644675E-4</v>
      </c>
      <c r="AA1398" s="41">
        <f t="shared" si="128"/>
        <v>7441666.6666647196</v>
      </c>
      <c r="AB1398" s="39">
        <f t="shared" si="129"/>
        <v>1.063829787234321E-2</v>
      </c>
      <c r="AC1398" s="38">
        <f t="shared" si="130"/>
        <v>0.17961562256770428</v>
      </c>
      <c r="AD1398" s="3"/>
    </row>
    <row r="1399" spans="1:30" x14ac:dyDescent="0.25">
      <c r="A1399" s="37">
        <v>47035</v>
      </c>
      <c r="B1399" s="41">
        <v>20000000</v>
      </c>
      <c r="C1399" s="41">
        <v>0</v>
      </c>
      <c r="D1399" s="41">
        <v>50000000</v>
      </c>
      <c r="E1399" s="41">
        <v>0</v>
      </c>
      <c r="F1399" s="41">
        <v>50000000</v>
      </c>
      <c r="G1399" s="41">
        <v>0</v>
      </c>
      <c r="H1399" s="41">
        <v>50000000</v>
      </c>
      <c r="I1399" s="41">
        <v>0</v>
      </c>
      <c r="J1399" s="41">
        <v>40000000</v>
      </c>
      <c r="K1399" s="41">
        <v>0</v>
      </c>
      <c r="L1399" s="41">
        <v>10000000</v>
      </c>
      <c r="M1399" s="41">
        <v>0</v>
      </c>
      <c r="N1399" s="41">
        <v>112637500.000002</v>
      </c>
      <c r="O1399" s="41">
        <v>79166.666666666672</v>
      </c>
      <c r="P1399" s="41">
        <v>75000000</v>
      </c>
      <c r="Q1399" s="41">
        <v>0</v>
      </c>
      <c r="R1399" s="41">
        <v>50000000</v>
      </c>
      <c r="S1399" s="41">
        <v>0</v>
      </c>
      <c r="T1399" s="41">
        <v>35000000</v>
      </c>
      <c r="U1399" s="41">
        <v>0</v>
      </c>
      <c r="V1399" s="41">
        <v>492637500.00000203</v>
      </c>
      <c r="W1399" s="41">
        <v>79166.666666666672</v>
      </c>
      <c r="X1399" s="38">
        <f t="shared" si="126"/>
        <v>0.98527500000000401</v>
      </c>
      <c r="Y1399" s="39">
        <f t="shared" si="127"/>
        <v>1.5833333333333335E-4</v>
      </c>
      <c r="Z1399" s="39">
        <f t="shared" si="131"/>
        <v>1.607254639890362E-4</v>
      </c>
      <c r="AA1399" s="41">
        <f t="shared" si="128"/>
        <v>7362499.9999979734</v>
      </c>
      <c r="AB1399" s="39">
        <f t="shared" si="129"/>
        <v>1.0752688172045971E-2</v>
      </c>
      <c r="AC1399" s="38">
        <f t="shared" si="130"/>
        <v>0.17958157493041127</v>
      </c>
      <c r="AD1399" s="3"/>
    </row>
    <row r="1400" spans="1:30" x14ac:dyDescent="0.25">
      <c r="A1400" s="37">
        <v>47036</v>
      </c>
      <c r="B1400" s="41">
        <v>20000000</v>
      </c>
      <c r="C1400" s="41">
        <v>0</v>
      </c>
      <c r="D1400" s="41">
        <v>50000000</v>
      </c>
      <c r="E1400" s="41">
        <v>0</v>
      </c>
      <c r="F1400" s="41">
        <v>50000000</v>
      </c>
      <c r="G1400" s="41">
        <v>0</v>
      </c>
      <c r="H1400" s="41">
        <v>50000000</v>
      </c>
      <c r="I1400" s="41">
        <v>0</v>
      </c>
      <c r="J1400" s="41">
        <v>40000000</v>
      </c>
      <c r="K1400" s="41">
        <v>0</v>
      </c>
      <c r="L1400" s="41">
        <v>10000000</v>
      </c>
      <c r="M1400" s="41">
        <v>0</v>
      </c>
      <c r="N1400" s="41">
        <v>112716666.6666687</v>
      </c>
      <c r="O1400" s="41">
        <v>79166.666666666672</v>
      </c>
      <c r="P1400" s="41">
        <v>75000000</v>
      </c>
      <c r="Q1400" s="41">
        <v>0</v>
      </c>
      <c r="R1400" s="41">
        <v>50000000</v>
      </c>
      <c r="S1400" s="41">
        <v>0</v>
      </c>
      <c r="T1400" s="41">
        <v>35000000</v>
      </c>
      <c r="U1400" s="41">
        <v>0</v>
      </c>
      <c r="V1400" s="41">
        <v>492716666.66666871</v>
      </c>
      <c r="W1400" s="41">
        <v>79166.666666666672</v>
      </c>
      <c r="X1400" s="38">
        <f t="shared" si="126"/>
        <v>0.98543333333333738</v>
      </c>
      <c r="Y1400" s="39">
        <f t="shared" si="127"/>
        <v>1.5833333333333335E-4</v>
      </c>
      <c r="Z1400" s="39">
        <f t="shared" si="131"/>
        <v>1.6069963546556311E-4</v>
      </c>
      <c r="AA1400" s="41">
        <f t="shared" si="128"/>
        <v>7283333.3333312869</v>
      </c>
      <c r="AB1400" s="39">
        <f t="shared" si="129"/>
        <v>1.0869565217394359E-2</v>
      </c>
      <c r="AC1400" s="38">
        <f t="shared" si="130"/>
        <v>0.1795475401986984</v>
      </c>
      <c r="AD1400" s="3"/>
    </row>
    <row r="1401" spans="1:30" x14ac:dyDescent="0.25">
      <c r="A1401" s="37">
        <v>47037</v>
      </c>
      <c r="B1401" s="41">
        <v>20000000</v>
      </c>
      <c r="C1401" s="41">
        <v>0</v>
      </c>
      <c r="D1401" s="41">
        <v>50000000</v>
      </c>
      <c r="E1401" s="41">
        <v>0</v>
      </c>
      <c r="F1401" s="41">
        <v>50000000</v>
      </c>
      <c r="G1401" s="41">
        <v>0</v>
      </c>
      <c r="H1401" s="41">
        <v>50000000</v>
      </c>
      <c r="I1401" s="41">
        <v>0</v>
      </c>
      <c r="J1401" s="41">
        <v>40000000</v>
      </c>
      <c r="K1401" s="41">
        <v>0</v>
      </c>
      <c r="L1401" s="41">
        <v>10000000</v>
      </c>
      <c r="M1401" s="41">
        <v>0</v>
      </c>
      <c r="N1401" s="41">
        <v>112795833.3333354</v>
      </c>
      <c r="O1401" s="41">
        <v>79166.666666666672</v>
      </c>
      <c r="P1401" s="41">
        <v>75000000</v>
      </c>
      <c r="Q1401" s="41">
        <v>0</v>
      </c>
      <c r="R1401" s="41">
        <v>50000000</v>
      </c>
      <c r="S1401" s="41">
        <v>0</v>
      </c>
      <c r="T1401" s="41">
        <v>35000000</v>
      </c>
      <c r="U1401" s="41">
        <v>0</v>
      </c>
      <c r="V1401" s="41">
        <v>492795833.33333528</v>
      </c>
      <c r="W1401" s="41">
        <v>79166.666666666672</v>
      </c>
      <c r="X1401" s="38">
        <f t="shared" si="126"/>
        <v>0.98559166666667053</v>
      </c>
      <c r="Y1401" s="39">
        <f t="shared" si="127"/>
        <v>1.5833333333333335E-4</v>
      </c>
      <c r="Z1401" s="39">
        <f t="shared" si="131"/>
        <v>1.6067381524202486E-4</v>
      </c>
      <c r="AA1401" s="41">
        <f t="shared" si="128"/>
        <v>7204166.6666647196</v>
      </c>
      <c r="AB1401" s="39">
        <f t="shared" si="129"/>
        <v>1.098901098901396E-2</v>
      </c>
      <c r="AC1401" s="38">
        <f t="shared" si="130"/>
        <v>0.17951351836522939</v>
      </c>
      <c r="AD1401" s="3"/>
    </row>
    <row r="1402" spans="1:30" x14ac:dyDescent="0.25">
      <c r="A1402" s="37">
        <v>47038</v>
      </c>
      <c r="B1402" s="41">
        <v>20000000</v>
      </c>
      <c r="C1402" s="41">
        <v>0</v>
      </c>
      <c r="D1402" s="41">
        <v>50000000</v>
      </c>
      <c r="E1402" s="41">
        <v>0</v>
      </c>
      <c r="F1402" s="41">
        <v>50000000</v>
      </c>
      <c r="G1402" s="41">
        <v>0</v>
      </c>
      <c r="H1402" s="41">
        <v>50000000</v>
      </c>
      <c r="I1402" s="41">
        <v>0</v>
      </c>
      <c r="J1402" s="41">
        <v>40000000</v>
      </c>
      <c r="K1402" s="41">
        <v>0</v>
      </c>
      <c r="L1402" s="41">
        <v>10000000</v>
      </c>
      <c r="M1402" s="41">
        <v>0</v>
      </c>
      <c r="N1402" s="41">
        <v>112875000.000002</v>
      </c>
      <c r="O1402" s="41">
        <v>79166.666666666672</v>
      </c>
      <c r="P1402" s="41">
        <v>75000000</v>
      </c>
      <c r="Q1402" s="41">
        <v>0</v>
      </c>
      <c r="R1402" s="41">
        <v>50000000</v>
      </c>
      <c r="S1402" s="41">
        <v>0</v>
      </c>
      <c r="T1402" s="41">
        <v>35000000</v>
      </c>
      <c r="U1402" s="41">
        <v>0</v>
      </c>
      <c r="V1402" s="41">
        <v>492875000.00000203</v>
      </c>
      <c r="W1402" s="41">
        <v>79166.666666666672</v>
      </c>
      <c r="X1402" s="38">
        <f t="shared" si="126"/>
        <v>0.98575000000000401</v>
      </c>
      <c r="Y1402" s="39">
        <f t="shared" si="127"/>
        <v>1.5833333333333335E-4</v>
      </c>
      <c r="Z1402" s="39">
        <f t="shared" si="131"/>
        <v>1.6064800331442133E-4</v>
      </c>
      <c r="AA1402" s="41">
        <f t="shared" si="128"/>
        <v>7124999.9999979734</v>
      </c>
      <c r="AB1402" s="39">
        <f t="shared" si="129"/>
        <v>1.1111111111114272E-2</v>
      </c>
      <c r="AC1402" s="38">
        <f t="shared" si="130"/>
        <v>0.17947950942267338</v>
      </c>
      <c r="AD1402" s="3"/>
    </row>
    <row r="1403" spans="1:30" x14ac:dyDescent="0.25">
      <c r="A1403" s="37">
        <v>47039</v>
      </c>
      <c r="B1403" s="41">
        <v>20000000</v>
      </c>
      <c r="C1403" s="41">
        <v>0</v>
      </c>
      <c r="D1403" s="41">
        <v>50000000</v>
      </c>
      <c r="E1403" s="41">
        <v>0</v>
      </c>
      <c r="F1403" s="41">
        <v>50000000</v>
      </c>
      <c r="G1403" s="41">
        <v>0</v>
      </c>
      <c r="H1403" s="41">
        <v>50000000</v>
      </c>
      <c r="I1403" s="41">
        <v>0</v>
      </c>
      <c r="J1403" s="41">
        <v>40000000</v>
      </c>
      <c r="K1403" s="41">
        <v>0</v>
      </c>
      <c r="L1403" s="41">
        <v>10000000</v>
      </c>
      <c r="M1403" s="41">
        <v>0</v>
      </c>
      <c r="N1403" s="41">
        <v>112954166.6666687</v>
      </c>
      <c r="O1403" s="41">
        <v>79166.666666666672</v>
      </c>
      <c r="P1403" s="41">
        <v>75000000</v>
      </c>
      <c r="Q1403" s="41">
        <v>0</v>
      </c>
      <c r="R1403" s="41">
        <v>50000000</v>
      </c>
      <c r="S1403" s="41">
        <v>0</v>
      </c>
      <c r="T1403" s="41">
        <v>35000000</v>
      </c>
      <c r="U1403" s="41">
        <v>0</v>
      </c>
      <c r="V1403" s="41">
        <v>492954166.66666871</v>
      </c>
      <c r="W1403" s="41">
        <v>79166.666666666672</v>
      </c>
      <c r="X1403" s="38">
        <f t="shared" si="126"/>
        <v>0.98590833333333738</v>
      </c>
      <c r="Y1403" s="39">
        <f t="shared" si="127"/>
        <v>1.5833333333333335E-4</v>
      </c>
      <c r="Z1403" s="39">
        <f t="shared" si="131"/>
        <v>1.6062219967875494E-4</v>
      </c>
      <c r="AA1403" s="41">
        <f t="shared" si="128"/>
        <v>7045833.3333312869</v>
      </c>
      <c r="AB1403" s="39">
        <f t="shared" si="129"/>
        <v>1.123595505618304E-2</v>
      </c>
      <c r="AC1403" s="38">
        <f t="shared" si="130"/>
        <v>0.17944551336370526</v>
      </c>
      <c r="AD1403" s="3"/>
    </row>
    <row r="1404" spans="1:30" x14ac:dyDescent="0.25">
      <c r="A1404" s="37">
        <v>47040</v>
      </c>
      <c r="B1404" s="41">
        <v>20000000</v>
      </c>
      <c r="C1404" s="41">
        <v>0</v>
      </c>
      <c r="D1404" s="41">
        <v>50000000</v>
      </c>
      <c r="E1404" s="41">
        <v>0</v>
      </c>
      <c r="F1404" s="41">
        <v>50000000</v>
      </c>
      <c r="G1404" s="41">
        <v>0</v>
      </c>
      <c r="H1404" s="41">
        <v>50000000</v>
      </c>
      <c r="I1404" s="41">
        <v>0</v>
      </c>
      <c r="J1404" s="41">
        <v>40000000</v>
      </c>
      <c r="K1404" s="41">
        <v>0</v>
      </c>
      <c r="L1404" s="41">
        <v>10000000</v>
      </c>
      <c r="M1404" s="41">
        <v>0</v>
      </c>
      <c r="N1404" s="41">
        <v>113033333.3333354</v>
      </c>
      <c r="O1404" s="41">
        <v>79166.666666666672</v>
      </c>
      <c r="P1404" s="41">
        <v>75000000</v>
      </c>
      <c r="Q1404" s="41">
        <v>0</v>
      </c>
      <c r="R1404" s="41">
        <v>50000000</v>
      </c>
      <c r="S1404" s="41">
        <v>0</v>
      </c>
      <c r="T1404" s="41">
        <v>35000000</v>
      </c>
      <c r="U1404" s="41">
        <v>0</v>
      </c>
      <c r="V1404" s="41">
        <v>493033333.3333354</v>
      </c>
      <c r="W1404" s="41">
        <v>79166.666666666672</v>
      </c>
      <c r="X1404" s="38">
        <f t="shared" si="126"/>
        <v>0.98606666666667075</v>
      </c>
      <c r="Y1404" s="39">
        <f t="shared" si="127"/>
        <v>1.5833333333333335E-4</v>
      </c>
      <c r="Z1404" s="39">
        <f t="shared" si="131"/>
        <v>1.6059640433103081E-4</v>
      </c>
      <c r="AA1404" s="41">
        <f t="shared" si="128"/>
        <v>6966666.6666646004</v>
      </c>
      <c r="AB1404" s="39">
        <f t="shared" si="129"/>
        <v>1.1363636363639735E-2</v>
      </c>
      <c r="AC1404" s="38">
        <f t="shared" si="130"/>
        <v>0.17941153018100542</v>
      </c>
      <c r="AD1404" s="3"/>
    </row>
    <row r="1405" spans="1:30" x14ac:dyDescent="0.25">
      <c r="A1405" s="37">
        <v>47041</v>
      </c>
      <c r="B1405" s="41">
        <v>20000000</v>
      </c>
      <c r="C1405" s="41">
        <v>0</v>
      </c>
      <c r="D1405" s="41">
        <v>50000000</v>
      </c>
      <c r="E1405" s="41">
        <v>0</v>
      </c>
      <c r="F1405" s="41">
        <v>50000000</v>
      </c>
      <c r="G1405" s="41">
        <v>0</v>
      </c>
      <c r="H1405" s="41">
        <v>50000000</v>
      </c>
      <c r="I1405" s="41">
        <v>0</v>
      </c>
      <c r="J1405" s="41">
        <v>40000000</v>
      </c>
      <c r="K1405" s="41">
        <v>0</v>
      </c>
      <c r="L1405" s="41">
        <v>10000000</v>
      </c>
      <c r="M1405" s="41">
        <v>0</v>
      </c>
      <c r="N1405" s="41">
        <v>113112500.000002</v>
      </c>
      <c r="O1405" s="41">
        <v>79166.666666666672</v>
      </c>
      <c r="P1405" s="41">
        <v>75000000</v>
      </c>
      <c r="Q1405" s="41">
        <v>0</v>
      </c>
      <c r="R1405" s="41">
        <v>50000000</v>
      </c>
      <c r="S1405" s="41">
        <v>0</v>
      </c>
      <c r="T1405" s="41">
        <v>35000000</v>
      </c>
      <c r="U1405" s="41">
        <v>0</v>
      </c>
      <c r="V1405" s="41">
        <v>493112500.00000203</v>
      </c>
      <c r="W1405" s="41">
        <v>79166.666666666672</v>
      </c>
      <c r="X1405" s="38">
        <f t="shared" si="126"/>
        <v>0.98622500000000402</v>
      </c>
      <c r="Y1405" s="39">
        <f t="shared" si="127"/>
        <v>1.5833333333333335E-4</v>
      </c>
      <c r="Z1405" s="39">
        <f t="shared" si="131"/>
        <v>1.6057061726725645E-4</v>
      </c>
      <c r="AA1405" s="41">
        <f t="shared" si="128"/>
        <v>6887499.9999979734</v>
      </c>
      <c r="AB1405" s="39">
        <f t="shared" si="129"/>
        <v>1.1494252873566601E-2</v>
      </c>
      <c r="AC1405" s="38">
        <f t="shared" si="130"/>
        <v>0.17937755986725973</v>
      </c>
      <c r="AD1405" s="3"/>
    </row>
    <row r="1406" spans="1:30" x14ac:dyDescent="0.25">
      <c r="A1406" s="37">
        <v>47042</v>
      </c>
      <c r="B1406" s="41">
        <v>20000000</v>
      </c>
      <c r="C1406" s="41">
        <v>0</v>
      </c>
      <c r="D1406" s="41">
        <v>50000000</v>
      </c>
      <c r="E1406" s="41">
        <v>0</v>
      </c>
      <c r="F1406" s="41">
        <v>50000000</v>
      </c>
      <c r="G1406" s="41">
        <v>0</v>
      </c>
      <c r="H1406" s="41">
        <v>50000000</v>
      </c>
      <c r="I1406" s="41">
        <v>0</v>
      </c>
      <c r="J1406" s="41">
        <v>40000000</v>
      </c>
      <c r="K1406" s="41">
        <v>0</v>
      </c>
      <c r="L1406" s="41">
        <v>10000000</v>
      </c>
      <c r="M1406" s="41">
        <v>0</v>
      </c>
      <c r="N1406" s="41">
        <v>113191666.6666687</v>
      </c>
      <c r="O1406" s="41">
        <v>79166.666666666672</v>
      </c>
      <c r="P1406" s="41">
        <v>75000000</v>
      </c>
      <c r="Q1406" s="41">
        <v>0</v>
      </c>
      <c r="R1406" s="41">
        <v>50000000</v>
      </c>
      <c r="S1406" s="41">
        <v>0</v>
      </c>
      <c r="T1406" s="41">
        <v>35000000</v>
      </c>
      <c r="U1406" s="41">
        <v>0</v>
      </c>
      <c r="V1406" s="41">
        <v>493191666.66666871</v>
      </c>
      <c r="W1406" s="41">
        <v>79166.666666666672</v>
      </c>
      <c r="X1406" s="38">
        <f t="shared" si="126"/>
        <v>0.98638333333333739</v>
      </c>
      <c r="Y1406" s="39">
        <f t="shared" si="127"/>
        <v>1.5833333333333335E-4</v>
      </c>
      <c r="Z1406" s="39">
        <f t="shared" si="131"/>
        <v>1.6054483848344212E-4</v>
      </c>
      <c r="AA1406" s="41">
        <f t="shared" si="128"/>
        <v>6808333.3333312869</v>
      </c>
      <c r="AB1406" s="39">
        <f t="shared" si="129"/>
        <v>1.1627906976747681E-2</v>
      </c>
      <c r="AC1406" s="38">
        <f t="shared" si="130"/>
        <v>0.17934360241515965</v>
      </c>
      <c r="AD1406" s="3"/>
    </row>
    <row r="1407" spans="1:30" x14ac:dyDescent="0.25">
      <c r="A1407" s="37">
        <v>47043</v>
      </c>
      <c r="B1407" s="41">
        <v>20000000</v>
      </c>
      <c r="C1407" s="41">
        <v>0</v>
      </c>
      <c r="D1407" s="41">
        <v>50000000</v>
      </c>
      <c r="E1407" s="41">
        <v>0</v>
      </c>
      <c r="F1407" s="41">
        <v>50000000</v>
      </c>
      <c r="G1407" s="41">
        <v>0</v>
      </c>
      <c r="H1407" s="41">
        <v>50000000</v>
      </c>
      <c r="I1407" s="41">
        <v>0</v>
      </c>
      <c r="J1407" s="41">
        <v>40000000</v>
      </c>
      <c r="K1407" s="41">
        <v>0</v>
      </c>
      <c r="L1407" s="41">
        <v>10000000</v>
      </c>
      <c r="M1407" s="41">
        <v>0</v>
      </c>
      <c r="N1407" s="41">
        <v>113270833.3333354</v>
      </c>
      <c r="O1407" s="41">
        <v>79166.666666666672</v>
      </c>
      <c r="P1407" s="41">
        <v>75000000</v>
      </c>
      <c r="Q1407" s="41">
        <v>0</v>
      </c>
      <c r="R1407" s="41">
        <v>50000000</v>
      </c>
      <c r="S1407" s="41">
        <v>0</v>
      </c>
      <c r="T1407" s="41">
        <v>35000000</v>
      </c>
      <c r="U1407" s="41">
        <v>0</v>
      </c>
      <c r="V1407" s="41">
        <v>493270833.3333354</v>
      </c>
      <c r="W1407" s="41">
        <v>79166.666666666672</v>
      </c>
      <c r="X1407" s="38">
        <f t="shared" si="126"/>
        <v>0.98654166666667076</v>
      </c>
      <c r="Y1407" s="39">
        <f t="shared" si="127"/>
        <v>1.5833333333333335E-4</v>
      </c>
      <c r="Z1407" s="39">
        <f t="shared" si="131"/>
        <v>1.6051906797560044E-4</v>
      </c>
      <c r="AA1407" s="41">
        <f t="shared" si="128"/>
        <v>6729166.6666646004</v>
      </c>
      <c r="AB1407" s="39">
        <f t="shared" si="129"/>
        <v>1.1764705882356554E-2</v>
      </c>
      <c r="AC1407" s="38">
        <f t="shared" si="130"/>
        <v>0.1793096578174021</v>
      </c>
      <c r="AD1407" s="3"/>
    </row>
    <row r="1408" spans="1:30" x14ac:dyDescent="0.25">
      <c r="A1408" s="37">
        <v>47044</v>
      </c>
      <c r="B1408" s="41">
        <v>20000000</v>
      </c>
      <c r="C1408" s="41">
        <v>0</v>
      </c>
      <c r="D1408" s="41">
        <v>50000000</v>
      </c>
      <c r="E1408" s="41">
        <v>0</v>
      </c>
      <c r="F1408" s="41">
        <v>50000000</v>
      </c>
      <c r="G1408" s="41">
        <v>0</v>
      </c>
      <c r="H1408" s="41">
        <v>50000000</v>
      </c>
      <c r="I1408" s="41">
        <v>0</v>
      </c>
      <c r="J1408" s="41">
        <v>40000000</v>
      </c>
      <c r="K1408" s="41">
        <v>0</v>
      </c>
      <c r="L1408" s="41">
        <v>10000000</v>
      </c>
      <c r="M1408" s="41">
        <v>0</v>
      </c>
      <c r="N1408" s="41">
        <v>113350000.0000021</v>
      </c>
      <c r="O1408" s="41">
        <v>79166.666666666672</v>
      </c>
      <c r="P1408" s="41">
        <v>75000000</v>
      </c>
      <c r="Q1408" s="41">
        <v>0</v>
      </c>
      <c r="R1408" s="41">
        <v>50000000</v>
      </c>
      <c r="S1408" s="41">
        <v>0</v>
      </c>
      <c r="T1408" s="41">
        <v>35000000</v>
      </c>
      <c r="U1408" s="41">
        <v>0</v>
      </c>
      <c r="V1408" s="41">
        <v>493350000.00000203</v>
      </c>
      <c r="W1408" s="41">
        <v>79166.666666666672</v>
      </c>
      <c r="X1408" s="38">
        <f t="shared" si="126"/>
        <v>0.98670000000000402</v>
      </c>
      <c r="Y1408" s="39">
        <f t="shared" si="127"/>
        <v>1.5833333333333335E-4</v>
      </c>
      <c r="Z1408" s="39">
        <f t="shared" si="131"/>
        <v>1.6049330573974678E-4</v>
      </c>
      <c r="AA1408" s="41">
        <f t="shared" si="128"/>
        <v>6649999.9999979734</v>
      </c>
      <c r="AB1408" s="39">
        <f t="shared" si="129"/>
        <v>1.1904761904765533E-2</v>
      </c>
      <c r="AC1408" s="38">
        <f t="shared" si="130"/>
        <v>0.17927572606668971</v>
      </c>
      <c r="AD1408" s="3"/>
    </row>
    <row r="1409" spans="1:30" x14ac:dyDescent="0.25">
      <c r="A1409" s="37">
        <v>47045</v>
      </c>
      <c r="B1409" s="41">
        <v>20000000</v>
      </c>
      <c r="C1409" s="41">
        <v>0</v>
      </c>
      <c r="D1409" s="41">
        <v>50000000</v>
      </c>
      <c r="E1409" s="41">
        <v>0</v>
      </c>
      <c r="F1409" s="41">
        <v>50000000</v>
      </c>
      <c r="G1409" s="41">
        <v>0</v>
      </c>
      <c r="H1409" s="41">
        <v>50000000</v>
      </c>
      <c r="I1409" s="41">
        <v>0</v>
      </c>
      <c r="J1409" s="41">
        <v>40000000</v>
      </c>
      <c r="K1409" s="41">
        <v>0</v>
      </c>
      <c r="L1409" s="41">
        <v>10000000</v>
      </c>
      <c r="M1409" s="41">
        <v>0</v>
      </c>
      <c r="N1409" s="41">
        <v>113429166.6666687</v>
      </c>
      <c r="O1409" s="41">
        <v>79166.666666666672</v>
      </c>
      <c r="P1409" s="41">
        <v>75000000</v>
      </c>
      <c r="Q1409" s="41">
        <v>0</v>
      </c>
      <c r="R1409" s="41">
        <v>50000000</v>
      </c>
      <c r="S1409" s="41">
        <v>0</v>
      </c>
      <c r="T1409" s="41">
        <v>35000000</v>
      </c>
      <c r="U1409" s="41">
        <v>0</v>
      </c>
      <c r="V1409" s="41">
        <v>493429166.66666871</v>
      </c>
      <c r="W1409" s="41">
        <v>79166.666666666672</v>
      </c>
      <c r="X1409" s="38">
        <f t="shared" si="126"/>
        <v>0.98685833333333739</v>
      </c>
      <c r="Y1409" s="39">
        <f t="shared" si="127"/>
        <v>1.5833333333333335E-4</v>
      </c>
      <c r="Z1409" s="39">
        <f t="shared" si="131"/>
        <v>1.6046755177189894E-4</v>
      </c>
      <c r="AA1409" s="41">
        <f t="shared" si="128"/>
        <v>6570833.3333312869</v>
      </c>
      <c r="AB1409" s="39">
        <f t="shared" si="129"/>
        <v>1.204819277108809E-2</v>
      </c>
      <c r="AC1409" s="38">
        <f t="shared" si="130"/>
        <v>0.17924180715573038</v>
      </c>
      <c r="AD1409" s="3"/>
    </row>
    <row r="1410" spans="1:30" x14ac:dyDescent="0.25">
      <c r="A1410" s="37">
        <v>47046</v>
      </c>
      <c r="B1410" s="41">
        <v>20000000</v>
      </c>
      <c r="C1410" s="41">
        <v>0</v>
      </c>
      <c r="D1410" s="41">
        <v>50000000</v>
      </c>
      <c r="E1410" s="41">
        <v>0</v>
      </c>
      <c r="F1410" s="41">
        <v>50000000</v>
      </c>
      <c r="G1410" s="41">
        <v>0</v>
      </c>
      <c r="H1410" s="41">
        <v>50000000</v>
      </c>
      <c r="I1410" s="41">
        <v>0</v>
      </c>
      <c r="J1410" s="41">
        <v>40000000</v>
      </c>
      <c r="K1410" s="41">
        <v>0</v>
      </c>
      <c r="L1410" s="41">
        <v>10000000</v>
      </c>
      <c r="M1410" s="41">
        <v>0</v>
      </c>
      <c r="N1410" s="41">
        <v>113508333.3333354</v>
      </c>
      <c r="O1410" s="41">
        <v>79166.666666666672</v>
      </c>
      <c r="P1410" s="41">
        <v>75000000</v>
      </c>
      <c r="Q1410" s="41">
        <v>0</v>
      </c>
      <c r="R1410" s="41">
        <v>50000000</v>
      </c>
      <c r="S1410" s="41">
        <v>0</v>
      </c>
      <c r="T1410" s="41">
        <v>35000000</v>
      </c>
      <c r="U1410" s="41">
        <v>0</v>
      </c>
      <c r="V1410" s="41">
        <v>493508333.3333354</v>
      </c>
      <c r="W1410" s="41">
        <v>79166.666666666672</v>
      </c>
      <c r="X1410" s="38">
        <f t="shared" si="126"/>
        <v>0.98701666666667076</v>
      </c>
      <c r="Y1410" s="39">
        <f t="shared" si="127"/>
        <v>1.5833333333333335E-4</v>
      </c>
      <c r="Z1410" s="39">
        <f t="shared" si="131"/>
        <v>1.6044180606807735E-4</v>
      </c>
      <c r="AA1410" s="41">
        <f t="shared" si="128"/>
        <v>6491666.6666646004</v>
      </c>
      <c r="AB1410" s="39">
        <f t="shared" si="129"/>
        <v>1.2195121951223395E-2</v>
      </c>
      <c r="AC1410" s="38">
        <f t="shared" si="130"/>
        <v>0.17920790107723772</v>
      </c>
      <c r="AD1410" s="3"/>
    </row>
    <row r="1411" spans="1:30" x14ac:dyDescent="0.25">
      <c r="A1411" s="37">
        <v>47047</v>
      </c>
      <c r="B1411" s="41">
        <v>20000000</v>
      </c>
      <c r="C1411" s="41">
        <v>0</v>
      </c>
      <c r="D1411" s="41">
        <v>50000000</v>
      </c>
      <c r="E1411" s="41">
        <v>0</v>
      </c>
      <c r="F1411" s="41">
        <v>50000000</v>
      </c>
      <c r="G1411" s="41">
        <v>0</v>
      </c>
      <c r="H1411" s="41">
        <v>50000000</v>
      </c>
      <c r="I1411" s="41">
        <v>0</v>
      </c>
      <c r="J1411" s="41">
        <v>40000000</v>
      </c>
      <c r="K1411" s="41">
        <v>0</v>
      </c>
      <c r="L1411" s="41">
        <v>10000000</v>
      </c>
      <c r="M1411" s="41">
        <v>0</v>
      </c>
      <c r="N1411" s="41">
        <v>113587500.0000021</v>
      </c>
      <c r="O1411" s="41">
        <v>79166.666666666672</v>
      </c>
      <c r="P1411" s="41">
        <v>75000000</v>
      </c>
      <c r="Q1411" s="41">
        <v>0</v>
      </c>
      <c r="R1411" s="41">
        <v>50000000</v>
      </c>
      <c r="S1411" s="41">
        <v>0</v>
      </c>
      <c r="T1411" s="41">
        <v>35000000</v>
      </c>
      <c r="U1411" s="41">
        <v>0</v>
      </c>
      <c r="V1411" s="41">
        <v>493587500.00000209</v>
      </c>
      <c r="W1411" s="41">
        <v>79166.666666666672</v>
      </c>
      <c r="X1411" s="38">
        <f t="shared" si="126"/>
        <v>0.98717500000000413</v>
      </c>
      <c r="Y1411" s="39">
        <f t="shared" si="127"/>
        <v>1.5833333333333335E-4</v>
      </c>
      <c r="Z1411" s="39">
        <f t="shared" si="131"/>
        <v>1.6041606862430492E-4</v>
      </c>
      <c r="AA1411" s="41">
        <f t="shared" si="128"/>
        <v>6412499.9999979138</v>
      </c>
      <c r="AB1411" s="39">
        <f t="shared" si="129"/>
        <v>1.2345679012349696E-2</v>
      </c>
      <c r="AC1411" s="38">
        <f t="shared" si="130"/>
        <v>0.17917400782393078</v>
      </c>
      <c r="AD1411" s="3"/>
    </row>
    <row r="1412" spans="1:30" x14ac:dyDescent="0.25">
      <c r="A1412" s="37">
        <v>47048</v>
      </c>
      <c r="B1412" s="41">
        <v>20000000</v>
      </c>
      <c r="C1412" s="41">
        <v>0</v>
      </c>
      <c r="D1412" s="41">
        <v>50000000</v>
      </c>
      <c r="E1412" s="41">
        <v>0</v>
      </c>
      <c r="F1412" s="41">
        <v>50000000</v>
      </c>
      <c r="G1412" s="41">
        <v>0</v>
      </c>
      <c r="H1412" s="41">
        <v>50000000</v>
      </c>
      <c r="I1412" s="41">
        <v>0</v>
      </c>
      <c r="J1412" s="41">
        <v>40000000</v>
      </c>
      <c r="K1412" s="41">
        <v>0</v>
      </c>
      <c r="L1412" s="41">
        <v>10000000</v>
      </c>
      <c r="M1412" s="41">
        <v>0</v>
      </c>
      <c r="N1412" s="41">
        <v>113666666.6666687</v>
      </c>
      <c r="O1412" s="41">
        <v>79166.666666666672</v>
      </c>
      <c r="P1412" s="41">
        <v>75000000</v>
      </c>
      <c r="Q1412" s="41">
        <v>0</v>
      </c>
      <c r="R1412" s="41">
        <v>50000000</v>
      </c>
      <c r="S1412" s="41">
        <v>0</v>
      </c>
      <c r="T1412" s="41">
        <v>35000000</v>
      </c>
      <c r="U1412" s="41">
        <v>0</v>
      </c>
      <c r="V1412" s="41">
        <v>493666666.66666877</v>
      </c>
      <c r="W1412" s="41">
        <v>79166.666666666672</v>
      </c>
      <c r="X1412" s="38">
        <f t="shared" si="126"/>
        <v>0.9873333333333375</v>
      </c>
      <c r="Y1412" s="39">
        <f t="shared" si="127"/>
        <v>1.5833333333333335E-4</v>
      </c>
      <c r="Z1412" s="39">
        <f t="shared" si="131"/>
        <v>1.6039033943660716E-4</v>
      </c>
      <c r="AA1412" s="41">
        <f t="shared" si="128"/>
        <v>6333333.3333312273</v>
      </c>
      <c r="AB1412" s="39">
        <f t="shared" si="129"/>
        <v>1.2500000000004157E-2</v>
      </c>
      <c r="AC1412" s="38">
        <f t="shared" si="130"/>
        <v>0.17914012738853413</v>
      </c>
      <c r="AD1412" s="3"/>
    </row>
    <row r="1413" spans="1:30" x14ac:dyDescent="0.25">
      <c r="A1413" s="37">
        <v>47049</v>
      </c>
      <c r="B1413" s="41">
        <v>20000000</v>
      </c>
      <c r="C1413" s="41">
        <v>0</v>
      </c>
      <c r="D1413" s="41">
        <v>50000000</v>
      </c>
      <c r="E1413" s="41">
        <v>0</v>
      </c>
      <c r="F1413" s="41">
        <v>50000000</v>
      </c>
      <c r="G1413" s="41">
        <v>0</v>
      </c>
      <c r="H1413" s="41">
        <v>50000000</v>
      </c>
      <c r="I1413" s="41">
        <v>0</v>
      </c>
      <c r="J1413" s="41">
        <v>40000000</v>
      </c>
      <c r="K1413" s="41">
        <v>0</v>
      </c>
      <c r="L1413" s="41">
        <v>10000000</v>
      </c>
      <c r="M1413" s="41">
        <v>0</v>
      </c>
      <c r="N1413" s="41">
        <v>113745833.3333354</v>
      </c>
      <c r="O1413" s="41">
        <v>79166.666666666672</v>
      </c>
      <c r="P1413" s="41">
        <v>75000000</v>
      </c>
      <c r="Q1413" s="41">
        <v>0</v>
      </c>
      <c r="R1413" s="41">
        <v>50000000</v>
      </c>
      <c r="S1413" s="41">
        <v>0</v>
      </c>
      <c r="T1413" s="41">
        <v>35000000</v>
      </c>
      <c r="U1413" s="41">
        <v>0</v>
      </c>
      <c r="V1413" s="41">
        <v>493745833.3333354</v>
      </c>
      <c r="W1413" s="41">
        <v>79166.666666666672</v>
      </c>
      <c r="X1413" s="38">
        <f t="shared" si="126"/>
        <v>0.98749166666667076</v>
      </c>
      <c r="Y1413" s="39">
        <f t="shared" si="127"/>
        <v>1.5833333333333335E-4</v>
      </c>
      <c r="Z1413" s="39">
        <f t="shared" si="131"/>
        <v>1.6036461850101215E-4</v>
      </c>
      <c r="AA1413" s="41">
        <f t="shared" si="128"/>
        <v>6254166.6666646004</v>
      </c>
      <c r="AB1413" s="39">
        <f t="shared" si="129"/>
        <v>1.2658227848105448E-2</v>
      </c>
      <c r="AC1413" s="38">
        <f t="shared" si="130"/>
        <v>0.17910625976377786</v>
      </c>
      <c r="AD1413" s="3"/>
    </row>
    <row r="1414" spans="1:30" x14ac:dyDescent="0.25">
      <c r="A1414" s="37">
        <v>47050</v>
      </c>
      <c r="B1414" s="41">
        <v>20000000</v>
      </c>
      <c r="C1414" s="41">
        <v>0</v>
      </c>
      <c r="D1414" s="41">
        <v>50000000</v>
      </c>
      <c r="E1414" s="41">
        <v>0</v>
      </c>
      <c r="F1414" s="41">
        <v>50000000</v>
      </c>
      <c r="G1414" s="41">
        <v>0</v>
      </c>
      <c r="H1414" s="41">
        <v>50000000</v>
      </c>
      <c r="I1414" s="41">
        <v>0</v>
      </c>
      <c r="J1414" s="41">
        <v>40000000</v>
      </c>
      <c r="K1414" s="41">
        <v>0</v>
      </c>
      <c r="L1414" s="41">
        <v>10000000</v>
      </c>
      <c r="M1414" s="41">
        <v>0</v>
      </c>
      <c r="N1414" s="41">
        <v>113825000.0000021</v>
      </c>
      <c r="O1414" s="41">
        <v>79166.666666666672</v>
      </c>
      <c r="P1414" s="41">
        <v>75000000</v>
      </c>
      <c r="Q1414" s="41">
        <v>0</v>
      </c>
      <c r="R1414" s="41">
        <v>50000000</v>
      </c>
      <c r="S1414" s="41">
        <v>0</v>
      </c>
      <c r="T1414" s="41">
        <v>35000000</v>
      </c>
      <c r="U1414" s="41">
        <v>0</v>
      </c>
      <c r="V1414" s="41">
        <v>493825000.00000209</v>
      </c>
      <c r="W1414" s="41">
        <v>79166.666666666672</v>
      </c>
      <c r="X1414" s="38">
        <f t="shared" si="126"/>
        <v>0.98765000000000414</v>
      </c>
      <c r="Y1414" s="39">
        <f t="shared" si="127"/>
        <v>1.5833333333333335E-4</v>
      </c>
      <c r="Z1414" s="39">
        <f t="shared" si="131"/>
        <v>1.6033890581355052E-4</v>
      </c>
      <c r="AA1414" s="41">
        <f t="shared" si="128"/>
        <v>6174999.9999979138</v>
      </c>
      <c r="AB1414" s="39">
        <f t="shared" si="129"/>
        <v>1.2820512820517153E-2</v>
      </c>
      <c r="AC1414" s="38">
        <f t="shared" si="130"/>
        <v>0.17907240494239748</v>
      </c>
      <c r="AD1414" s="3"/>
    </row>
    <row r="1415" spans="1:30" x14ac:dyDescent="0.25">
      <c r="A1415" s="37">
        <v>47051</v>
      </c>
      <c r="B1415" s="41">
        <v>20000000</v>
      </c>
      <c r="C1415" s="41">
        <v>0</v>
      </c>
      <c r="D1415" s="41">
        <v>50000000</v>
      </c>
      <c r="E1415" s="41">
        <v>0</v>
      </c>
      <c r="F1415" s="41">
        <v>50000000</v>
      </c>
      <c r="G1415" s="41">
        <v>0</v>
      </c>
      <c r="H1415" s="41">
        <v>50000000</v>
      </c>
      <c r="I1415" s="41">
        <v>0</v>
      </c>
      <c r="J1415" s="41">
        <v>40000000</v>
      </c>
      <c r="K1415" s="41">
        <v>0</v>
      </c>
      <c r="L1415" s="41">
        <v>10000000</v>
      </c>
      <c r="M1415" s="41">
        <v>0</v>
      </c>
      <c r="N1415" s="41">
        <v>113904166.6666688</v>
      </c>
      <c r="O1415" s="41">
        <v>79166.666666666672</v>
      </c>
      <c r="P1415" s="41">
        <v>75000000</v>
      </c>
      <c r="Q1415" s="41">
        <v>0</v>
      </c>
      <c r="R1415" s="41">
        <v>50000000</v>
      </c>
      <c r="S1415" s="41">
        <v>0</v>
      </c>
      <c r="T1415" s="41">
        <v>35000000</v>
      </c>
      <c r="U1415" s="41">
        <v>0</v>
      </c>
      <c r="V1415" s="41">
        <v>493904166.66666877</v>
      </c>
      <c r="W1415" s="41">
        <v>79166.666666666672</v>
      </c>
      <c r="X1415" s="38">
        <f t="shared" si="126"/>
        <v>0.98780833333333751</v>
      </c>
      <c r="Y1415" s="39">
        <f t="shared" si="127"/>
        <v>1.5833333333333335E-4</v>
      </c>
      <c r="Z1415" s="39">
        <f t="shared" si="131"/>
        <v>1.6031320137025533E-4</v>
      </c>
      <c r="AA1415" s="41">
        <f t="shared" si="128"/>
        <v>6095833.3333312273</v>
      </c>
      <c r="AB1415" s="39">
        <f t="shared" si="129"/>
        <v>1.2987012987017474E-2</v>
      </c>
      <c r="AC1415" s="38">
        <f t="shared" si="130"/>
        <v>0.17903856291713408</v>
      </c>
      <c r="AD1415" s="3"/>
    </row>
    <row r="1416" spans="1:30" x14ac:dyDescent="0.25">
      <c r="A1416" s="37">
        <v>47052</v>
      </c>
      <c r="B1416" s="41">
        <v>20000000</v>
      </c>
      <c r="C1416" s="41">
        <v>0</v>
      </c>
      <c r="D1416" s="41">
        <v>50000000</v>
      </c>
      <c r="E1416" s="41">
        <v>0</v>
      </c>
      <c r="F1416" s="41">
        <v>50000000</v>
      </c>
      <c r="G1416" s="41">
        <v>0</v>
      </c>
      <c r="H1416" s="41">
        <v>50000000</v>
      </c>
      <c r="I1416" s="41">
        <v>0</v>
      </c>
      <c r="J1416" s="41">
        <v>40000000</v>
      </c>
      <c r="K1416" s="41">
        <v>0</v>
      </c>
      <c r="L1416" s="41">
        <v>10000000</v>
      </c>
      <c r="M1416" s="41">
        <v>0</v>
      </c>
      <c r="N1416" s="41">
        <v>113983333.3333354</v>
      </c>
      <c r="O1416" s="41">
        <v>79166.666666666672</v>
      </c>
      <c r="P1416" s="41">
        <v>75000000</v>
      </c>
      <c r="Q1416" s="41">
        <v>0</v>
      </c>
      <c r="R1416" s="41">
        <v>50000000</v>
      </c>
      <c r="S1416" s="41">
        <v>0</v>
      </c>
      <c r="T1416" s="41">
        <v>35000000</v>
      </c>
      <c r="U1416" s="41">
        <v>0</v>
      </c>
      <c r="V1416" s="41">
        <v>493983333.3333354</v>
      </c>
      <c r="W1416" s="41">
        <v>79166.666666666672</v>
      </c>
      <c r="X1416" s="38">
        <f t="shared" si="126"/>
        <v>0.98796666666667077</v>
      </c>
      <c r="Y1416" s="39">
        <f t="shared" si="127"/>
        <v>1.5833333333333335E-4</v>
      </c>
      <c r="Z1416" s="39">
        <f t="shared" si="131"/>
        <v>1.6028750516716231E-4</v>
      </c>
      <c r="AA1416" s="41">
        <f t="shared" si="128"/>
        <v>6016666.6666646004</v>
      </c>
      <c r="AB1416" s="39">
        <f t="shared" si="129"/>
        <v>1.3157894736846625E-2</v>
      </c>
      <c r="AC1416" s="38">
        <f t="shared" si="130"/>
        <v>0.17900473368073422</v>
      </c>
      <c r="AD1416" s="3"/>
    </row>
    <row r="1417" spans="1:30" x14ac:dyDescent="0.25">
      <c r="A1417" s="37">
        <v>47053</v>
      </c>
      <c r="B1417" s="41">
        <v>20000000</v>
      </c>
      <c r="C1417" s="41">
        <v>0</v>
      </c>
      <c r="D1417" s="41">
        <v>50000000</v>
      </c>
      <c r="E1417" s="41">
        <v>0</v>
      </c>
      <c r="F1417" s="41">
        <v>50000000</v>
      </c>
      <c r="G1417" s="41">
        <v>0</v>
      </c>
      <c r="H1417" s="41">
        <v>50000000</v>
      </c>
      <c r="I1417" s="41">
        <v>0</v>
      </c>
      <c r="J1417" s="41">
        <v>40000000</v>
      </c>
      <c r="K1417" s="41">
        <v>0</v>
      </c>
      <c r="L1417" s="41">
        <v>10000000</v>
      </c>
      <c r="M1417" s="41">
        <v>0</v>
      </c>
      <c r="N1417" s="41">
        <v>114062500.0000021</v>
      </c>
      <c r="O1417" s="41">
        <v>79166.666666666672</v>
      </c>
      <c r="P1417" s="41">
        <v>75000000</v>
      </c>
      <c r="Q1417" s="41">
        <v>0</v>
      </c>
      <c r="R1417" s="41">
        <v>50000000</v>
      </c>
      <c r="S1417" s="41">
        <v>0</v>
      </c>
      <c r="T1417" s="41">
        <v>35000000</v>
      </c>
      <c r="U1417" s="41">
        <v>0</v>
      </c>
      <c r="V1417" s="41">
        <v>494062500.00000209</v>
      </c>
      <c r="W1417" s="41">
        <v>79166.666666666672</v>
      </c>
      <c r="X1417" s="38">
        <f t="shared" si="126"/>
        <v>0.98812500000000414</v>
      </c>
      <c r="Y1417" s="39">
        <f t="shared" si="127"/>
        <v>1.5833333333333335E-4</v>
      </c>
      <c r="Z1417" s="39">
        <f t="shared" si="131"/>
        <v>1.6026181720030973E-4</v>
      </c>
      <c r="AA1417" s="41">
        <f t="shared" si="128"/>
        <v>5937499.9999979138</v>
      </c>
      <c r="AB1417" s="39">
        <f t="shared" si="129"/>
        <v>1.333333333333802E-2</v>
      </c>
      <c r="AC1417" s="38">
        <f t="shared" si="130"/>
        <v>0.1789709172259499</v>
      </c>
      <c r="AD1417" s="3"/>
    </row>
    <row r="1418" spans="1:30" x14ac:dyDescent="0.25">
      <c r="A1418" s="37">
        <v>47054</v>
      </c>
      <c r="B1418" s="41">
        <v>20000000</v>
      </c>
      <c r="C1418" s="41">
        <v>0</v>
      </c>
      <c r="D1418" s="41">
        <v>50000000</v>
      </c>
      <c r="E1418" s="41">
        <v>0</v>
      </c>
      <c r="F1418" s="41">
        <v>50000000</v>
      </c>
      <c r="G1418" s="41">
        <v>0</v>
      </c>
      <c r="H1418" s="41">
        <v>50000000</v>
      </c>
      <c r="I1418" s="41">
        <v>0</v>
      </c>
      <c r="J1418" s="41">
        <v>40000000</v>
      </c>
      <c r="K1418" s="41">
        <v>0</v>
      </c>
      <c r="L1418" s="41">
        <v>10000000</v>
      </c>
      <c r="M1418" s="41">
        <v>0</v>
      </c>
      <c r="N1418" s="41">
        <v>114141666.6666688</v>
      </c>
      <c r="O1418" s="41">
        <v>79166.666666666672</v>
      </c>
      <c r="P1418" s="41">
        <v>75000000</v>
      </c>
      <c r="Q1418" s="41">
        <v>0</v>
      </c>
      <c r="R1418" s="41">
        <v>50000000</v>
      </c>
      <c r="S1418" s="41">
        <v>0</v>
      </c>
      <c r="T1418" s="41">
        <v>35000000</v>
      </c>
      <c r="U1418" s="41">
        <v>0</v>
      </c>
      <c r="V1418" s="41">
        <v>494141666.66666877</v>
      </c>
      <c r="W1418" s="41">
        <v>79166.666666666672</v>
      </c>
      <c r="X1418" s="38">
        <f t="shared" si="126"/>
        <v>0.98828333333333751</v>
      </c>
      <c r="Y1418" s="39">
        <f t="shared" si="127"/>
        <v>1.5833333333333335E-4</v>
      </c>
      <c r="Z1418" s="39">
        <f t="shared" si="131"/>
        <v>1.6023613746573833E-4</v>
      </c>
      <c r="AA1418" s="41">
        <f t="shared" si="128"/>
        <v>5858333.3333312273</v>
      </c>
      <c r="AB1418" s="39">
        <f t="shared" si="129"/>
        <v>1.3513513513518373E-2</v>
      </c>
      <c r="AC1418" s="38">
        <f t="shared" si="130"/>
        <v>0.1789371135455386</v>
      </c>
      <c r="AD1418" s="3"/>
    </row>
    <row r="1419" spans="1:30" x14ac:dyDescent="0.25">
      <c r="A1419" s="37">
        <v>47055</v>
      </c>
      <c r="B1419" s="41">
        <v>20000000</v>
      </c>
      <c r="C1419" s="41">
        <v>0</v>
      </c>
      <c r="D1419" s="41">
        <v>50000000</v>
      </c>
      <c r="E1419" s="41">
        <v>0</v>
      </c>
      <c r="F1419" s="41">
        <v>50000000</v>
      </c>
      <c r="G1419" s="41">
        <v>0</v>
      </c>
      <c r="H1419" s="41">
        <v>50000000</v>
      </c>
      <c r="I1419" s="41">
        <v>0</v>
      </c>
      <c r="J1419" s="41">
        <v>40000000</v>
      </c>
      <c r="K1419" s="41">
        <v>0</v>
      </c>
      <c r="L1419" s="41">
        <v>10000000</v>
      </c>
      <c r="M1419" s="41">
        <v>0</v>
      </c>
      <c r="N1419" s="41">
        <v>114220833.3333354</v>
      </c>
      <c r="O1419" s="41">
        <v>79166.666666666672</v>
      </c>
      <c r="P1419" s="41">
        <v>75000000</v>
      </c>
      <c r="Q1419" s="41">
        <v>0</v>
      </c>
      <c r="R1419" s="41">
        <v>50000000</v>
      </c>
      <c r="S1419" s="41">
        <v>0</v>
      </c>
      <c r="T1419" s="41">
        <v>35000000</v>
      </c>
      <c r="U1419" s="41">
        <v>0</v>
      </c>
      <c r="V1419" s="41">
        <v>494220833.33333552</v>
      </c>
      <c r="W1419" s="41">
        <v>79166.666666666672</v>
      </c>
      <c r="X1419" s="38">
        <f t="shared" si="126"/>
        <v>0.98844166666667099</v>
      </c>
      <c r="Y1419" s="39">
        <f t="shared" si="127"/>
        <v>1.5833333333333335E-4</v>
      </c>
      <c r="Z1419" s="39">
        <f t="shared" si="131"/>
        <v>1.6021046595949138E-4</v>
      </c>
      <c r="AA1419" s="41">
        <f t="shared" si="128"/>
        <v>5779166.6666644812</v>
      </c>
      <c r="AB1419" s="39">
        <f t="shared" si="129"/>
        <v>1.3698630136991482E-2</v>
      </c>
      <c r="AC1419" s="38">
        <f t="shared" si="130"/>
        <v>0.1789033226322633</v>
      </c>
      <c r="AD1419" s="3"/>
    </row>
    <row r="1420" spans="1:30" x14ac:dyDescent="0.25">
      <c r="A1420" s="37">
        <v>47056</v>
      </c>
      <c r="B1420" s="41">
        <v>20000000</v>
      </c>
      <c r="C1420" s="41">
        <v>0</v>
      </c>
      <c r="D1420" s="41">
        <v>50000000</v>
      </c>
      <c r="E1420" s="41">
        <v>0</v>
      </c>
      <c r="F1420" s="41">
        <v>50000000</v>
      </c>
      <c r="G1420" s="41">
        <v>0</v>
      </c>
      <c r="H1420" s="41">
        <v>50000000</v>
      </c>
      <c r="I1420" s="41">
        <v>0</v>
      </c>
      <c r="J1420" s="41">
        <v>40000000</v>
      </c>
      <c r="K1420" s="41">
        <v>0</v>
      </c>
      <c r="L1420" s="41">
        <v>10000000</v>
      </c>
      <c r="M1420" s="41">
        <v>0</v>
      </c>
      <c r="N1420" s="41">
        <v>114300000.0000021</v>
      </c>
      <c r="O1420" s="41">
        <v>79166.666666666672</v>
      </c>
      <c r="P1420" s="41">
        <v>75000000</v>
      </c>
      <c r="Q1420" s="41">
        <v>0</v>
      </c>
      <c r="R1420" s="41">
        <v>50000000</v>
      </c>
      <c r="S1420" s="41">
        <v>0</v>
      </c>
      <c r="T1420" s="41">
        <v>35000000</v>
      </c>
      <c r="U1420" s="41">
        <v>0</v>
      </c>
      <c r="V1420" s="41">
        <v>494300000.00000209</v>
      </c>
      <c r="W1420" s="41">
        <v>79166.666666666672</v>
      </c>
      <c r="X1420" s="38">
        <f t="shared" si="126"/>
        <v>0.98860000000000414</v>
      </c>
      <c r="Y1420" s="39">
        <f t="shared" si="127"/>
        <v>1.5833333333333335E-4</v>
      </c>
      <c r="Z1420" s="39">
        <f t="shared" si="131"/>
        <v>1.6018480267761473E-4</v>
      </c>
      <c r="AA1420" s="41">
        <f t="shared" si="128"/>
        <v>5699999.9999979138</v>
      </c>
      <c r="AB1420" s="39">
        <f t="shared" si="129"/>
        <v>1.3888888888893973E-2</v>
      </c>
      <c r="AC1420" s="38">
        <f t="shared" si="130"/>
        <v>0.1788695444788925</v>
      </c>
      <c r="AD1420" s="3"/>
    </row>
    <row r="1421" spans="1:30" x14ac:dyDescent="0.25">
      <c r="A1421" s="37">
        <v>47057</v>
      </c>
      <c r="B1421" s="41">
        <v>20000000</v>
      </c>
      <c r="C1421" s="41">
        <v>0</v>
      </c>
      <c r="D1421" s="41">
        <v>50000000</v>
      </c>
      <c r="E1421" s="41">
        <v>0</v>
      </c>
      <c r="F1421" s="41">
        <v>50000000</v>
      </c>
      <c r="G1421" s="41">
        <v>0</v>
      </c>
      <c r="H1421" s="41">
        <v>50000000</v>
      </c>
      <c r="I1421" s="41">
        <v>0</v>
      </c>
      <c r="J1421" s="41">
        <v>40000000</v>
      </c>
      <c r="K1421" s="41">
        <v>0</v>
      </c>
      <c r="L1421" s="41">
        <v>10000000</v>
      </c>
      <c r="M1421" s="41">
        <v>0</v>
      </c>
      <c r="N1421" s="41">
        <v>114379166.6666688</v>
      </c>
      <c r="O1421" s="41">
        <v>79166.666666666672</v>
      </c>
      <c r="P1421" s="41">
        <v>75000000</v>
      </c>
      <c r="Q1421" s="41">
        <v>0</v>
      </c>
      <c r="R1421" s="41">
        <v>50000000</v>
      </c>
      <c r="S1421" s="41">
        <v>0</v>
      </c>
      <c r="T1421" s="41">
        <v>35000000</v>
      </c>
      <c r="U1421" s="41">
        <v>0</v>
      </c>
      <c r="V1421" s="41">
        <v>494379166.66666877</v>
      </c>
      <c r="W1421" s="41">
        <v>79166.666666666672</v>
      </c>
      <c r="X1421" s="38">
        <f t="shared" si="126"/>
        <v>0.98875833333333751</v>
      </c>
      <c r="Y1421" s="39">
        <f t="shared" si="127"/>
        <v>1.5833333333333335E-4</v>
      </c>
      <c r="Z1421" s="39">
        <f t="shared" si="131"/>
        <v>1.6015914761615687E-4</v>
      </c>
      <c r="AA1421" s="41">
        <f t="shared" si="128"/>
        <v>5620833.3333312273</v>
      </c>
      <c r="AB1421" s="39">
        <f t="shared" si="129"/>
        <v>1.4084507042258798E-2</v>
      </c>
      <c r="AC1421" s="38">
        <f t="shared" si="130"/>
        <v>0.1788357790782</v>
      </c>
      <c r="AD1421" s="3"/>
    </row>
    <row r="1422" spans="1:30" x14ac:dyDescent="0.25">
      <c r="A1422" s="37">
        <v>47058</v>
      </c>
      <c r="B1422" s="41">
        <v>20000000</v>
      </c>
      <c r="C1422" s="41">
        <v>0</v>
      </c>
      <c r="D1422" s="41">
        <v>50000000</v>
      </c>
      <c r="E1422" s="41">
        <v>0</v>
      </c>
      <c r="F1422" s="41">
        <v>50000000</v>
      </c>
      <c r="G1422" s="41">
        <v>0</v>
      </c>
      <c r="H1422" s="41">
        <v>50000000</v>
      </c>
      <c r="I1422" s="41">
        <v>0</v>
      </c>
      <c r="J1422" s="41">
        <v>40000000</v>
      </c>
      <c r="K1422" s="41">
        <v>0</v>
      </c>
      <c r="L1422" s="41">
        <v>10000000</v>
      </c>
      <c r="M1422" s="41">
        <v>0</v>
      </c>
      <c r="N1422" s="41">
        <v>114458333.3333355</v>
      </c>
      <c r="O1422" s="41">
        <v>79166.666666666672</v>
      </c>
      <c r="P1422" s="41">
        <v>75000000</v>
      </c>
      <c r="Q1422" s="41">
        <v>0</v>
      </c>
      <c r="R1422" s="41">
        <v>50000000</v>
      </c>
      <c r="S1422" s="41">
        <v>0</v>
      </c>
      <c r="T1422" s="41">
        <v>35000000</v>
      </c>
      <c r="U1422" s="41">
        <v>0</v>
      </c>
      <c r="V1422" s="41">
        <v>494458333.33333552</v>
      </c>
      <c r="W1422" s="41">
        <v>79166.666666666672</v>
      </c>
      <c r="X1422" s="38">
        <f t="shared" si="126"/>
        <v>0.988916666666671</v>
      </c>
      <c r="Y1422" s="39">
        <f t="shared" si="127"/>
        <v>1.5833333333333335E-4</v>
      </c>
      <c r="Z1422" s="39">
        <f t="shared" si="131"/>
        <v>1.6013350077116856E-4</v>
      </c>
      <c r="AA1422" s="41">
        <f t="shared" si="128"/>
        <v>5541666.6666644812</v>
      </c>
      <c r="AB1422" s="39">
        <f t="shared" si="129"/>
        <v>1.4285714285719921E-2</v>
      </c>
      <c r="AC1422" s="38">
        <f t="shared" si="130"/>
        <v>0.17880202642296519</v>
      </c>
      <c r="AD1422" s="3"/>
    </row>
    <row r="1423" spans="1:30" x14ac:dyDescent="0.25">
      <c r="A1423" s="37">
        <v>47059</v>
      </c>
      <c r="B1423" s="41">
        <v>20000000</v>
      </c>
      <c r="C1423" s="41">
        <v>0</v>
      </c>
      <c r="D1423" s="41">
        <v>50000000</v>
      </c>
      <c r="E1423" s="41">
        <v>0</v>
      </c>
      <c r="F1423" s="41">
        <v>50000000</v>
      </c>
      <c r="G1423" s="41">
        <v>0</v>
      </c>
      <c r="H1423" s="41">
        <v>50000000</v>
      </c>
      <c r="I1423" s="41">
        <v>0</v>
      </c>
      <c r="J1423" s="41">
        <v>40000000</v>
      </c>
      <c r="K1423" s="41">
        <v>0</v>
      </c>
      <c r="L1423" s="41">
        <v>10000000</v>
      </c>
      <c r="M1423" s="41">
        <v>0</v>
      </c>
      <c r="N1423" s="41">
        <v>114537500.0000021</v>
      </c>
      <c r="O1423" s="41">
        <v>79166.666666666672</v>
      </c>
      <c r="P1423" s="41">
        <v>75000000</v>
      </c>
      <c r="Q1423" s="41">
        <v>0</v>
      </c>
      <c r="R1423" s="41">
        <v>50000000</v>
      </c>
      <c r="S1423" s="41">
        <v>0</v>
      </c>
      <c r="T1423" s="41">
        <v>35000000</v>
      </c>
      <c r="U1423" s="41">
        <v>0</v>
      </c>
      <c r="V1423" s="41">
        <v>494537500.00000209</v>
      </c>
      <c r="W1423" s="41">
        <v>79166.666666666672</v>
      </c>
      <c r="X1423" s="38">
        <f t="shared" si="126"/>
        <v>0.98907500000000415</v>
      </c>
      <c r="Y1423" s="39">
        <f t="shared" si="127"/>
        <v>1.5833333333333335E-4</v>
      </c>
      <c r="Z1423" s="39">
        <f t="shared" si="131"/>
        <v>1.6010786213870327E-4</v>
      </c>
      <c r="AA1423" s="41">
        <f t="shared" si="128"/>
        <v>5462499.9999979138</v>
      </c>
      <c r="AB1423" s="39">
        <f t="shared" si="129"/>
        <v>1.4492753623193941E-2</v>
      </c>
      <c r="AC1423" s="38">
        <f t="shared" si="130"/>
        <v>0.17876828650597296</v>
      </c>
      <c r="AD1423" s="3"/>
    </row>
    <row r="1424" spans="1:30" x14ac:dyDescent="0.25">
      <c r="A1424" s="37">
        <v>47060</v>
      </c>
      <c r="B1424" s="41">
        <v>20000000</v>
      </c>
      <c r="C1424" s="41">
        <v>0</v>
      </c>
      <c r="D1424" s="41">
        <v>50000000</v>
      </c>
      <c r="E1424" s="41">
        <v>0</v>
      </c>
      <c r="F1424" s="41">
        <v>50000000</v>
      </c>
      <c r="G1424" s="41">
        <v>0</v>
      </c>
      <c r="H1424" s="41">
        <v>50000000</v>
      </c>
      <c r="I1424" s="41">
        <v>0</v>
      </c>
      <c r="J1424" s="41">
        <v>40000000</v>
      </c>
      <c r="K1424" s="41">
        <v>0</v>
      </c>
      <c r="L1424" s="41">
        <v>10000000</v>
      </c>
      <c r="M1424" s="41">
        <v>0</v>
      </c>
      <c r="N1424" s="41">
        <v>114616666.6666688</v>
      </c>
      <c r="O1424" s="41">
        <v>79166.666666666672</v>
      </c>
      <c r="P1424" s="41">
        <v>75000000</v>
      </c>
      <c r="Q1424" s="41">
        <v>0</v>
      </c>
      <c r="R1424" s="41">
        <v>50000000</v>
      </c>
      <c r="S1424" s="41">
        <v>0</v>
      </c>
      <c r="T1424" s="41">
        <v>35000000</v>
      </c>
      <c r="U1424" s="41">
        <v>0</v>
      </c>
      <c r="V1424" s="41">
        <v>494616666.66666877</v>
      </c>
      <c r="W1424" s="41">
        <v>79166.666666666672</v>
      </c>
      <c r="X1424" s="38">
        <f t="shared" si="126"/>
        <v>0.98923333333333752</v>
      </c>
      <c r="Y1424" s="39">
        <f t="shared" si="127"/>
        <v>1.5833333333333335E-4</v>
      </c>
      <c r="Z1424" s="39">
        <f t="shared" si="131"/>
        <v>1.6008223171481704E-4</v>
      </c>
      <c r="AA1424" s="41">
        <f t="shared" si="128"/>
        <v>5383333.3333312273</v>
      </c>
      <c r="AB1424" s="39">
        <f t="shared" si="129"/>
        <v>1.470588235294693E-2</v>
      </c>
      <c r="AC1424" s="38">
        <f t="shared" si="130"/>
        <v>0.17873455932001339</v>
      </c>
      <c r="AD1424" s="3"/>
    </row>
    <row r="1425" spans="1:30" x14ac:dyDescent="0.25">
      <c r="A1425" s="37">
        <v>47061</v>
      </c>
      <c r="B1425" s="41">
        <v>20000000</v>
      </c>
      <c r="C1425" s="41">
        <v>0</v>
      </c>
      <c r="D1425" s="41">
        <v>50000000</v>
      </c>
      <c r="E1425" s="41">
        <v>0</v>
      </c>
      <c r="F1425" s="41">
        <v>50000000</v>
      </c>
      <c r="G1425" s="41">
        <v>0</v>
      </c>
      <c r="H1425" s="41">
        <v>50000000</v>
      </c>
      <c r="I1425" s="41">
        <v>0</v>
      </c>
      <c r="J1425" s="41">
        <v>40000000</v>
      </c>
      <c r="K1425" s="41">
        <v>0</v>
      </c>
      <c r="L1425" s="41">
        <v>10000000</v>
      </c>
      <c r="M1425" s="41">
        <v>0</v>
      </c>
      <c r="N1425" s="41">
        <v>114695833.3333355</v>
      </c>
      <c r="O1425" s="41">
        <v>79166.666666666672</v>
      </c>
      <c r="P1425" s="41">
        <v>75000000</v>
      </c>
      <c r="Q1425" s="41">
        <v>0</v>
      </c>
      <c r="R1425" s="41">
        <v>50000000</v>
      </c>
      <c r="S1425" s="41">
        <v>0</v>
      </c>
      <c r="T1425" s="41">
        <v>35000000</v>
      </c>
      <c r="U1425" s="41">
        <v>0</v>
      </c>
      <c r="V1425" s="41">
        <v>494695833.33333552</v>
      </c>
      <c r="W1425" s="41">
        <v>79166.666666666672</v>
      </c>
      <c r="X1425" s="38">
        <f t="shared" si="126"/>
        <v>0.989391666666671</v>
      </c>
      <c r="Y1425" s="39">
        <f t="shared" si="127"/>
        <v>1.5833333333333335E-4</v>
      </c>
      <c r="Z1425" s="39">
        <f t="shared" si="131"/>
        <v>1.600566094955683E-4</v>
      </c>
      <c r="AA1425" s="41">
        <f t="shared" si="128"/>
        <v>5304166.6666644812</v>
      </c>
      <c r="AB1425" s="39">
        <f t="shared" si="129"/>
        <v>1.4925373134334509E-2</v>
      </c>
      <c r="AC1425" s="38">
        <f t="shared" si="130"/>
        <v>0.17870084485788226</v>
      </c>
      <c r="AD1425" s="3"/>
    </row>
    <row r="1426" spans="1:30" x14ac:dyDescent="0.25">
      <c r="A1426" s="37">
        <v>47062</v>
      </c>
      <c r="B1426" s="41">
        <v>20000000</v>
      </c>
      <c r="C1426" s="41">
        <v>0</v>
      </c>
      <c r="D1426" s="41">
        <v>50000000</v>
      </c>
      <c r="E1426" s="41">
        <v>0</v>
      </c>
      <c r="F1426" s="41">
        <v>50000000</v>
      </c>
      <c r="G1426" s="41">
        <v>0</v>
      </c>
      <c r="H1426" s="41">
        <v>50000000</v>
      </c>
      <c r="I1426" s="41">
        <v>0</v>
      </c>
      <c r="J1426" s="41">
        <v>40000000</v>
      </c>
      <c r="K1426" s="41">
        <v>0</v>
      </c>
      <c r="L1426" s="41">
        <v>10000000</v>
      </c>
      <c r="M1426" s="41">
        <v>0</v>
      </c>
      <c r="N1426" s="41">
        <v>114775000.0000021</v>
      </c>
      <c r="O1426" s="41">
        <v>79166.666666666672</v>
      </c>
      <c r="P1426" s="41">
        <v>75000000</v>
      </c>
      <c r="Q1426" s="41">
        <v>0</v>
      </c>
      <c r="R1426" s="41">
        <v>50000000</v>
      </c>
      <c r="S1426" s="41">
        <v>0</v>
      </c>
      <c r="T1426" s="41">
        <v>35000000</v>
      </c>
      <c r="U1426" s="41">
        <v>0</v>
      </c>
      <c r="V1426" s="41">
        <v>494775000.00000209</v>
      </c>
      <c r="W1426" s="41">
        <v>79166.666666666672</v>
      </c>
      <c r="X1426" s="38">
        <f t="shared" si="126"/>
        <v>0.98955000000000415</v>
      </c>
      <c r="Y1426" s="39">
        <f t="shared" si="127"/>
        <v>1.5833333333333335E-4</v>
      </c>
      <c r="Z1426" s="39">
        <f t="shared" si="131"/>
        <v>1.6003099547701801E-4</v>
      </c>
      <c r="AA1426" s="41">
        <f t="shared" si="128"/>
        <v>5224999.9999979138</v>
      </c>
      <c r="AB1426" s="39">
        <f t="shared" si="129"/>
        <v>1.5151515151521203E-2</v>
      </c>
      <c r="AC1426" s="38">
        <f t="shared" si="130"/>
        <v>0.17866714311238074</v>
      </c>
      <c r="AD1426" s="3"/>
    </row>
    <row r="1427" spans="1:30" x14ac:dyDescent="0.25">
      <c r="A1427" s="37">
        <v>47063</v>
      </c>
      <c r="B1427" s="41">
        <v>20000000</v>
      </c>
      <c r="C1427" s="41">
        <v>0</v>
      </c>
      <c r="D1427" s="41">
        <v>50000000</v>
      </c>
      <c r="E1427" s="41">
        <v>0</v>
      </c>
      <c r="F1427" s="41">
        <v>50000000</v>
      </c>
      <c r="G1427" s="41">
        <v>0</v>
      </c>
      <c r="H1427" s="41">
        <v>50000000</v>
      </c>
      <c r="I1427" s="41">
        <v>0</v>
      </c>
      <c r="J1427" s="41">
        <v>40000000</v>
      </c>
      <c r="K1427" s="41">
        <v>0</v>
      </c>
      <c r="L1427" s="41">
        <v>10000000</v>
      </c>
      <c r="M1427" s="41">
        <v>0</v>
      </c>
      <c r="N1427" s="41">
        <v>114854166.6666688</v>
      </c>
      <c r="O1427" s="41">
        <v>79166.666666666672</v>
      </c>
      <c r="P1427" s="41">
        <v>75000000</v>
      </c>
      <c r="Q1427" s="41">
        <v>0</v>
      </c>
      <c r="R1427" s="41">
        <v>50000000</v>
      </c>
      <c r="S1427" s="41">
        <v>0</v>
      </c>
      <c r="T1427" s="41">
        <v>35000000</v>
      </c>
      <c r="U1427" s="41">
        <v>0</v>
      </c>
      <c r="V1427" s="41">
        <v>494854166.66666877</v>
      </c>
      <c r="W1427" s="41">
        <v>79166.666666666672</v>
      </c>
      <c r="X1427" s="38">
        <f t="shared" si="126"/>
        <v>0.98970833333333752</v>
      </c>
      <c r="Y1427" s="39">
        <f t="shared" si="127"/>
        <v>1.5833333333333335E-4</v>
      </c>
      <c r="Z1427" s="39">
        <f t="shared" si="131"/>
        <v>1.6000538965522983E-4</v>
      </c>
      <c r="AA1427" s="41">
        <f t="shared" si="128"/>
        <v>5145833.3333312273</v>
      </c>
      <c r="AB1427" s="39">
        <f t="shared" si="129"/>
        <v>1.5384615384621683E-2</v>
      </c>
      <c r="AC1427" s="38">
        <f t="shared" si="130"/>
        <v>0.17863345407631528</v>
      </c>
      <c r="AD1427" s="3"/>
    </row>
    <row r="1428" spans="1:30" x14ac:dyDescent="0.25">
      <c r="A1428" s="37">
        <v>47064</v>
      </c>
      <c r="B1428" s="41">
        <v>20000000</v>
      </c>
      <c r="C1428" s="41">
        <v>0</v>
      </c>
      <c r="D1428" s="41">
        <v>50000000</v>
      </c>
      <c r="E1428" s="41">
        <v>0</v>
      </c>
      <c r="F1428" s="41">
        <v>50000000</v>
      </c>
      <c r="G1428" s="41">
        <v>0</v>
      </c>
      <c r="H1428" s="41">
        <v>50000000</v>
      </c>
      <c r="I1428" s="41">
        <v>0</v>
      </c>
      <c r="J1428" s="41">
        <v>40000000</v>
      </c>
      <c r="K1428" s="41">
        <v>0</v>
      </c>
      <c r="L1428" s="41">
        <v>10000000</v>
      </c>
      <c r="M1428" s="41">
        <v>0</v>
      </c>
      <c r="N1428" s="41">
        <v>114933333.3333355</v>
      </c>
      <c r="O1428" s="41">
        <v>79166.666666666672</v>
      </c>
      <c r="P1428" s="41">
        <v>75000000</v>
      </c>
      <c r="Q1428" s="41">
        <v>0</v>
      </c>
      <c r="R1428" s="41">
        <v>50000000</v>
      </c>
      <c r="S1428" s="41">
        <v>0</v>
      </c>
      <c r="T1428" s="41">
        <v>35000000</v>
      </c>
      <c r="U1428" s="41">
        <v>0</v>
      </c>
      <c r="V1428" s="41">
        <v>494933333.33333552</v>
      </c>
      <c r="W1428" s="41">
        <v>79166.666666666672</v>
      </c>
      <c r="X1428" s="38">
        <f t="shared" si="126"/>
        <v>0.989866666666671</v>
      </c>
      <c r="Y1428" s="39">
        <f t="shared" si="127"/>
        <v>1.5833333333333335E-4</v>
      </c>
      <c r="Z1428" s="39">
        <f t="shared" si="131"/>
        <v>1.5997979202626969E-4</v>
      </c>
      <c r="AA1428" s="41">
        <f t="shared" si="128"/>
        <v>5066666.6666644812</v>
      </c>
      <c r="AB1428" s="39">
        <f t="shared" si="129"/>
        <v>1.5625000000006741E-2</v>
      </c>
      <c r="AC1428" s="38">
        <f t="shared" si="130"/>
        <v>0.17859977774249788</v>
      </c>
      <c r="AD1428" s="3"/>
    </row>
    <row r="1429" spans="1:30" x14ac:dyDescent="0.25">
      <c r="A1429" s="37">
        <v>47065</v>
      </c>
      <c r="B1429" s="41">
        <v>20000000</v>
      </c>
      <c r="C1429" s="41">
        <v>0</v>
      </c>
      <c r="D1429" s="41">
        <v>50000000</v>
      </c>
      <c r="E1429" s="41">
        <v>0</v>
      </c>
      <c r="F1429" s="41">
        <v>50000000</v>
      </c>
      <c r="G1429" s="41">
        <v>0</v>
      </c>
      <c r="H1429" s="41">
        <v>50000000</v>
      </c>
      <c r="I1429" s="41">
        <v>0</v>
      </c>
      <c r="J1429" s="41">
        <v>40000000</v>
      </c>
      <c r="K1429" s="41">
        <v>0</v>
      </c>
      <c r="L1429" s="41">
        <v>10000000</v>
      </c>
      <c r="M1429" s="41">
        <v>0</v>
      </c>
      <c r="N1429" s="41">
        <v>115012500.00000221</v>
      </c>
      <c r="O1429" s="41">
        <v>79166.666666666672</v>
      </c>
      <c r="P1429" s="41">
        <v>75000000</v>
      </c>
      <c r="Q1429" s="41">
        <v>0</v>
      </c>
      <c r="R1429" s="41">
        <v>50000000</v>
      </c>
      <c r="S1429" s="41">
        <v>0</v>
      </c>
      <c r="T1429" s="41">
        <v>35000000</v>
      </c>
      <c r="U1429" s="41">
        <v>0</v>
      </c>
      <c r="V1429" s="41">
        <v>495012500.00000209</v>
      </c>
      <c r="W1429" s="41">
        <v>79166.666666666672</v>
      </c>
      <c r="X1429" s="38">
        <f t="shared" si="126"/>
        <v>0.99002500000000415</v>
      </c>
      <c r="Y1429" s="39">
        <f t="shared" si="127"/>
        <v>1.5833333333333335E-4</v>
      </c>
      <c r="Z1429" s="39">
        <f t="shared" si="131"/>
        <v>1.5995420258620621E-4</v>
      </c>
      <c r="AA1429" s="41">
        <f t="shared" si="128"/>
        <v>4987499.9999979138</v>
      </c>
      <c r="AB1429" s="39">
        <f t="shared" si="129"/>
        <v>1.5873015873022513E-2</v>
      </c>
      <c r="AC1429" s="38">
        <f t="shared" si="130"/>
        <v>0.17856611410374604</v>
      </c>
      <c r="AD1429" s="3"/>
    </row>
    <row r="1430" spans="1:30" x14ac:dyDescent="0.25">
      <c r="A1430" s="37">
        <v>47066</v>
      </c>
      <c r="B1430" s="41">
        <v>20000000</v>
      </c>
      <c r="C1430" s="41">
        <v>0</v>
      </c>
      <c r="D1430" s="41">
        <v>50000000</v>
      </c>
      <c r="E1430" s="41">
        <v>0</v>
      </c>
      <c r="F1430" s="41">
        <v>50000000</v>
      </c>
      <c r="G1430" s="41">
        <v>0</v>
      </c>
      <c r="H1430" s="41">
        <v>50000000</v>
      </c>
      <c r="I1430" s="41">
        <v>0</v>
      </c>
      <c r="J1430" s="41">
        <v>40000000</v>
      </c>
      <c r="K1430" s="41">
        <v>0</v>
      </c>
      <c r="L1430" s="41">
        <v>10000000</v>
      </c>
      <c r="M1430" s="41">
        <v>0</v>
      </c>
      <c r="N1430" s="41">
        <v>115091666.6666688</v>
      </c>
      <c r="O1430" s="41">
        <v>79166.666666666672</v>
      </c>
      <c r="P1430" s="41">
        <v>75000000</v>
      </c>
      <c r="Q1430" s="41">
        <v>0</v>
      </c>
      <c r="R1430" s="41">
        <v>50000000</v>
      </c>
      <c r="S1430" s="41">
        <v>0</v>
      </c>
      <c r="T1430" s="41">
        <v>35000000</v>
      </c>
      <c r="U1430" s="41">
        <v>0</v>
      </c>
      <c r="V1430" s="41">
        <v>495091666.66666877</v>
      </c>
      <c r="W1430" s="41">
        <v>79166.666666666672</v>
      </c>
      <c r="X1430" s="38">
        <f t="shared" si="126"/>
        <v>0.99018333333333752</v>
      </c>
      <c r="Y1430" s="39">
        <f t="shared" si="127"/>
        <v>1.5833333333333335E-4</v>
      </c>
      <c r="Z1430" s="39">
        <f t="shared" si="131"/>
        <v>1.5992862133111049E-4</v>
      </c>
      <c r="AA1430" s="41">
        <f t="shared" si="128"/>
        <v>4908333.3333312273</v>
      </c>
      <c r="AB1430" s="39">
        <f t="shared" si="129"/>
        <v>1.6129032258071437E-2</v>
      </c>
      <c r="AC1430" s="38">
        <f t="shared" si="130"/>
        <v>0.1785324631528824</v>
      </c>
      <c r="AD1430" s="3"/>
    </row>
    <row r="1431" spans="1:30" x14ac:dyDescent="0.25">
      <c r="A1431" s="37">
        <v>47067</v>
      </c>
      <c r="B1431" s="41">
        <v>20000000</v>
      </c>
      <c r="C1431" s="41">
        <v>0</v>
      </c>
      <c r="D1431" s="41">
        <v>50000000</v>
      </c>
      <c r="E1431" s="41">
        <v>0</v>
      </c>
      <c r="F1431" s="41">
        <v>50000000</v>
      </c>
      <c r="G1431" s="41">
        <v>0</v>
      </c>
      <c r="H1431" s="41">
        <v>50000000</v>
      </c>
      <c r="I1431" s="41">
        <v>0</v>
      </c>
      <c r="J1431" s="41">
        <v>40000000</v>
      </c>
      <c r="K1431" s="41">
        <v>0</v>
      </c>
      <c r="L1431" s="41">
        <v>10000000</v>
      </c>
      <c r="M1431" s="41">
        <v>0</v>
      </c>
      <c r="N1431" s="41">
        <v>115170833.3333355</v>
      </c>
      <c r="O1431" s="41">
        <v>79166.666666666672</v>
      </c>
      <c r="P1431" s="41">
        <v>75000000</v>
      </c>
      <c r="Q1431" s="41">
        <v>0</v>
      </c>
      <c r="R1431" s="41">
        <v>50000000</v>
      </c>
      <c r="S1431" s="41">
        <v>0</v>
      </c>
      <c r="T1431" s="41">
        <v>35000000</v>
      </c>
      <c r="U1431" s="41">
        <v>0</v>
      </c>
      <c r="V1431" s="41">
        <v>495170833.33333552</v>
      </c>
      <c r="W1431" s="41">
        <v>79166.666666666672</v>
      </c>
      <c r="X1431" s="38">
        <f t="shared" si="126"/>
        <v>0.99034166666667101</v>
      </c>
      <c r="Y1431" s="39">
        <f t="shared" si="127"/>
        <v>1.5833333333333335E-4</v>
      </c>
      <c r="Z1431" s="39">
        <f t="shared" si="131"/>
        <v>1.599030482570561E-4</v>
      </c>
      <c r="AA1431" s="41">
        <f t="shared" ref="AA1431:AA1492" si="132">$B$6-V1431</f>
        <v>4829166.6666644812</v>
      </c>
      <c r="AB1431" s="39">
        <f t="shared" ref="AB1431:AB1494" si="133">W1431/AA1431</f>
        <v>1.6393442622958238E-2</v>
      </c>
      <c r="AC1431" s="38">
        <f t="shared" si="130"/>
        <v>0.17849882488273525</v>
      </c>
      <c r="AD1431" s="3"/>
    </row>
    <row r="1432" spans="1:30" x14ac:dyDescent="0.25">
      <c r="A1432" s="37">
        <v>47068</v>
      </c>
      <c r="B1432" s="41">
        <v>20000000</v>
      </c>
      <c r="C1432" s="41">
        <v>0</v>
      </c>
      <c r="D1432" s="41">
        <v>50000000</v>
      </c>
      <c r="E1432" s="41">
        <v>0</v>
      </c>
      <c r="F1432" s="41">
        <v>50000000</v>
      </c>
      <c r="G1432" s="41">
        <v>0</v>
      </c>
      <c r="H1432" s="41">
        <v>50000000</v>
      </c>
      <c r="I1432" s="41">
        <v>0</v>
      </c>
      <c r="J1432" s="41">
        <v>40000000</v>
      </c>
      <c r="K1432" s="41">
        <v>0</v>
      </c>
      <c r="L1432" s="41">
        <v>10000000</v>
      </c>
      <c r="M1432" s="41">
        <v>0</v>
      </c>
      <c r="N1432" s="41">
        <v>115250000.00000221</v>
      </c>
      <c r="O1432" s="41">
        <v>79166.666666666672</v>
      </c>
      <c r="P1432" s="41">
        <v>75000000</v>
      </c>
      <c r="Q1432" s="41">
        <v>0</v>
      </c>
      <c r="R1432" s="41">
        <v>50000000</v>
      </c>
      <c r="S1432" s="41">
        <v>0</v>
      </c>
      <c r="T1432" s="41">
        <v>35000000</v>
      </c>
      <c r="U1432" s="41">
        <v>0</v>
      </c>
      <c r="V1432" s="41">
        <v>495250000.00000209</v>
      </c>
      <c r="W1432" s="41">
        <v>79166.666666666672</v>
      </c>
      <c r="X1432" s="38">
        <f t="shared" ref="X1432:X1447" si="134">V1432/$B$6</f>
        <v>0.99050000000000415</v>
      </c>
      <c r="Y1432" s="39">
        <f t="shared" ref="Y1432:Y1492" si="135">W1432/$B$6</f>
        <v>1.5833333333333335E-4</v>
      </c>
      <c r="Z1432" s="39">
        <f t="shared" si="131"/>
        <v>1.5987748336011913E-4</v>
      </c>
      <c r="AA1432" s="41">
        <f t="shared" si="132"/>
        <v>4749999.9999979138</v>
      </c>
      <c r="AB1432" s="39">
        <f t="shared" si="133"/>
        <v>1.6666666666673987E-2</v>
      </c>
      <c r="AC1432" s="38">
        <f t="shared" ref="AC1432:AC1492" si="136" xml:space="preserve"> P1432/(V1432-P1432)</f>
        <v>0.17846519928613833</v>
      </c>
      <c r="AD1432" s="3"/>
    </row>
    <row r="1433" spans="1:30" x14ac:dyDescent="0.25">
      <c r="A1433" s="37">
        <v>47069</v>
      </c>
      <c r="B1433" s="41">
        <v>20000000</v>
      </c>
      <c r="C1433" s="41">
        <v>0</v>
      </c>
      <c r="D1433" s="41">
        <v>50000000</v>
      </c>
      <c r="E1433" s="41">
        <v>0</v>
      </c>
      <c r="F1433" s="41">
        <v>50000000</v>
      </c>
      <c r="G1433" s="41">
        <v>0</v>
      </c>
      <c r="H1433" s="41">
        <v>50000000</v>
      </c>
      <c r="I1433" s="41">
        <v>0</v>
      </c>
      <c r="J1433" s="41">
        <v>40000000</v>
      </c>
      <c r="K1433" s="41">
        <v>0</v>
      </c>
      <c r="L1433" s="41">
        <v>10000000</v>
      </c>
      <c r="M1433" s="41">
        <v>0</v>
      </c>
      <c r="N1433" s="41">
        <v>115329166.6666688</v>
      </c>
      <c r="O1433" s="41">
        <v>79166.666666666672</v>
      </c>
      <c r="P1433" s="41">
        <v>75000000</v>
      </c>
      <c r="Q1433" s="41">
        <v>0</v>
      </c>
      <c r="R1433" s="41">
        <v>50000000</v>
      </c>
      <c r="S1433" s="41">
        <v>0</v>
      </c>
      <c r="T1433" s="41">
        <v>35000000</v>
      </c>
      <c r="U1433" s="41">
        <v>0</v>
      </c>
      <c r="V1433" s="41">
        <v>495329166.66666877</v>
      </c>
      <c r="W1433" s="41">
        <v>79166.666666666672</v>
      </c>
      <c r="X1433" s="38">
        <f t="shared" si="134"/>
        <v>0.99065833333333753</v>
      </c>
      <c r="Y1433" s="39">
        <f t="shared" si="135"/>
        <v>1.5833333333333335E-4</v>
      </c>
      <c r="Z1433" s="39">
        <f t="shared" ref="Z1433:Z1492" si="137">W1433/V1432</f>
        <v>1.5985192663637828E-4</v>
      </c>
      <c r="AA1433" s="41">
        <f t="shared" si="132"/>
        <v>4670833.3333312273</v>
      </c>
      <c r="AB1433" s="39">
        <f t="shared" si="133"/>
        <v>1.6949152542380524E-2</v>
      </c>
      <c r="AC1433" s="38">
        <f t="shared" si="136"/>
        <v>0.17843158635593048</v>
      </c>
      <c r="AD1433" s="3"/>
    </row>
    <row r="1434" spans="1:30" x14ac:dyDescent="0.25">
      <c r="A1434" s="37">
        <v>47070</v>
      </c>
      <c r="B1434" s="41">
        <v>20000000</v>
      </c>
      <c r="C1434" s="41">
        <v>0</v>
      </c>
      <c r="D1434" s="41">
        <v>50000000</v>
      </c>
      <c r="E1434" s="41">
        <v>0</v>
      </c>
      <c r="F1434" s="41">
        <v>50000000</v>
      </c>
      <c r="G1434" s="41">
        <v>0</v>
      </c>
      <c r="H1434" s="41">
        <v>50000000</v>
      </c>
      <c r="I1434" s="41">
        <v>0</v>
      </c>
      <c r="J1434" s="41">
        <v>40000000</v>
      </c>
      <c r="K1434" s="41">
        <v>0</v>
      </c>
      <c r="L1434" s="41">
        <v>10000000</v>
      </c>
      <c r="M1434" s="41">
        <v>0</v>
      </c>
      <c r="N1434" s="41">
        <v>115408333.3333355</v>
      </c>
      <c r="O1434" s="41">
        <v>79166.666666666672</v>
      </c>
      <c r="P1434" s="41">
        <v>75000000</v>
      </c>
      <c r="Q1434" s="41">
        <v>0</v>
      </c>
      <c r="R1434" s="41">
        <v>50000000</v>
      </c>
      <c r="S1434" s="41">
        <v>0</v>
      </c>
      <c r="T1434" s="41">
        <v>35000000</v>
      </c>
      <c r="U1434" s="41">
        <v>0</v>
      </c>
      <c r="V1434" s="41">
        <v>495408333.33333552</v>
      </c>
      <c r="W1434" s="41">
        <v>79166.666666666672</v>
      </c>
      <c r="X1434" s="38">
        <f t="shared" si="134"/>
        <v>0.99081666666667101</v>
      </c>
      <c r="Y1434" s="39">
        <f t="shared" si="135"/>
        <v>1.5833333333333335E-4</v>
      </c>
      <c r="Z1434" s="39">
        <f t="shared" si="137"/>
        <v>1.5982637808191456E-4</v>
      </c>
      <c r="AA1434" s="41">
        <f t="shared" si="132"/>
        <v>4591666.6666644812</v>
      </c>
      <c r="AB1434" s="39">
        <f t="shared" si="133"/>
        <v>1.7241379310353036E-2</v>
      </c>
      <c r="AC1434" s="38">
        <f t="shared" si="136"/>
        <v>0.17839798608495616</v>
      </c>
      <c r="AD1434" s="3"/>
    </row>
    <row r="1435" spans="1:30" x14ac:dyDescent="0.25">
      <c r="A1435" s="37">
        <v>47071</v>
      </c>
      <c r="B1435" s="41">
        <v>20000000</v>
      </c>
      <c r="C1435" s="41">
        <v>0</v>
      </c>
      <c r="D1435" s="41">
        <v>50000000</v>
      </c>
      <c r="E1435" s="41">
        <v>0</v>
      </c>
      <c r="F1435" s="41">
        <v>50000000</v>
      </c>
      <c r="G1435" s="41">
        <v>0</v>
      </c>
      <c r="H1435" s="41">
        <v>50000000</v>
      </c>
      <c r="I1435" s="41">
        <v>0</v>
      </c>
      <c r="J1435" s="41">
        <v>40000000</v>
      </c>
      <c r="K1435" s="41">
        <v>0</v>
      </c>
      <c r="L1435" s="41">
        <v>10000000</v>
      </c>
      <c r="M1435" s="41">
        <v>0</v>
      </c>
      <c r="N1435" s="41">
        <v>115487500.00000221</v>
      </c>
      <c r="O1435" s="41">
        <v>79166.666666666672</v>
      </c>
      <c r="P1435" s="41">
        <v>75000000</v>
      </c>
      <c r="Q1435" s="41">
        <v>0</v>
      </c>
      <c r="R1435" s="41">
        <v>50000000</v>
      </c>
      <c r="S1435" s="41">
        <v>0</v>
      </c>
      <c r="T1435" s="41">
        <v>35000000</v>
      </c>
      <c r="U1435" s="41">
        <v>0</v>
      </c>
      <c r="V1435" s="41">
        <v>495487500.00000221</v>
      </c>
      <c r="W1435" s="41">
        <v>79166.666666666672</v>
      </c>
      <c r="X1435" s="38">
        <f t="shared" si="134"/>
        <v>0.99097500000000438</v>
      </c>
      <c r="Y1435" s="39">
        <f t="shared" si="135"/>
        <v>1.5833333333333335E-4</v>
      </c>
      <c r="Z1435" s="39">
        <f t="shared" si="137"/>
        <v>1.5980083769281164E-4</v>
      </c>
      <c r="AA1435" s="41">
        <f t="shared" si="132"/>
        <v>4512499.9999977946</v>
      </c>
      <c r="AB1435" s="39">
        <f t="shared" si="133"/>
        <v>1.7543859649131383E-2</v>
      </c>
      <c r="AC1435" s="38">
        <f t="shared" si="136"/>
        <v>0.17836439846606525</v>
      </c>
      <c r="AD1435" s="3"/>
    </row>
    <row r="1436" spans="1:30" x14ac:dyDescent="0.25">
      <c r="A1436" s="37">
        <v>47072</v>
      </c>
      <c r="B1436" s="41">
        <v>20000000</v>
      </c>
      <c r="C1436" s="41">
        <v>0</v>
      </c>
      <c r="D1436" s="41">
        <v>50000000</v>
      </c>
      <c r="E1436" s="41">
        <v>0</v>
      </c>
      <c r="F1436" s="41">
        <v>50000000</v>
      </c>
      <c r="G1436" s="41">
        <v>0</v>
      </c>
      <c r="H1436" s="41">
        <v>50000000</v>
      </c>
      <c r="I1436" s="41">
        <v>0</v>
      </c>
      <c r="J1436" s="41">
        <v>40000000</v>
      </c>
      <c r="K1436" s="41">
        <v>0</v>
      </c>
      <c r="L1436" s="41">
        <v>10000000</v>
      </c>
      <c r="M1436" s="41">
        <v>0</v>
      </c>
      <c r="N1436" s="41">
        <v>115566666.66666891</v>
      </c>
      <c r="O1436" s="41">
        <v>79166.666666666672</v>
      </c>
      <c r="P1436" s="41">
        <v>75000000</v>
      </c>
      <c r="Q1436" s="41">
        <v>0</v>
      </c>
      <c r="R1436" s="41">
        <v>50000000</v>
      </c>
      <c r="S1436" s="41">
        <v>0</v>
      </c>
      <c r="T1436" s="41">
        <v>35000000</v>
      </c>
      <c r="U1436" s="41">
        <v>0</v>
      </c>
      <c r="V1436" s="41">
        <v>495566666.66666889</v>
      </c>
      <c r="W1436" s="41">
        <v>79166.666666666672</v>
      </c>
      <c r="X1436" s="38">
        <f t="shared" si="134"/>
        <v>0.99113333333333775</v>
      </c>
      <c r="Y1436" s="39">
        <f t="shared" si="135"/>
        <v>1.5833333333333335E-4</v>
      </c>
      <c r="Z1436" s="39">
        <f t="shared" si="137"/>
        <v>1.5977530546515566E-4</v>
      </c>
      <c r="AA1436" s="41">
        <f t="shared" si="132"/>
        <v>4433333.3333311081</v>
      </c>
      <c r="AB1436" s="39">
        <f t="shared" si="133"/>
        <v>1.7857142857151821E-2</v>
      </c>
      <c r="AC1436" s="38">
        <f t="shared" si="136"/>
        <v>0.17833082349211288</v>
      </c>
      <c r="AD1436" s="3"/>
    </row>
    <row r="1437" spans="1:30" x14ac:dyDescent="0.25">
      <c r="A1437" s="37">
        <v>47073</v>
      </c>
      <c r="B1437" s="41">
        <v>20000000</v>
      </c>
      <c r="C1437" s="41">
        <v>0</v>
      </c>
      <c r="D1437" s="41">
        <v>50000000</v>
      </c>
      <c r="E1437" s="41">
        <v>0</v>
      </c>
      <c r="F1437" s="41">
        <v>50000000</v>
      </c>
      <c r="G1437" s="41">
        <v>0</v>
      </c>
      <c r="H1437" s="41">
        <v>50000000</v>
      </c>
      <c r="I1437" s="41">
        <v>0</v>
      </c>
      <c r="J1437" s="41">
        <v>40000000</v>
      </c>
      <c r="K1437" s="41">
        <v>0</v>
      </c>
      <c r="L1437" s="41">
        <v>10000000</v>
      </c>
      <c r="M1437" s="41">
        <v>0</v>
      </c>
      <c r="N1437" s="41">
        <v>115645833.3333355</v>
      </c>
      <c r="O1437" s="41">
        <v>79166.666666666672</v>
      </c>
      <c r="P1437" s="41">
        <v>75000000</v>
      </c>
      <c r="Q1437" s="41">
        <v>0</v>
      </c>
      <c r="R1437" s="41">
        <v>50000000</v>
      </c>
      <c r="S1437" s="41">
        <v>0</v>
      </c>
      <c r="T1437" s="41">
        <v>35000000</v>
      </c>
      <c r="U1437" s="41">
        <v>0</v>
      </c>
      <c r="V1437" s="41">
        <v>495645833.33333552</v>
      </c>
      <c r="W1437" s="41">
        <v>79166.666666666672</v>
      </c>
      <c r="X1437" s="38">
        <f t="shared" si="134"/>
        <v>0.99129166666667101</v>
      </c>
      <c r="Y1437" s="39">
        <f t="shared" si="135"/>
        <v>1.5833333333333335E-4</v>
      </c>
      <c r="Z1437" s="39">
        <f t="shared" si="137"/>
        <v>1.5974978139503528E-4</v>
      </c>
      <c r="AA1437" s="41">
        <f t="shared" si="132"/>
        <v>4354166.6666644812</v>
      </c>
      <c r="AB1437" s="39">
        <f t="shared" si="133"/>
        <v>1.8181818181827309E-2</v>
      </c>
      <c r="AC1437" s="38">
        <f t="shared" si="136"/>
        <v>0.17829726115595965</v>
      </c>
      <c r="AD1437" s="3"/>
    </row>
    <row r="1438" spans="1:30" x14ac:dyDescent="0.25">
      <c r="A1438" s="37">
        <v>47074</v>
      </c>
      <c r="B1438" s="41">
        <v>20000000</v>
      </c>
      <c r="C1438" s="41">
        <v>0</v>
      </c>
      <c r="D1438" s="41">
        <v>50000000</v>
      </c>
      <c r="E1438" s="41">
        <v>0</v>
      </c>
      <c r="F1438" s="41">
        <v>50000000</v>
      </c>
      <c r="G1438" s="41">
        <v>0</v>
      </c>
      <c r="H1438" s="41">
        <v>50000000</v>
      </c>
      <c r="I1438" s="41">
        <v>0</v>
      </c>
      <c r="J1438" s="41">
        <v>40000000</v>
      </c>
      <c r="K1438" s="41">
        <v>0</v>
      </c>
      <c r="L1438" s="41">
        <v>10000000</v>
      </c>
      <c r="M1438" s="41">
        <v>0</v>
      </c>
      <c r="N1438" s="41">
        <v>115725000.00000221</v>
      </c>
      <c r="O1438" s="41">
        <v>79166.666666666672</v>
      </c>
      <c r="P1438" s="41">
        <v>75000000</v>
      </c>
      <c r="Q1438" s="41">
        <v>0</v>
      </c>
      <c r="R1438" s="41">
        <v>50000000</v>
      </c>
      <c r="S1438" s="41">
        <v>0</v>
      </c>
      <c r="T1438" s="41">
        <v>35000000</v>
      </c>
      <c r="U1438" s="41">
        <v>0</v>
      </c>
      <c r="V1438" s="41">
        <v>495725000.00000221</v>
      </c>
      <c r="W1438" s="41">
        <v>79166.666666666672</v>
      </c>
      <c r="X1438" s="38">
        <f t="shared" si="134"/>
        <v>0.99145000000000438</v>
      </c>
      <c r="Y1438" s="39">
        <f t="shared" si="135"/>
        <v>1.5833333333333335E-4</v>
      </c>
      <c r="Z1438" s="39">
        <f t="shared" si="137"/>
        <v>1.5972426547854161E-4</v>
      </c>
      <c r="AA1438" s="41">
        <f t="shared" si="132"/>
        <v>4274999.9999977946</v>
      </c>
      <c r="AB1438" s="39">
        <f t="shared" si="133"/>
        <v>1.8518518518528072E-2</v>
      </c>
      <c r="AC1438" s="38">
        <f t="shared" si="136"/>
        <v>0.17826371145047146</v>
      </c>
      <c r="AD1438" s="3"/>
    </row>
    <row r="1439" spans="1:30" x14ac:dyDescent="0.25">
      <c r="A1439" s="37">
        <v>47075</v>
      </c>
      <c r="B1439" s="41">
        <v>20000000</v>
      </c>
      <c r="C1439" s="41">
        <v>0</v>
      </c>
      <c r="D1439" s="41">
        <v>50000000</v>
      </c>
      <c r="E1439" s="41">
        <v>0</v>
      </c>
      <c r="F1439" s="41">
        <v>50000000</v>
      </c>
      <c r="G1439" s="41">
        <v>0</v>
      </c>
      <c r="H1439" s="41">
        <v>50000000</v>
      </c>
      <c r="I1439" s="41">
        <v>0</v>
      </c>
      <c r="J1439" s="41">
        <v>40000000</v>
      </c>
      <c r="K1439" s="41">
        <v>0</v>
      </c>
      <c r="L1439" s="41">
        <v>10000000</v>
      </c>
      <c r="M1439" s="41">
        <v>0</v>
      </c>
      <c r="N1439" s="41">
        <v>115804166.66666891</v>
      </c>
      <c r="O1439" s="41">
        <v>79166.666666666672</v>
      </c>
      <c r="P1439" s="41">
        <v>75000000</v>
      </c>
      <c r="Q1439" s="41">
        <v>0</v>
      </c>
      <c r="R1439" s="41">
        <v>50000000</v>
      </c>
      <c r="S1439" s="41">
        <v>0</v>
      </c>
      <c r="T1439" s="41">
        <v>35000000</v>
      </c>
      <c r="U1439" s="41">
        <v>0</v>
      </c>
      <c r="V1439" s="41">
        <v>495804166.66666889</v>
      </c>
      <c r="W1439" s="41">
        <v>79166.666666666672</v>
      </c>
      <c r="X1439" s="38">
        <f t="shared" si="134"/>
        <v>0.99160833333333775</v>
      </c>
      <c r="Y1439" s="39">
        <f t="shared" si="135"/>
        <v>1.5833333333333335E-4</v>
      </c>
      <c r="Z1439" s="39">
        <f t="shared" si="137"/>
        <v>1.5969875771176825E-4</v>
      </c>
      <c r="AA1439" s="41">
        <f t="shared" si="132"/>
        <v>4195833.3333311081</v>
      </c>
      <c r="AB1439" s="39">
        <f t="shared" si="133"/>
        <v>1.8867924528311895E-2</v>
      </c>
      <c r="AC1439" s="38">
        <f t="shared" si="136"/>
        <v>0.17823017436851965</v>
      </c>
      <c r="AD1439" s="3"/>
    </row>
    <row r="1440" spans="1:30" x14ac:dyDescent="0.25">
      <c r="A1440" s="37">
        <v>47076</v>
      </c>
      <c r="B1440" s="41">
        <v>20000000</v>
      </c>
      <c r="C1440" s="41">
        <v>0</v>
      </c>
      <c r="D1440" s="41">
        <v>50000000</v>
      </c>
      <c r="E1440" s="41">
        <v>0</v>
      </c>
      <c r="F1440" s="41">
        <v>50000000</v>
      </c>
      <c r="G1440" s="41">
        <v>0</v>
      </c>
      <c r="H1440" s="41">
        <v>50000000</v>
      </c>
      <c r="I1440" s="41">
        <v>0</v>
      </c>
      <c r="J1440" s="41">
        <v>40000000</v>
      </c>
      <c r="K1440" s="41">
        <v>0</v>
      </c>
      <c r="L1440" s="41">
        <v>10000000</v>
      </c>
      <c r="M1440" s="41">
        <v>0</v>
      </c>
      <c r="N1440" s="41">
        <v>115883333.3333355</v>
      </c>
      <c r="O1440" s="41">
        <v>79166.666666666672</v>
      </c>
      <c r="P1440" s="41">
        <v>75000000</v>
      </c>
      <c r="Q1440" s="41">
        <v>0</v>
      </c>
      <c r="R1440" s="41">
        <v>50000000</v>
      </c>
      <c r="S1440" s="41">
        <v>0</v>
      </c>
      <c r="T1440" s="41">
        <v>35000000</v>
      </c>
      <c r="U1440" s="41">
        <v>0</v>
      </c>
      <c r="V1440" s="41">
        <v>495883333.33333552</v>
      </c>
      <c r="W1440" s="41">
        <v>79166.666666666672</v>
      </c>
      <c r="X1440" s="38">
        <f t="shared" si="134"/>
        <v>0.99176666666667102</v>
      </c>
      <c r="Y1440" s="39">
        <f t="shared" si="135"/>
        <v>1.5833333333333335E-4</v>
      </c>
      <c r="Z1440" s="39">
        <f t="shared" si="137"/>
        <v>1.5967325809081135E-4</v>
      </c>
      <c r="AA1440" s="41">
        <f t="shared" si="132"/>
        <v>4116666.6666644812</v>
      </c>
      <c r="AB1440" s="39">
        <f t="shared" si="133"/>
        <v>1.9230769230779442E-2</v>
      </c>
      <c r="AC1440" s="38">
        <f t="shared" si="136"/>
        <v>0.1781966499029809</v>
      </c>
      <c r="AD1440" s="3"/>
    </row>
    <row r="1441" spans="1:30" x14ac:dyDescent="0.25">
      <c r="A1441" s="37">
        <v>47077</v>
      </c>
      <c r="B1441" s="41">
        <v>20000000</v>
      </c>
      <c r="C1441" s="41">
        <v>0</v>
      </c>
      <c r="D1441" s="41">
        <v>50000000</v>
      </c>
      <c r="E1441" s="41">
        <v>0</v>
      </c>
      <c r="F1441" s="41">
        <v>50000000</v>
      </c>
      <c r="G1441" s="41">
        <v>0</v>
      </c>
      <c r="H1441" s="41">
        <v>50000000</v>
      </c>
      <c r="I1441" s="41">
        <v>0</v>
      </c>
      <c r="J1441" s="41">
        <v>40000000</v>
      </c>
      <c r="K1441" s="41">
        <v>0</v>
      </c>
      <c r="L1441" s="41">
        <v>10000000</v>
      </c>
      <c r="M1441" s="41">
        <v>0</v>
      </c>
      <c r="N1441" s="41">
        <v>115962500.00000221</v>
      </c>
      <c r="O1441" s="41">
        <v>79166.666666666672</v>
      </c>
      <c r="P1441" s="41">
        <v>75000000</v>
      </c>
      <c r="Q1441" s="41">
        <v>0</v>
      </c>
      <c r="R1441" s="41">
        <v>50000000</v>
      </c>
      <c r="S1441" s="41">
        <v>0</v>
      </c>
      <c r="T1441" s="41">
        <v>35000000</v>
      </c>
      <c r="U1441" s="41">
        <v>0</v>
      </c>
      <c r="V1441" s="41">
        <v>495962500.00000221</v>
      </c>
      <c r="W1441" s="41">
        <v>79166.666666666672</v>
      </c>
      <c r="X1441" s="38">
        <f t="shared" si="134"/>
        <v>0.99192500000000439</v>
      </c>
      <c r="Y1441" s="39">
        <f t="shared" si="135"/>
        <v>1.5833333333333335E-4</v>
      </c>
      <c r="Z1441" s="39">
        <f t="shared" si="137"/>
        <v>1.5964776661176955E-4</v>
      </c>
      <c r="AA1441" s="41">
        <f t="shared" si="132"/>
        <v>4037499.9999977946</v>
      </c>
      <c r="AB1441" s="39">
        <f t="shared" si="133"/>
        <v>1.9607843137265612E-2</v>
      </c>
      <c r="AC1441" s="38">
        <f t="shared" si="136"/>
        <v>0.1781631380467372</v>
      </c>
      <c r="AD1441" s="3"/>
    </row>
    <row r="1442" spans="1:30" x14ac:dyDescent="0.25">
      <c r="A1442" s="37">
        <v>47078</v>
      </c>
      <c r="B1442" s="41">
        <v>20000000</v>
      </c>
      <c r="C1442" s="41">
        <v>0</v>
      </c>
      <c r="D1442" s="41">
        <v>50000000</v>
      </c>
      <c r="E1442" s="41">
        <v>0</v>
      </c>
      <c r="F1442" s="41">
        <v>50000000</v>
      </c>
      <c r="G1442" s="41">
        <v>0</v>
      </c>
      <c r="H1442" s="41">
        <v>50000000</v>
      </c>
      <c r="I1442" s="41">
        <v>0</v>
      </c>
      <c r="J1442" s="41">
        <v>40000000</v>
      </c>
      <c r="K1442" s="41">
        <v>0</v>
      </c>
      <c r="L1442" s="41">
        <v>10000000</v>
      </c>
      <c r="M1442" s="41">
        <v>0</v>
      </c>
      <c r="N1442" s="41">
        <v>116041666.66666891</v>
      </c>
      <c r="O1442" s="41">
        <v>79166.666666666672</v>
      </c>
      <c r="P1442" s="41">
        <v>75000000</v>
      </c>
      <c r="Q1442" s="41">
        <v>0</v>
      </c>
      <c r="R1442" s="41">
        <v>50000000</v>
      </c>
      <c r="S1442" s="41">
        <v>0</v>
      </c>
      <c r="T1442" s="41">
        <v>35000000</v>
      </c>
      <c r="U1442" s="41">
        <v>0</v>
      </c>
      <c r="V1442" s="41">
        <v>496041666.66666889</v>
      </c>
      <c r="W1442" s="41">
        <v>79166.666666666672</v>
      </c>
      <c r="X1442" s="38">
        <f t="shared" si="134"/>
        <v>0.99208333333333776</v>
      </c>
      <c r="Y1442" s="39">
        <f t="shared" si="135"/>
        <v>1.5833333333333335E-4</v>
      </c>
      <c r="Z1442" s="39">
        <f t="shared" si="137"/>
        <v>1.5962228327074391E-4</v>
      </c>
      <c r="AA1442" s="41">
        <f t="shared" si="132"/>
        <v>3958333.3333311081</v>
      </c>
      <c r="AB1442" s="39">
        <f t="shared" si="133"/>
        <v>2.0000000000011245E-2</v>
      </c>
      <c r="AC1442" s="38">
        <f t="shared" si="136"/>
        <v>0.17812963879267596</v>
      </c>
      <c r="AD1442" s="3"/>
    </row>
    <row r="1443" spans="1:30" x14ac:dyDescent="0.25">
      <c r="A1443" s="37">
        <v>47079</v>
      </c>
      <c r="B1443" s="41">
        <v>20000000</v>
      </c>
      <c r="C1443" s="41">
        <v>0</v>
      </c>
      <c r="D1443" s="41">
        <v>50000000</v>
      </c>
      <c r="E1443" s="41">
        <v>0</v>
      </c>
      <c r="F1443" s="41">
        <v>50000000</v>
      </c>
      <c r="G1443" s="41">
        <v>0</v>
      </c>
      <c r="H1443" s="41">
        <v>50000000</v>
      </c>
      <c r="I1443" s="41">
        <v>0</v>
      </c>
      <c r="J1443" s="41">
        <v>40000000</v>
      </c>
      <c r="K1443" s="41">
        <v>0</v>
      </c>
      <c r="L1443" s="41">
        <v>10000000</v>
      </c>
      <c r="M1443" s="41">
        <v>0</v>
      </c>
      <c r="N1443" s="41">
        <v>116120833.33333559</v>
      </c>
      <c r="O1443" s="41">
        <v>79166.666666666672</v>
      </c>
      <c r="P1443" s="41">
        <v>75000000</v>
      </c>
      <c r="Q1443" s="41">
        <v>0</v>
      </c>
      <c r="R1443" s="41">
        <v>50000000</v>
      </c>
      <c r="S1443" s="41">
        <v>0</v>
      </c>
      <c r="T1443" s="41">
        <v>35000000</v>
      </c>
      <c r="U1443" s="41">
        <v>0</v>
      </c>
      <c r="V1443" s="41">
        <v>496120833.33333558</v>
      </c>
      <c r="W1443" s="41">
        <v>79166.666666666672</v>
      </c>
      <c r="X1443" s="38">
        <f t="shared" si="134"/>
        <v>0.99224166666667113</v>
      </c>
      <c r="Y1443" s="39">
        <f t="shared" si="135"/>
        <v>1.5833333333333335E-4</v>
      </c>
      <c r="Z1443" s="39">
        <f t="shared" si="137"/>
        <v>1.5959680806383801E-4</v>
      </c>
      <c r="AA1443" s="41">
        <f t="shared" si="132"/>
        <v>3879166.6666644216</v>
      </c>
      <c r="AB1443" s="39">
        <f t="shared" si="133"/>
        <v>2.0408163265317934E-2</v>
      </c>
      <c r="AC1443" s="38">
        <f t="shared" si="136"/>
        <v>0.1780961521336899</v>
      </c>
      <c r="AD1443" s="3"/>
    </row>
    <row r="1444" spans="1:30" x14ac:dyDescent="0.25">
      <c r="A1444" s="37">
        <v>47080</v>
      </c>
      <c r="B1444" s="41">
        <v>20000000</v>
      </c>
      <c r="C1444" s="41">
        <v>0</v>
      </c>
      <c r="D1444" s="41">
        <v>50000000</v>
      </c>
      <c r="E1444" s="41">
        <v>0</v>
      </c>
      <c r="F1444" s="41">
        <v>50000000</v>
      </c>
      <c r="G1444" s="41">
        <v>0</v>
      </c>
      <c r="H1444" s="41">
        <v>50000000</v>
      </c>
      <c r="I1444" s="41">
        <v>0</v>
      </c>
      <c r="J1444" s="41">
        <v>40000000</v>
      </c>
      <c r="K1444" s="41">
        <v>0</v>
      </c>
      <c r="L1444" s="41">
        <v>10000000</v>
      </c>
      <c r="M1444" s="41">
        <v>0</v>
      </c>
      <c r="N1444" s="41">
        <v>116200000.00000221</v>
      </c>
      <c r="O1444" s="41">
        <v>79166.666666666672</v>
      </c>
      <c r="P1444" s="41">
        <v>75000000</v>
      </c>
      <c r="Q1444" s="41">
        <v>0</v>
      </c>
      <c r="R1444" s="41">
        <v>50000000</v>
      </c>
      <c r="S1444" s="41">
        <v>0</v>
      </c>
      <c r="T1444" s="41">
        <v>35000000</v>
      </c>
      <c r="U1444" s="41">
        <v>0</v>
      </c>
      <c r="V1444" s="41">
        <v>496200000.00000232</v>
      </c>
      <c r="W1444" s="41">
        <v>79166.666666666672</v>
      </c>
      <c r="X1444" s="38">
        <f t="shared" si="134"/>
        <v>0.99240000000000461</v>
      </c>
      <c r="Y1444" s="39">
        <f t="shared" si="135"/>
        <v>1.5833333333333335E-4</v>
      </c>
      <c r="Z1444" s="39">
        <f t="shared" si="137"/>
        <v>1.59571340987158E-4</v>
      </c>
      <c r="AA1444" s="41">
        <f t="shared" si="132"/>
        <v>3799999.9999976754</v>
      </c>
      <c r="AB1444" s="39">
        <f t="shared" si="133"/>
        <v>2.0833333333346079E-2</v>
      </c>
      <c r="AC1444" s="38">
        <f t="shared" si="136"/>
        <v>0.17806267806267709</v>
      </c>
      <c r="AD1444" s="3"/>
    </row>
    <row r="1445" spans="1:30" x14ac:dyDescent="0.25">
      <c r="A1445" s="37">
        <v>47081</v>
      </c>
      <c r="B1445" s="41">
        <v>20000000</v>
      </c>
      <c r="C1445" s="41">
        <v>0</v>
      </c>
      <c r="D1445" s="41">
        <v>50000000</v>
      </c>
      <c r="E1445" s="41">
        <v>0</v>
      </c>
      <c r="F1445" s="41">
        <v>50000000</v>
      </c>
      <c r="G1445" s="41">
        <v>0</v>
      </c>
      <c r="H1445" s="41">
        <v>50000000</v>
      </c>
      <c r="I1445" s="41">
        <v>0</v>
      </c>
      <c r="J1445" s="41">
        <v>40000000</v>
      </c>
      <c r="K1445" s="41">
        <v>0</v>
      </c>
      <c r="L1445" s="41">
        <v>10000000</v>
      </c>
      <c r="M1445" s="41">
        <v>0</v>
      </c>
      <c r="N1445" s="41">
        <v>116279166.66666891</v>
      </c>
      <c r="O1445" s="41">
        <v>79166.666666666672</v>
      </c>
      <c r="P1445" s="41">
        <v>75000000</v>
      </c>
      <c r="Q1445" s="41">
        <v>0</v>
      </c>
      <c r="R1445" s="41">
        <v>50000000</v>
      </c>
      <c r="S1445" s="41">
        <v>0</v>
      </c>
      <c r="T1445" s="41">
        <v>35000000</v>
      </c>
      <c r="U1445" s="41">
        <v>0</v>
      </c>
      <c r="V1445" s="41">
        <v>496279166.66666889</v>
      </c>
      <c r="W1445" s="41">
        <v>79166.666666666672</v>
      </c>
      <c r="X1445" s="38">
        <f t="shared" si="134"/>
        <v>0.99255833333333776</v>
      </c>
      <c r="Y1445" s="39">
        <f t="shared" si="135"/>
        <v>1.5833333333333335E-4</v>
      </c>
      <c r="Z1445" s="39">
        <f t="shared" si="137"/>
        <v>1.5954588203681238E-4</v>
      </c>
      <c r="AA1445" s="41">
        <f t="shared" si="132"/>
        <v>3720833.3333311081</v>
      </c>
      <c r="AB1445" s="39">
        <f t="shared" si="133"/>
        <v>2.1276595744693576E-2</v>
      </c>
      <c r="AC1445" s="38">
        <f t="shared" si="136"/>
        <v>0.17802921657254103</v>
      </c>
      <c r="AD1445" s="3"/>
    </row>
    <row r="1446" spans="1:30" x14ac:dyDescent="0.25">
      <c r="A1446" s="37">
        <v>47082</v>
      </c>
      <c r="B1446" s="41">
        <v>20000000</v>
      </c>
      <c r="C1446" s="41">
        <v>0</v>
      </c>
      <c r="D1446" s="41">
        <v>50000000</v>
      </c>
      <c r="E1446" s="41">
        <v>0</v>
      </c>
      <c r="F1446" s="41">
        <v>50000000</v>
      </c>
      <c r="G1446" s="41">
        <v>0</v>
      </c>
      <c r="H1446" s="41">
        <v>50000000</v>
      </c>
      <c r="I1446" s="41">
        <v>0</v>
      </c>
      <c r="J1446" s="41">
        <v>40000000</v>
      </c>
      <c r="K1446" s="41">
        <v>0</v>
      </c>
      <c r="L1446" s="41">
        <v>10000000</v>
      </c>
      <c r="M1446" s="41">
        <v>0</v>
      </c>
      <c r="N1446" s="41">
        <v>116358333.33333559</v>
      </c>
      <c r="O1446" s="41">
        <v>79166.666666666672</v>
      </c>
      <c r="P1446" s="41">
        <v>75000000</v>
      </c>
      <c r="Q1446" s="41">
        <v>0</v>
      </c>
      <c r="R1446" s="41">
        <v>50000000</v>
      </c>
      <c r="S1446" s="41">
        <v>0</v>
      </c>
      <c r="T1446" s="41">
        <v>35000000</v>
      </c>
      <c r="U1446" s="41">
        <v>0</v>
      </c>
      <c r="V1446" s="41">
        <v>496358333.33333558</v>
      </c>
      <c r="W1446" s="41">
        <v>79166.666666666672</v>
      </c>
      <c r="X1446" s="38">
        <f t="shared" si="134"/>
        <v>0.99271666666667113</v>
      </c>
      <c r="Y1446" s="39">
        <f t="shared" si="135"/>
        <v>1.5833333333333335E-4</v>
      </c>
      <c r="Z1446" s="39">
        <f t="shared" si="137"/>
        <v>1.5952043120891229E-4</v>
      </c>
      <c r="AA1446" s="41">
        <f t="shared" si="132"/>
        <v>3641666.6666644216</v>
      </c>
      <c r="AB1446" s="39">
        <f t="shared" si="133"/>
        <v>2.1739130434796014E-2</v>
      </c>
      <c r="AC1446" s="38">
        <f t="shared" si="136"/>
        <v>0.17799576765619035</v>
      </c>
      <c r="AD1446" s="3"/>
    </row>
    <row r="1447" spans="1:30" x14ac:dyDescent="0.25">
      <c r="A1447" s="37">
        <v>47083</v>
      </c>
      <c r="B1447" s="41">
        <v>20000000</v>
      </c>
      <c r="C1447" s="41">
        <v>0</v>
      </c>
      <c r="D1447" s="41">
        <v>50000000</v>
      </c>
      <c r="E1447" s="41">
        <v>0</v>
      </c>
      <c r="F1447" s="41">
        <v>50000000</v>
      </c>
      <c r="G1447" s="41">
        <v>0</v>
      </c>
      <c r="H1447" s="41">
        <v>50000000</v>
      </c>
      <c r="I1447" s="41">
        <v>0</v>
      </c>
      <c r="J1447" s="41">
        <v>40000000</v>
      </c>
      <c r="K1447" s="41">
        <v>0</v>
      </c>
      <c r="L1447" s="41">
        <v>10000000</v>
      </c>
      <c r="M1447" s="41">
        <v>0</v>
      </c>
      <c r="N1447" s="41">
        <v>116437500.00000229</v>
      </c>
      <c r="O1447" s="41">
        <v>79166.666666666672</v>
      </c>
      <c r="P1447" s="41">
        <v>75000000</v>
      </c>
      <c r="Q1447" s="41">
        <v>0</v>
      </c>
      <c r="R1447" s="41">
        <v>50000000</v>
      </c>
      <c r="S1447" s="41">
        <v>0</v>
      </c>
      <c r="T1447" s="41">
        <v>35000000</v>
      </c>
      <c r="U1447" s="41">
        <v>0</v>
      </c>
      <c r="V1447" s="41">
        <v>496437500.00000232</v>
      </c>
      <c r="W1447" s="41">
        <v>79166.666666666672</v>
      </c>
      <c r="X1447" s="38">
        <f t="shared" si="134"/>
        <v>0.99287500000000461</v>
      </c>
      <c r="Y1447" s="39">
        <f t="shared" si="135"/>
        <v>1.5833333333333335E-4</v>
      </c>
      <c r="Z1447" s="39">
        <f t="shared" si="137"/>
        <v>1.5949498849957117E-4</v>
      </c>
      <c r="AA1447" s="41">
        <f t="shared" si="132"/>
        <v>3562499.9999976754</v>
      </c>
      <c r="AB1447" s="39">
        <f t="shared" si="133"/>
        <v>2.2222222222236725E-2</v>
      </c>
      <c r="AC1447" s="38">
        <f t="shared" si="136"/>
        <v>0.17796233130653913</v>
      </c>
      <c r="AD1447" s="3"/>
    </row>
    <row r="1448" spans="1:30" x14ac:dyDescent="0.25">
      <c r="A1448" s="37">
        <v>47084</v>
      </c>
      <c r="B1448" s="41">
        <v>20000000</v>
      </c>
      <c r="C1448" s="41">
        <v>0</v>
      </c>
      <c r="D1448" s="41">
        <v>50000000</v>
      </c>
      <c r="E1448" s="41">
        <v>0</v>
      </c>
      <c r="F1448" s="41">
        <v>50000000</v>
      </c>
      <c r="G1448" s="41">
        <v>0</v>
      </c>
      <c r="H1448" s="41">
        <v>50000000</v>
      </c>
      <c r="I1448" s="41">
        <v>0</v>
      </c>
      <c r="J1448" s="41">
        <v>40000000</v>
      </c>
      <c r="K1448" s="41">
        <v>0</v>
      </c>
      <c r="L1448" s="41">
        <v>10000000</v>
      </c>
      <c r="M1448" s="41">
        <v>0</v>
      </c>
      <c r="N1448" s="41">
        <v>116516666.66666891</v>
      </c>
      <c r="O1448" s="41">
        <v>79166.666666666672</v>
      </c>
      <c r="P1448" s="41">
        <v>75000000</v>
      </c>
      <c r="Q1448" s="41">
        <v>0</v>
      </c>
      <c r="R1448" s="41">
        <v>50000000</v>
      </c>
      <c r="S1448" s="41">
        <v>0</v>
      </c>
      <c r="T1448" s="41">
        <v>35000000</v>
      </c>
      <c r="U1448" s="41">
        <v>0</v>
      </c>
      <c r="V1448" s="41">
        <v>496516666.66666889</v>
      </c>
      <c r="W1448" s="41">
        <v>79166.666666666672</v>
      </c>
      <c r="X1448" s="38">
        <f t="shared" ref="X1448:X1492" si="138">V1448/$B$6</f>
        <v>0.99303333333333776</v>
      </c>
      <c r="Y1448" s="39">
        <f t="shared" si="135"/>
        <v>1.5833333333333335E-4</v>
      </c>
      <c r="Z1448" s="39">
        <f t="shared" si="137"/>
        <v>1.5946955390490504E-4</v>
      </c>
      <c r="AA1448" s="41">
        <f t="shared" si="132"/>
        <v>3483333.3333311081</v>
      </c>
      <c r="AB1448" s="39">
        <f t="shared" si="133"/>
        <v>2.2727272727287248E-2</v>
      </c>
      <c r="AC1448" s="38">
        <f t="shared" si="136"/>
        <v>0.17792890751650692</v>
      </c>
      <c r="AD1448" s="3"/>
    </row>
    <row r="1449" spans="1:30" x14ac:dyDescent="0.25">
      <c r="A1449" s="37">
        <v>47085</v>
      </c>
      <c r="B1449" s="41">
        <v>20000000</v>
      </c>
      <c r="C1449" s="41">
        <v>0</v>
      </c>
      <c r="D1449" s="41">
        <v>50000000</v>
      </c>
      <c r="E1449" s="41">
        <v>0</v>
      </c>
      <c r="F1449" s="41">
        <v>50000000</v>
      </c>
      <c r="G1449" s="41">
        <v>0</v>
      </c>
      <c r="H1449" s="41">
        <v>50000000</v>
      </c>
      <c r="I1449" s="41">
        <v>0</v>
      </c>
      <c r="J1449" s="41">
        <v>40000000</v>
      </c>
      <c r="K1449" s="41">
        <v>0</v>
      </c>
      <c r="L1449" s="41">
        <v>10000000</v>
      </c>
      <c r="M1449" s="41">
        <v>0</v>
      </c>
      <c r="N1449" s="41">
        <v>116595833.33333559</v>
      </c>
      <c r="O1449" s="41">
        <v>79166.666666666672</v>
      </c>
      <c r="P1449" s="41">
        <v>75000000</v>
      </c>
      <c r="Q1449" s="41">
        <v>0</v>
      </c>
      <c r="R1449" s="41">
        <v>50000000</v>
      </c>
      <c r="S1449" s="41">
        <v>0</v>
      </c>
      <c r="T1449" s="41">
        <v>35000000</v>
      </c>
      <c r="U1449" s="41">
        <v>0</v>
      </c>
      <c r="V1449" s="41">
        <v>496595833.33333558</v>
      </c>
      <c r="W1449" s="41">
        <v>79166.666666666672</v>
      </c>
      <c r="X1449" s="38">
        <f t="shared" si="138"/>
        <v>0.99319166666667114</v>
      </c>
      <c r="Y1449" s="39">
        <f t="shared" si="135"/>
        <v>1.5833333333333335E-4</v>
      </c>
      <c r="Z1449" s="39">
        <f t="shared" si="137"/>
        <v>1.5944412742103251E-4</v>
      </c>
      <c r="AA1449" s="41">
        <f t="shared" si="132"/>
        <v>3404166.6666644216</v>
      </c>
      <c r="AB1449" s="39">
        <f t="shared" si="133"/>
        <v>2.325581395350371E-2</v>
      </c>
      <c r="AC1449" s="38">
        <f t="shared" si="136"/>
        <v>0.17789549627901827</v>
      </c>
      <c r="AD1449" s="3"/>
    </row>
    <row r="1450" spans="1:30" x14ac:dyDescent="0.25">
      <c r="A1450" s="37">
        <v>47086</v>
      </c>
      <c r="B1450" s="41">
        <v>20000000</v>
      </c>
      <c r="C1450" s="41">
        <v>0</v>
      </c>
      <c r="D1450" s="41">
        <v>50000000</v>
      </c>
      <c r="E1450" s="41">
        <v>0</v>
      </c>
      <c r="F1450" s="41">
        <v>50000000</v>
      </c>
      <c r="G1450" s="41">
        <v>0</v>
      </c>
      <c r="H1450" s="41">
        <v>50000000</v>
      </c>
      <c r="I1450" s="41">
        <v>0</v>
      </c>
      <c r="J1450" s="41">
        <v>40000000</v>
      </c>
      <c r="K1450" s="41">
        <v>0</v>
      </c>
      <c r="L1450" s="41">
        <v>10000000</v>
      </c>
      <c r="M1450" s="41">
        <v>0</v>
      </c>
      <c r="N1450" s="41">
        <v>116675000.00000229</v>
      </c>
      <c r="O1450" s="41">
        <v>79166.666666666672</v>
      </c>
      <c r="P1450" s="41">
        <v>75000000</v>
      </c>
      <c r="Q1450" s="41">
        <v>0</v>
      </c>
      <c r="R1450" s="41">
        <v>50000000</v>
      </c>
      <c r="S1450" s="41">
        <v>0</v>
      </c>
      <c r="T1450" s="41">
        <v>35000000</v>
      </c>
      <c r="U1450" s="41">
        <v>0</v>
      </c>
      <c r="V1450" s="41">
        <v>496675000.00000232</v>
      </c>
      <c r="W1450" s="41">
        <v>79166.666666666672</v>
      </c>
      <c r="X1450" s="38">
        <f t="shared" si="138"/>
        <v>0.99335000000000462</v>
      </c>
      <c r="Y1450" s="39">
        <f t="shared" si="135"/>
        <v>1.5833333333333335E-4</v>
      </c>
      <c r="Z1450" s="39">
        <f t="shared" si="137"/>
        <v>1.5941870904407436E-4</v>
      </c>
      <c r="AA1450" s="41">
        <f t="shared" si="132"/>
        <v>3324999.9999976754</v>
      </c>
      <c r="AB1450" s="39">
        <f t="shared" si="133"/>
        <v>2.3809523809540458E-2</v>
      </c>
      <c r="AC1450" s="38">
        <f t="shared" si="136"/>
        <v>0.17786209758700322</v>
      </c>
      <c r="AD1450" s="3"/>
    </row>
    <row r="1451" spans="1:30" x14ac:dyDescent="0.25">
      <c r="A1451" s="37">
        <v>47087</v>
      </c>
      <c r="B1451" s="41">
        <v>20000000</v>
      </c>
      <c r="C1451" s="41">
        <v>0</v>
      </c>
      <c r="D1451" s="41">
        <v>50000000</v>
      </c>
      <c r="E1451" s="41">
        <v>0</v>
      </c>
      <c r="F1451" s="41">
        <v>50000000</v>
      </c>
      <c r="G1451" s="41">
        <v>0</v>
      </c>
      <c r="H1451" s="41">
        <v>50000000</v>
      </c>
      <c r="I1451" s="41">
        <v>0</v>
      </c>
      <c r="J1451" s="41">
        <v>40000000</v>
      </c>
      <c r="K1451" s="41">
        <v>0</v>
      </c>
      <c r="L1451" s="41">
        <v>10000000</v>
      </c>
      <c r="M1451" s="41">
        <v>0</v>
      </c>
      <c r="N1451" s="41">
        <v>116754166.66666891</v>
      </c>
      <c r="O1451" s="41">
        <v>79166.666666666672</v>
      </c>
      <c r="P1451" s="41">
        <v>75000000</v>
      </c>
      <c r="Q1451" s="41">
        <v>0</v>
      </c>
      <c r="R1451" s="41">
        <v>50000000</v>
      </c>
      <c r="S1451" s="41">
        <v>0</v>
      </c>
      <c r="T1451" s="41">
        <v>35000000</v>
      </c>
      <c r="U1451" s="41">
        <v>0</v>
      </c>
      <c r="V1451" s="41">
        <v>496754166.66666901</v>
      </c>
      <c r="W1451" s="41">
        <v>79166.666666666672</v>
      </c>
      <c r="X1451" s="38">
        <f t="shared" si="138"/>
        <v>0.99350833333333799</v>
      </c>
      <c r="Y1451" s="39">
        <f t="shared" si="135"/>
        <v>1.5833333333333335E-4</v>
      </c>
      <c r="Z1451" s="39">
        <f t="shared" si="137"/>
        <v>1.5939329877015412E-4</v>
      </c>
      <c r="AA1451" s="41">
        <f t="shared" si="132"/>
        <v>3245833.3333309889</v>
      </c>
      <c r="AB1451" s="39">
        <f t="shared" si="133"/>
        <v>2.4390243902456643E-2</v>
      </c>
      <c r="AC1451" s="38">
        <f t="shared" si="136"/>
        <v>0.17782871143339721</v>
      </c>
      <c r="AD1451" s="3"/>
    </row>
    <row r="1452" spans="1:30" x14ac:dyDescent="0.25">
      <c r="A1452" s="37">
        <v>47088</v>
      </c>
      <c r="B1452" s="41">
        <v>20000000</v>
      </c>
      <c r="C1452" s="41">
        <v>0</v>
      </c>
      <c r="D1452" s="41">
        <v>50000000</v>
      </c>
      <c r="E1452" s="41">
        <v>0</v>
      </c>
      <c r="F1452" s="41">
        <v>50000000</v>
      </c>
      <c r="G1452" s="41">
        <v>0</v>
      </c>
      <c r="H1452" s="41">
        <v>50000000</v>
      </c>
      <c r="I1452" s="41">
        <v>0</v>
      </c>
      <c r="J1452" s="41">
        <v>40000000</v>
      </c>
      <c r="K1452" s="41">
        <v>0</v>
      </c>
      <c r="L1452" s="41">
        <v>10000000</v>
      </c>
      <c r="M1452" s="41">
        <v>0</v>
      </c>
      <c r="N1452" s="41">
        <v>116833333.33333559</v>
      </c>
      <c r="O1452" s="41">
        <v>79166.666666666672</v>
      </c>
      <c r="P1452" s="41">
        <v>75000000</v>
      </c>
      <c r="Q1452" s="41">
        <v>0</v>
      </c>
      <c r="R1452" s="41">
        <v>50000000</v>
      </c>
      <c r="S1452" s="41">
        <v>0</v>
      </c>
      <c r="T1452" s="41">
        <v>35000000</v>
      </c>
      <c r="U1452" s="41">
        <v>0</v>
      </c>
      <c r="V1452" s="41">
        <v>496833333.33333558</v>
      </c>
      <c r="W1452" s="41">
        <v>79166.666666666672</v>
      </c>
      <c r="X1452" s="38">
        <f t="shared" si="138"/>
        <v>0.99366666666667114</v>
      </c>
      <c r="Y1452" s="39">
        <f t="shared" si="135"/>
        <v>1.5833333333333335E-4</v>
      </c>
      <c r="Z1452" s="39">
        <f t="shared" si="137"/>
        <v>1.5936789659539772E-4</v>
      </c>
      <c r="AA1452" s="41">
        <f t="shared" si="132"/>
        <v>3166666.6666644216</v>
      </c>
      <c r="AB1452" s="39">
        <f t="shared" si="133"/>
        <v>2.5000000000017727E-2</v>
      </c>
      <c r="AC1452" s="38">
        <f t="shared" si="136"/>
        <v>0.1777953378111409</v>
      </c>
      <c r="AD1452" s="3"/>
    </row>
    <row r="1453" spans="1:30" x14ac:dyDescent="0.25">
      <c r="A1453" s="37">
        <v>47089</v>
      </c>
      <c r="B1453" s="41">
        <v>20000000</v>
      </c>
      <c r="C1453" s="41">
        <v>0</v>
      </c>
      <c r="D1453" s="41">
        <v>50000000</v>
      </c>
      <c r="E1453" s="41">
        <v>0</v>
      </c>
      <c r="F1453" s="41">
        <v>50000000</v>
      </c>
      <c r="G1453" s="41">
        <v>0</v>
      </c>
      <c r="H1453" s="41">
        <v>50000000</v>
      </c>
      <c r="I1453" s="41">
        <v>0</v>
      </c>
      <c r="J1453" s="41">
        <v>40000000</v>
      </c>
      <c r="K1453" s="41">
        <v>0</v>
      </c>
      <c r="L1453" s="41">
        <v>10000000</v>
      </c>
      <c r="M1453" s="41">
        <v>0</v>
      </c>
      <c r="N1453" s="41">
        <v>116912500.00000229</v>
      </c>
      <c r="O1453" s="41">
        <v>79166.666666666672</v>
      </c>
      <c r="P1453" s="41">
        <v>75000000</v>
      </c>
      <c r="Q1453" s="41">
        <v>0</v>
      </c>
      <c r="R1453" s="41">
        <v>50000000</v>
      </c>
      <c r="S1453" s="41">
        <v>0</v>
      </c>
      <c r="T1453" s="41">
        <v>35000000</v>
      </c>
      <c r="U1453" s="41">
        <v>0</v>
      </c>
      <c r="V1453" s="41">
        <v>496912500.00000232</v>
      </c>
      <c r="W1453" s="41">
        <v>79166.666666666672</v>
      </c>
      <c r="X1453" s="38">
        <f t="shared" si="138"/>
        <v>0.99382500000000462</v>
      </c>
      <c r="Y1453" s="39">
        <f t="shared" si="135"/>
        <v>1.5833333333333335E-4</v>
      </c>
      <c r="Z1453" s="39">
        <f t="shared" si="137"/>
        <v>1.5934250251593355E-4</v>
      </c>
      <c r="AA1453" s="41">
        <f t="shared" si="132"/>
        <v>3087499.9999976754</v>
      </c>
      <c r="AB1453" s="39">
        <f t="shared" si="133"/>
        <v>2.5641025641044948E-2</v>
      </c>
      <c r="AC1453" s="38">
        <f t="shared" si="136"/>
        <v>0.17776197671318006</v>
      </c>
      <c r="AD1453" s="3"/>
    </row>
    <row r="1454" spans="1:30" x14ac:dyDescent="0.25">
      <c r="A1454" s="37">
        <v>47090</v>
      </c>
      <c r="B1454" s="41">
        <v>20000000</v>
      </c>
      <c r="C1454" s="41">
        <v>0</v>
      </c>
      <c r="D1454" s="41">
        <v>50000000</v>
      </c>
      <c r="E1454" s="41">
        <v>0</v>
      </c>
      <c r="F1454" s="41">
        <v>50000000</v>
      </c>
      <c r="G1454" s="41">
        <v>0</v>
      </c>
      <c r="H1454" s="41">
        <v>50000000</v>
      </c>
      <c r="I1454" s="41">
        <v>0</v>
      </c>
      <c r="J1454" s="41">
        <v>40000000</v>
      </c>
      <c r="K1454" s="41">
        <v>0</v>
      </c>
      <c r="L1454" s="41">
        <v>10000000</v>
      </c>
      <c r="M1454" s="41">
        <v>0</v>
      </c>
      <c r="N1454" s="41">
        <v>116991666.666669</v>
      </c>
      <c r="O1454" s="41">
        <v>79166.666666666672</v>
      </c>
      <c r="P1454" s="41">
        <v>75000000</v>
      </c>
      <c r="Q1454" s="41">
        <v>0</v>
      </c>
      <c r="R1454" s="41">
        <v>50000000</v>
      </c>
      <c r="S1454" s="41">
        <v>0</v>
      </c>
      <c r="T1454" s="41">
        <v>35000000</v>
      </c>
      <c r="U1454" s="41">
        <v>0</v>
      </c>
      <c r="V1454" s="41">
        <v>496991666.66666901</v>
      </c>
      <c r="W1454" s="41">
        <v>79166.666666666672</v>
      </c>
      <c r="X1454" s="38">
        <f t="shared" si="138"/>
        <v>0.99398333333333799</v>
      </c>
      <c r="Y1454" s="39">
        <f t="shared" si="135"/>
        <v>1.5833333333333335E-4</v>
      </c>
      <c r="Z1454" s="39">
        <f t="shared" si="137"/>
        <v>1.5931711652789234E-4</v>
      </c>
      <c r="AA1454" s="41">
        <f t="shared" si="132"/>
        <v>3008333.3333309889</v>
      </c>
      <c r="AB1454" s="39">
        <f t="shared" si="133"/>
        <v>2.631578947370472E-2</v>
      </c>
      <c r="AC1454" s="38">
        <f t="shared" si="136"/>
        <v>0.17772862813246609</v>
      </c>
      <c r="AD1454" s="3"/>
    </row>
    <row r="1455" spans="1:30" x14ac:dyDescent="0.25">
      <c r="A1455" s="37">
        <v>47091</v>
      </c>
      <c r="B1455" s="41">
        <v>20000000</v>
      </c>
      <c r="C1455" s="41">
        <v>0</v>
      </c>
      <c r="D1455" s="41">
        <v>50000000</v>
      </c>
      <c r="E1455" s="41">
        <v>0</v>
      </c>
      <c r="F1455" s="41">
        <v>50000000</v>
      </c>
      <c r="G1455" s="41">
        <v>0</v>
      </c>
      <c r="H1455" s="41">
        <v>50000000</v>
      </c>
      <c r="I1455" s="41">
        <v>0</v>
      </c>
      <c r="J1455" s="41">
        <v>40000000</v>
      </c>
      <c r="K1455" s="41">
        <v>0</v>
      </c>
      <c r="L1455" s="41">
        <v>10000000</v>
      </c>
      <c r="M1455" s="41">
        <v>0</v>
      </c>
      <c r="N1455" s="41">
        <v>117070833.33333559</v>
      </c>
      <c r="O1455" s="41">
        <v>79166.666666666672</v>
      </c>
      <c r="P1455" s="41">
        <v>75000000</v>
      </c>
      <c r="Q1455" s="41">
        <v>0</v>
      </c>
      <c r="R1455" s="41">
        <v>50000000</v>
      </c>
      <c r="S1455" s="41">
        <v>0</v>
      </c>
      <c r="T1455" s="41">
        <v>35000000</v>
      </c>
      <c r="U1455" s="41">
        <v>0</v>
      </c>
      <c r="V1455" s="41">
        <v>497070833.33333558</v>
      </c>
      <c r="W1455" s="41">
        <v>79166.666666666672</v>
      </c>
      <c r="X1455" s="38">
        <f t="shared" si="138"/>
        <v>0.99414166666667114</v>
      </c>
      <c r="Y1455" s="39">
        <f t="shared" si="135"/>
        <v>1.5833333333333335E-4</v>
      </c>
      <c r="Z1455" s="39">
        <f t="shared" si="137"/>
        <v>1.5929173862740749E-4</v>
      </c>
      <c r="AA1455" s="41">
        <f t="shared" si="132"/>
        <v>2929166.6666644216</v>
      </c>
      <c r="AB1455" s="39">
        <f t="shared" si="133"/>
        <v>2.7027027027047745E-2</v>
      </c>
      <c r="AC1455" s="38">
        <f t="shared" si="136"/>
        <v>0.17769529206195547</v>
      </c>
      <c r="AD1455" s="3"/>
    </row>
    <row r="1456" spans="1:30" x14ac:dyDescent="0.25">
      <c r="A1456" s="37">
        <v>47092</v>
      </c>
      <c r="B1456" s="41">
        <v>20000000</v>
      </c>
      <c r="C1456" s="41">
        <v>0</v>
      </c>
      <c r="D1456" s="41">
        <v>50000000</v>
      </c>
      <c r="E1456" s="41">
        <v>0</v>
      </c>
      <c r="F1456" s="41">
        <v>50000000</v>
      </c>
      <c r="G1456" s="41">
        <v>0</v>
      </c>
      <c r="H1456" s="41">
        <v>50000000</v>
      </c>
      <c r="I1456" s="41">
        <v>0</v>
      </c>
      <c r="J1456" s="41">
        <v>40000000</v>
      </c>
      <c r="K1456" s="41">
        <v>0</v>
      </c>
      <c r="L1456" s="41">
        <v>10000000</v>
      </c>
      <c r="M1456" s="41">
        <v>0</v>
      </c>
      <c r="N1456" s="41">
        <v>117150000.00000229</v>
      </c>
      <c r="O1456" s="41">
        <v>79166.666666666672</v>
      </c>
      <c r="P1456" s="41">
        <v>75000000</v>
      </c>
      <c r="Q1456" s="41">
        <v>0</v>
      </c>
      <c r="R1456" s="41">
        <v>50000000</v>
      </c>
      <c r="S1456" s="41">
        <v>0</v>
      </c>
      <c r="T1456" s="41">
        <v>35000000</v>
      </c>
      <c r="U1456" s="41">
        <v>0</v>
      </c>
      <c r="V1456" s="41">
        <v>497150000.00000232</v>
      </c>
      <c r="W1456" s="41">
        <v>79166.666666666672</v>
      </c>
      <c r="X1456" s="38">
        <f t="shared" si="138"/>
        <v>0.99430000000000462</v>
      </c>
      <c r="Y1456" s="39">
        <f t="shared" si="135"/>
        <v>1.5833333333333335E-4</v>
      </c>
      <c r="Z1456" s="39">
        <f t="shared" si="137"/>
        <v>1.5926636881061481E-4</v>
      </c>
      <c r="AA1456" s="41">
        <f t="shared" si="132"/>
        <v>2849999.9999976754</v>
      </c>
      <c r="AB1456" s="39">
        <f t="shared" si="133"/>
        <v>2.7777777777800435E-2</v>
      </c>
      <c r="AC1456" s="38">
        <f t="shared" si="136"/>
        <v>0.17766196849460994</v>
      </c>
      <c r="AD1456" s="3"/>
    </row>
    <row r="1457" spans="1:30" x14ac:dyDescent="0.25">
      <c r="A1457" s="37">
        <v>47093</v>
      </c>
      <c r="B1457" s="41">
        <v>20000000</v>
      </c>
      <c r="C1457" s="41">
        <v>0</v>
      </c>
      <c r="D1457" s="41">
        <v>50000000</v>
      </c>
      <c r="E1457" s="41">
        <v>0</v>
      </c>
      <c r="F1457" s="41">
        <v>50000000</v>
      </c>
      <c r="G1457" s="41">
        <v>0</v>
      </c>
      <c r="H1457" s="41">
        <v>50000000</v>
      </c>
      <c r="I1457" s="41">
        <v>0</v>
      </c>
      <c r="J1457" s="41">
        <v>40000000</v>
      </c>
      <c r="K1457" s="41">
        <v>0</v>
      </c>
      <c r="L1457" s="41">
        <v>10000000</v>
      </c>
      <c r="M1457" s="41">
        <v>0</v>
      </c>
      <c r="N1457" s="41">
        <v>117229166.666669</v>
      </c>
      <c r="O1457" s="41">
        <v>79166.666666666672</v>
      </c>
      <c r="P1457" s="41">
        <v>75000000</v>
      </c>
      <c r="Q1457" s="41">
        <v>0</v>
      </c>
      <c r="R1457" s="41">
        <v>50000000</v>
      </c>
      <c r="S1457" s="41">
        <v>0</v>
      </c>
      <c r="T1457" s="41">
        <v>35000000</v>
      </c>
      <c r="U1457" s="41">
        <v>0</v>
      </c>
      <c r="V1457" s="41">
        <v>497229166.66666901</v>
      </c>
      <c r="W1457" s="41">
        <v>79166.666666666672</v>
      </c>
      <c r="X1457" s="38">
        <f t="shared" si="138"/>
        <v>0.994458333333338</v>
      </c>
      <c r="Y1457" s="39">
        <f t="shared" si="135"/>
        <v>1.5833333333333335E-4</v>
      </c>
      <c r="Z1457" s="39">
        <f t="shared" si="137"/>
        <v>1.5924100707365242E-4</v>
      </c>
      <c r="AA1457" s="41">
        <f t="shared" si="132"/>
        <v>2770833.3333309889</v>
      </c>
      <c r="AB1457" s="39">
        <f t="shared" si="133"/>
        <v>2.8571428571452749E-2</v>
      </c>
      <c r="AC1457" s="38">
        <f t="shared" si="136"/>
        <v>0.17762865742339665</v>
      </c>
      <c r="AD1457" s="3"/>
    </row>
    <row r="1458" spans="1:30" x14ac:dyDescent="0.25">
      <c r="A1458" s="37">
        <v>47094</v>
      </c>
      <c r="B1458" s="41">
        <v>20000000</v>
      </c>
      <c r="C1458" s="41">
        <v>0</v>
      </c>
      <c r="D1458" s="41">
        <v>50000000</v>
      </c>
      <c r="E1458" s="41">
        <v>0</v>
      </c>
      <c r="F1458" s="41">
        <v>50000000</v>
      </c>
      <c r="G1458" s="41">
        <v>0</v>
      </c>
      <c r="H1458" s="41">
        <v>50000000</v>
      </c>
      <c r="I1458" s="41">
        <v>0</v>
      </c>
      <c r="J1458" s="41">
        <v>40000000</v>
      </c>
      <c r="K1458" s="41">
        <v>0</v>
      </c>
      <c r="L1458" s="41">
        <v>10000000</v>
      </c>
      <c r="M1458" s="41">
        <v>0</v>
      </c>
      <c r="N1458" s="41">
        <v>117308333.33333559</v>
      </c>
      <c r="O1458" s="41">
        <v>79166.666666666672</v>
      </c>
      <c r="P1458" s="41">
        <v>75000000</v>
      </c>
      <c r="Q1458" s="41">
        <v>0</v>
      </c>
      <c r="R1458" s="41">
        <v>50000000</v>
      </c>
      <c r="S1458" s="41">
        <v>0</v>
      </c>
      <c r="T1458" s="41">
        <v>35000000</v>
      </c>
      <c r="U1458" s="41">
        <v>0</v>
      </c>
      <c r="V1458" s="41">
        <v>497308333.33333558</v>
      </c>
      <c r="W1458" s="41">
        <v>79166.666666666672</v>
      </c>
      <c r="X1458" s="38">
        <f t="shared" si="138"/>
        <v>0.99461666666667115</v>
      </c>
      <c r="Y1458" s="39">
        <f t="shared" si="135"/>
        <v>1.5833333333333335E-4</v>
      </c>
      <c r="Z1458" s="39">
        <f t="shared" si="137"/>
        <v>1.5921565341266109E-4</v>
      </c>
      <c r="AA1458" s="41">
        <f t="shared" si="132"/>
        <v>2691666.6666644216</v>
      </c>
      <c r="AB1458" s="39">
        <f t="shared" si="133"/>
        <v>2.9411764705906888E-2</v>
      </c>
      <c r="AC1458" s="38">
        <f t="shared" si="136"/>
        <v>0.17759535884128799</v>
      </c>
      <c r="AD1458" s="3"/>
    </row>
    <row r="1459" spans="1:30" x14ac:dyDescent="0.25">
      <c r="A1459" s="37">
        <v>47095</v>
      </c>
      <c r="B1459" s="41">
        <v>20000000</v>
      </c>
      <c r="C1459" s="41">
        <v>0</v>
      </c>
      <c r="D1459" s="41">
        <v>50000000</v>
      </c>
      <c r="E1459" s="41">
        <v>0</v>
      </c>
      <c r="F1459" s="41">
        <v>50000000</v>
      </c>
      <c r="G1459" s="41">
        <v>0</v>
      </c>
      <c r="H1459" s="41">
        <v>50000000</v>
      </c>
      <c r="I1459" s="41">
        <v>0</v>
      </c>
      <c r="J1459" s="41">
        <v>40000000</v>
      </c>
      <c r="K1459" s="41">
        <v>0</v>
      </c>
      <c r="L1459" s="41">
        <v>10000000</v>
      </c>
      <c r="M1459" s="41">
        <v>0</v>
      </c>
      <c r="N1459" s="41">
        <v>117387500.00000229</v>
      </c>
      <c r="O1459" s="41">
        <v>79166.666666666672</v>
      </c>
      <c r="P1459" s="41">
        <v>75000000</v>
      </c>
      <c r="Q1459" s="41">
        <v>0</v>
      </c>
      <c r="R1459" s="41">
        <v>50000000</v>
      </c>
      <c r="S1459" s="41">
        <v>0</v>
      </c>
      <c r="T1459" s="41">
        <v>35000000</v>
      </c>
      <c r="U1459" s="41">
        <v>0</v>
      </c>
      <c r="V1459" s="41">
        <v>497387500.00000232</v>
      </c>
      <c r="W1459" s="41">
        <v>79166.666666666672</v>
      </c>
      <c r="X1459" s="38">
        <f t="shared" si="138"/>
        <v>0.99477500000000463</v>
      </c>
      <c r="Y1459" s="39">
        <f t="shared" si="135"/>
        <v>1.5833333333333335E-4</v>
      </c>
      <c r="Z1459" s="39">
        <f t="shared" si="137"/>
        <v>1.5919030782378399E-4</v>
      </c>
      <c r="AA1459" s="41">
        <f t="shared" si="132"/>
        <v>2612499.9999976754</v>
      </c>
      <c r="AB1459" s="39">
        <f t="shared" si="133"/>
        <v>3.0303030303057268E-2</v>
      </c>
      <c r="AC1459" s="38">
        <f t="shared" si="136"/>
        <v>0.17756207274126148</v>
      </c>
      <c r="AD1459" s="3"/>
    </row>
    <row r="1460" spans="1:30" x14ac:dyDescent="0.25">
      <c r="A1460" s="37">
        <v>47096</v>
      </c>
      <c r="B1460" s="41">
        <v>20000000</v>
      </c>
      <c r="C1460" s="41">
        <v>0</v>
      </c>
      <c r="D1460" s="41">
        <v>50000000</v>
      </c>
      <c r="E1460" s="41">
        <v>0</v>
      </c>
      <c r="F1460" s="41">
        <v>50000000</v>
      </c>
      <c r="G1460" s="41">
        <v>0</v>
      </c>
      <c r="H1460" s="41">
        <v>50000000</v>
      </c>
      <c r="I1460" s="41">
        <v>0</v>
      </c>
      <c r="J1460" s="41">
        <v>40000000</v>
      </c>
      <c r="K1460" s="41">
        <v>0</v>
      </c>
      <c r="L1460" s="41">
        <v>10000000</v>
      </c>
      <c r="M1460" s="41">
        <v>0</v>
      </c>
      <c r="N1460" s="41">
        <v>117466666.666669</v>
      </c>
      <c r="O1460" s="41">
        <v>79166.666666666672</v>
      </c>
      <c r="P1460" s="41">
        <v>75000000</v>
      </c>
      <c r="Q1460" s="41">
        <v>0</v>
      </c>
      <c r="R1460" s="41">
        <v>50000000</v>
      </c>
      <c r="S1460" s="41">
        <v>0</v>
      </c>
      <c r="T1460" s="41">
        <v>35000000</v>
      </c>
      <c r="U1460" s="41">
        <v>0</v>
      </c>
      <c r="V1460" s="41">
        <v>497466666.66666901</v>
      </c>
      <c r="W1460" s="41">
        <v>79166.666666666672</v>
      </c>
      <c r="X1460" s="38">
        <f t="shared" si="138"/>
        <v>0.994933333333338</v>
      </c>
      <c r="Y1460" s="39">
        <f t="shared" si="135"/>
        <v>1.5833333333333335E-4</v>
      </c>
      <c r="Z1460" s="39">
        <f t="shared" si="137"/>
        <v>1.5916497030316664E-4</v>
      </c>
      <c r="AA1460" s="41">
        <f t="shared" si="132"/>
        <v>2533333.3333309889</v>
      </c>
      <c r="AB1460" s="39">
        <f t="shared" si="133"/>
        <v>3.1250000000028921E-2</v>
      </c>
      <c r="AC1460" s="38">
        <f t="shared" si="136"/>
        <v>0.1775287991163001</v>
      </c>
      <c r="AD1460" s="3"/>
    </row>
    <row r="1461" spans="1:30" x14ac:dyDescent="0.25">
      <c r="A1461" s="37">
        <v>47097</v>
      </c>
      <c r="B1461" s="41">
        <v>20000000</v>
      </c>
      <c r="C1461" s="41">
        <v>0</v>
      </c>
      <c r="D1461" s="41">
        <v>50000000</v>
      </c>
      <c r="E1461" s="41">
        <v>0</v>
      </c>
      <c r="F1461" s="41">
        <v>50000000</v>
      </c>
      <c r="G1461" s="41">
        <v>0</v>
      </c>
      <c r="H1461" s="41">
        <v>50000000</v>
      </c>
      <c r="I1461" s="41">
        <v>0</v>
      </c>
      <c r="J1461" s="41">
        <v>40000000</v>
      </c>
      <c r="K1461" s="41">
        <v>0</v>
      </c>
      <c r="L1461" s="41">
        <v>10000000</v>
      </c>
      <c r="M1461" s="41">
        <v>0</v>
      </c>
      <c r="N1461" s="41">
        <v>117545833.3333357</v>
      </c>
      <c r="O1461" s="41">
        <v>79166.666666666672</v>
      </c>
      <c r="P1461" s="41">
        <v>75000000</v>
      </c>
      <c r="Q1461" s="41">
        <v>0</v>
      </c>
      <c r="R1461" s="41">
        <v>50000000</v>
      </c>
      <c r="S1461" s="41">
        <v>0</v>
      </c>
      <c r="T1461" s="41">
        <v>35000000</v>
      </c>
      <c r="U1461" s="41">
        <v>0</v>
      </c>
      <c r="V1461" s="41">
        <v>497545833.33333558</v>
      </c>
      <c r="W1461" s="41">
        <v>79166.666666666672</v>
      </c>
      <c r="X1461" s="38">
        <f t="shared" si="138"/>
        <v>0.99509166666667115</v>
      </c>
      <c r="Y1461" s="39">
        <f t="shared" si="135"/>
        <v>1.5833333333333335E-4</v>
      </c>
      <c r="Z1461" s="39">
        <f t="shared" si="137"/>
        <v>1.5913964084695719E-4</v>
      </c>
      <c r="AA1461" s="41">
        <f t="shared" si="132"/>
        <v>2454166.6666644216</v>
      </c>
      <c r="AB1461" s="39">
        <f t="shared" si="133"/>
        <v>3.2258064516158542E-2</v>
      </c>
      <c r="AC1461" s="38">
        <f t="shared" si="136"/>
        <v>0.17749553795939202</v>
      </c>
      <c r="AD1461" s="3"/>
    </row>
    <row r="1462" spans="1:30" x14ac:dyDescent="0.25">
      <c r="A1462" s="37">
        <v>47098</v>
      </c>
      <c r="B1462" s="41">
        <v>20000000</v>
      </c>
      <c r="C1462" s="41">
        <v>0</v>
      </c>
      <c r="D1462" s="41">
        <v>50000000</v>
      </c>
      <c r="E1462" s="41">
        <v>0</v>
      </c>
      <c r="F1462" s="41">
        <v>50000000</v>
      </c>
      <c r="G1462" s="41">
        <v>0</v>
      </c>
      <c r="H1462" s="41">
        <v>50000000</v>
      </c>
      <c r="I1462" s="41">
        <v>0</v>
      </c>
      <c r="J1462" s="41">
        <v>40000000</v>
      </c>
      <c r="K1462" s="41">
        <v>0</v>
      </c>
      <c r="L1462" s="41">
        <v>10000000</v>
      </c>
      <c r="M1462" s="41">
        <v>0</v>
      </c>
      <c r="N1462" s="41">
        <v>117625000.00000229</v>
      </c>
      <c r="O1462" s="41">
        <v>79166.666666666672</v>
      </c>
      <c r="P1462" s="41">
        <v>75000000</v>
      </c>
      <c r="Q1462" s="41">
        <v>0</v>
      </c>
      <c r="R1462" s="41">
        <v>50000000</v>
      </c>
      <c r="S1462" s="41">
        <v>0</v>
      </c>
      <c r="T1462" s="41">
        <v>35000000</v>
      </c>
      <c r="U1462" s="41">
        <v>0</v>
      </c>
      <c r="V1462" s="41">
        <v>497625000.00000232</v>
      </c>
      <c r="W1462" s="41">
        <v>79166.666666666672</v>
      </c>
      <c r="X1462" s="38">
        <f t="shared" si="138"/>
        <v>0.99525000000000463</v>
      </c>
      <c r="Y1462" s="39">
        <f t="shared" si="135"/>
        <v>1.5833333333333335E-4</v>
      </c>
      <c r="Z1462" s="39">
        <f t="shared" si="137"/>
        <v>1.5911431945130611E-4</v>
      </c>
      <c r="AA1462" s="41">
        <f t="shared" si="132"/>
        <v>2374999.9999976754</v>
      </c>
      <c r="AB1462" s="39">
        <f t="shared" si="133"/>
        <v>3.333333333336596E-2</v>
      </c>
      <c r="AC1462" s="38">
        <f t="shared" si="136"/>
        <v>0.17746228926353053</v>
      </c>
      <c r="AD1462" s="3"/>
    </row>
    <row r="1463" spans="1:30" x14ac:dyDescent="0.25">
      <c r="A1463" s="37">
        <v>47099</v>
      </c>
      <c r="B1463" s="41">
        <v>20000000</v>
      </c>
      <c r="C1463" s="41">
        <v>0</v>
      </c>
      <c r="D1463" s="41">
        <v>50000000</v>
      </c>
      <c r="E1463" s="41">
        <v>0</v>
      </c>
      <c r="F1463" s="41">
        <v>50000000</v>
      </c>
      <c r="G1463" s="41">
        <v>0</v>
      </c>
      <c r="H1463" s="41">
        <v>50000000</v>
      </c>
      <c r="I1463" s="41">
        <v>0</v>
      </c>
      <c r="J1463" s="41">
        <v>40000000</v>
      </c>
      <c r="K1463" s="41">
        <v>0</v>
      </c>
      <c r="L1463" s="41">
        <v>10000000</v>
      </c>
      <c r="M1463" s="41">
        <v>0</v>
      </c>
      <c r="N1463" s="41">
        <v>117704166.666669</v>
      </c>
      <c r="O1463" s="41">
        <v>79166.666666666672</v>
      </c>
      <c r="P1463" s="41">
        <v>75000000</v>
      </c>
      <c r="Q1463" s="41">
        <v>0</v>
      </c>
      <c r="R1463" s="41">
        <v>50000000</v>
      </c>
      <c r="S1463" s="41">
        <v>0</v>
      </c>
      <c r="T1463" s="41">
        <v>35000000</v>
      </c>
      <c r="U1463" s="41">
        <v>0</v>
      </c>
      <c r="V1463" s="41">
        <v>497704166.66666901</v>
      </c>
      <c r="W1463" s="41">
        <v>79166.666666666672</v>
      </c>
      <c r="X1463" s="38">
        <f t="shared" si="138"/>
        <v>0.995408333333338</v>
      </c>
      <c r="Y1463" s="39">
        <f t="shared" si="135"/>
        <v>1.5833333333333335E-4</v>
      </c>
      <c r="Z1463" s="39">
        <f t="shared" si="137"/>
        <v>1.5908900611236634E-4</v>
      </c>
      <c r="AA1463" s="41">
        <f t="shared" si="132"/>
        <v>2295833.3333309889</v>
      </c>
      <c r="AB1463" s="39">
        <f t="shared" si="133"/>
        <v>3.448275862072487E-2</v>
      </c>
      <c r="AC1463" s="38">
        <f t="shared" si="136"/>
        <v>0.17742905302171436</v>
      </c>
      <c r="AD1463" s="3"/>
    </row>
    <row r="1464" spans="1:30" x14ac:dyDescent="0.25">
      <c r="A1464" s="37">
        <v>47100</v>
      </c>
      <c r="B1464" s="41">
        <v>20000000</v>
      </c>
      <c r="C1464" s="41">
        <v>0</v>
      </c>
      <c r="D1464" s="41">
        <v>50000000</v>
      </c>
      <c r="E1464" s="41">
        <v>0</v>
      </c>
      <c r="F1464" s="41">
        <v>50000000</v>
      </c>
      <c r="G1464" s="41">
        <v>0</v>
      </c>
      <c r="H1464" s="41">
        <v>50000000</v>
      </c>
      <c r="I1464" s="41">
        <v>0</v>
      </c>
      <c r="J1464" s="41">
        <v>40000000</v>
      </c>
      <c r="K1464" s="41">
        <v>0</v>
      </c>
      <c r="L1464" s="41">
        <v>10000000</v>
      </c>
      <c r="M1464" s="41">
        <v>0</v>
      </c>
      <c r="N1464" s="41">
        <v>117783333.3333357</v>
      </c>
      <c r="O1464" s="41">
        <v>79166.666666666672</v>
      </c>
      <c r="P1464" s="41">
        <v>75000000</v>
      </c>
      <c r="Q1464" s="41">
        <v>0</v>
      </c>
      <c r="R1464" s="41">
        <v>50000000</v>
      </c>
      <c r="S1464" s="41">
        <v>0</v>
      </c>
      <c r="T1464" s="41">
        <v>35000000</v>
      </c>
      <c r="U1464" s="41">
        <v>0</v>
      </c>
      <c r="V1464" s="41">
        <v>497783333.33333558</v>
      </c>
      <c r="W1464" s="41">
        <v>79166.666666666672</v>
      </c>
      <c r="X1464" s="38">
        <f t="shared" si="138"/>
        <v>0.99556666666667115</v>
      </c>
      <c r="Y1464" s="39">
        <f t="shared" si="135"/>
        <v>1.5833333333333335E-4</v>
      </c>
      <c r="Z1464" s="39">
        <f t="shared" si="137"/>
        <v>1.5906370082629332E-4</v>
      </c>
      <c r="AA1464" s="41">
        <f t="shared" si="132"/>
        <v>2216666.6666644216</v>
      </c>
      <c r="AB1464" s="39">
        <f t="shared" si="133"/>
        <v>3.5714285714321892E-2</v>
      </c>
      <c r="AC1464" s="38">
        <f t="shared" si="136"/>
        <v>0.17739582922694747</v>
      </c>
      <c r="AD1464" s="3"/>
    </row>
    <row r="1465" spans="1:30" x14ac:dyDescent="0.25">
      <c r="A1465" s="37">
        <v>47101</v>
      </c>
      <c r="B1465" s="41">
        <v>20000000</v>
      </c>
      <c r="C1465" s="41">
        <v>0</v>
      </c>
      <c r="D1465" s="41">
        <v>50000000</v>
      </c>
      <c r="E1465" s="41">
        <v>0</v>
      </c>
      <c r="F1465" s="41">
        <v>50000000</v>
      </c>
      <c r="G1465" s="41">
        <v>0</v>
      </c>
      <c r="H1465" s="41">
        <v>50000000</v>
      </c>
      <c r="I1465" s="41">
        <v>0</v>
      </c>
      <c r="J1465" s="41">
        <v>40000000</v>
      </c>
      <c r="K1465" s="41">
        <v>0</v>
      </c>
      <c r="L1465" s="41">
        <v>10000000</v>
      </c>
      <c r="M1465" s="41">
        <v>0</v>
      </c>
      <c r="N1465" s="41">
        <v>117862500.00000229</v>
      </c>
      <c r="O1465" s="41">
        <v>79166.666666666672</v>
      </c>
      <c r="P1465" s="41">
        <v>75000000</v>
      </c>
      <c r="Q1465" s="41">
        <v>0</v>
      </c>
      <c r="R1465" s="41">
        <v>50000000</v>
      </c>
      <c r="S1465" s="41">
        <v>0</v>
      </c>
      <c r="T1465" s="41">
        <v>35000000</v>
      </c>
      <c r="U1465" s="41">
        <v>0</v>
      </c>
      <c r="V1465" s="41">
        <v>497862500.00000232</v>
      </c>
      <c r="W1465" s="41">
        <v>79166.666666666672</v>
      </c>
      <c r="X1465" s="38">
        <f t="shared" si="138"/>
        <v>0.99572500000000463</v>
      </c>
      <c r="Y1465" s="39">
        <f t="shared" si="135"/>
        <v>1.5833333333333335E-4</v>
      </c>
      <c r="Z1465" s="39">
        <f t="shared" si="137"/>
        <v>1.5903840358924494E-4</v>
      </c>
      <c r="AA1465" s="41">
        <f t="shared" si="132"/>
        <v>2137499.9999976754</v>
      </c>
      <c r="AB1465" s="39">
        <f t="shared" si="133"/>
        <v>3.7037037037077315E-2</v>
      </c>
      <c r="AC1465" s="38">
        <f t="shared" si="136"/>
        <v>0.17736261787223881</v>
      </c>
      <c r="AD1465" s="3"/>
    </row>
    <row r="1466" spans="1:30" x14ac:dyDescent="0.25">
      <c r="A1466" s="37">
        <v>47102</v>
      </c>
      <c r="B1466" s="41">
        <v>20000000</v>
      </c>
      <c r="C1466" s="41">
        <v>0</v>
      </c>
      <c r="D1466" s="41">
        <v>50000000</v>
      </c>
      <c r="E1466" s="41">
        <v>0</v>
      </c>
      <c r="F1466" s="41">
        <v>50000000</v>
      </c>
      <c r="G1466" s="41">
        <v>0</v>
      </c>
      <c r="H1466" s="41">
        <v>50000000</v>
      </c>
      <c r="I1466" s="41">
        <v>0</v>
      </c>
      <c r="J1466" s="41">
        <v>40000000</v>
      </c>
      <c r="K1466" s="41">
        <v>0</v>
      </c>
      <c r="L1466" s="41">
        <v>10000000</v>
      </c>
      <c r="M1466" s="41">
        <v>0</v>
      </c>
      <c r="N1466" s="41">
        <v>117941666.666669</v>
      </c>
      <c r="O1466" s="41">
        <v>79166.666666666672</v>
      </c>
      <c r="P1466" s="41">
        <v>75000000</v>
      </c>
      <c r="Q1466" s="41">
        <v>0</v>
      </c>
      <c r="R1466" s="41">
        <v>50000000</v>
      </c>
      <c r="S1466" s="41">
        <v>0</v>
      </c>
      <c r="T1466" s="41">
        <v>35000000</v>
      </c>
      <c r="U1466" s="41">
        <v>0</v>
      </c>
      <c r="V1466" s="41">
        <v>497941666.66666901</v>
      </c>
      <c r="W1466" s="41">
        <v>79166.666666666672</v>
      </c>
      <c r="X1466" s="38">
        <f t="shared" si="138"/>
        <v>0.99588333333333801</v>
      </c>
      <c r="Y1466" s="39">
        <f t="shared" si="135"/>
        <v>1.5833333333333335E-4</v>
      </c>
      <c r="Z1466" s="39">
        <f t="shared" si="137"/>
        <v>1.5901311439738141E-4</v>
      </c>
      <c r="AA1466" s="41">
        <f t="shared" si="132"/>
        <v>2058333.3333309889</v>
      </c>
      <c r="AB1466" s="39">
        <f t="shared" si="133"/>
        <v>3.8461538461582269E-2</v>
      </c>
      <c r="AC1466" s="38">
        <f t="shared" si="136"/>
        <v>0.17732941895060292</v>
      </c>
      <c r="AD1466" s="3"/>
    </row>
    <row r="1467" spans="1:30" x14ac:dyDescent="0.25">
      <c r="A1467" s="37">
        <v>47103</v>
      </c>
      <c r="B1467" s="41">
        <v>20000000</v>
      </c>
      <c r="C1467" s="41">
        <v>0</v>
      </c>
      <c r="D1467" s="41">
        <v>50000000</v>
      </c>
      <c r="E1467" s="41">
        <v>0</v>
      </c>
      <c r="F1467" s="41">
        <v>50000000</v>
      </c>
      <c r="G1467" s="41">
        <v>0</v>
      </c>
      <c r="H1467" s="41">
        <v>50000000</v>
      </c>
      <c r="I1467" s="41">
        <v>0</v>
      </c>
      <c r="J1467" s="41">
        <v>40000000</v>
      </c>
      <c r="K1467" s="41">
        <v>0</v>
      </c>
      <c r="L1467" s="41">
        <v>10000000</v>
      </c>
      <c r="M1467" s="41">
        <v>0</v>
      </c>
      <c r="N1467" s="41">
        <v>118020833.3333357</v>
      </c>
      <c r="O1467" s="41">
        <v>79166.666666666672</v>
      </c>
      <c r="P1467" s="41">
        <v>75000000</v>
      </c>
      <c r="Q1467" s="41">
        <v>0</v>
      </c>
      <c r="R1467" s="41">
        <v>50000000</v>
      </c>
      <c r="S1467" s="41">
        <v>0</v>
      </c>
      <c r="T1467" s="41">
        <v>35000000</v>
      </c>
      <c r="U1467" s="41">
        <v>0</v>
      </c>
      <c r="V1467" s="41">
        <v>498020833.3333357</v>
      </c>
      <c r="W1467" s="41">
        <v>79166.666666666672</v>
      </c>
      <c r="X1467" s="38">
        <f t="shared" si="138"/>
        <v>0.99604166666667138</v>
      </c>
      <c r="Y1467" s="39">
        <f t="shared" si="135"/>
        <v>1.5833333333333335E-4</v>
      </c>
      <c r="Z1467" s="39">
        <f t="shared" si="137"/>
        <v>1.5898783324686552E-4</v>
      </c>
      <c r="AA1467" s="41">
        <f t="shared" si="132"/>
        <v>1979166.6666643023</v>
      </c>
      <c r="AB1467" s="39">
        <f t="shared" si="133"/>
        <v>4.0000000000047789E-2</v>
      </c>
      <c r="AC1467" s="38">
        <f t="shared" si="136"/>
        <v>0.17729623245505935</v>
      </c>
      <c r="AD1467" s="3"/>
    </row>
    <row r="1468" spans="1:30" x14ac:dyDescent="0.25">
      <c r="A1468" s="37">
        <v>47104</v>
      </c>
      <c r="B1468" s="41">
        <v>20000000</v>
      </c>
      <c r="C1468" s="41">
        <v>0</v>
      </c>
      <c r="D1468" s="41">
        <v>50000000</v>
      </c>
      <c r="E1468" s="41">
        <v>0</v>
      </c>
      <c r="F1468" s="41">
        <v>50000000</v>
      </c>
      <c r="G1468" s="41">
        <v>0</v>
      </c>
      <c r="H1468" s="41">
        <v>50000000</v>
      </c>
      <c r="I1468" s="41">
        <v>0</v>
      </c>
      <c r="J1468" s="41">
        <v>40000000</v>
      </c>
      <c r="K1468" s="41">
        <v>0</v>
      </c>
      <c r="L1468" s="41">
        <v>10000000</v>
      </c>
      <c r="M1468" s="41">
        <v>0</v>
      </c>
      <c r="N1468" s="41">
        <v>118100000.0000024</v>
      </c>
      <c r="O1468" s="41">
        <v>79166.666666666672</v>
      </c>
      <c r="P1468" s="41">
        <v>75000000</v>
      </c>
      <c r="Q1468" s="41">
        <v>0</v>
      </c>
      <c r="R1468" s="41">
        <v>50000000</v>
      </c>
      <c r="S1468" s="41">
        <v>0</v>
      </c>
      <c r="T1468" s="41">
        <v>35000000</v>
      </c>
      <c r="U1468" s="41">
        <v>0</v>
      </c>
      <c r="V1468" s="41">
        <v>498100000.00000238</v>
      </c>
      <c r="W1468" s="41">
        <v>79166.666666666672</v>
      </c>
      <c r="X1468" s="38">
        <f t="shared" si="138"/>
        <v>0.99620000000000475</v>
      </c>
      <c r="Y1468" s="39">
        <f t="shared" si="135"/>
        <v>1.5833333333333335E-4</v>
      </c>
      <c r="Z1468" s="39">
        <f t="shared" si="137"/>
        <v>1.5896256013386246E-4</v>
      </c>
      <c r="AA1468" s="41">
        <f t="shared" si="132"/>
        <v>1899999.9999976158</v>
      </c>
      <c r="AB1468" s="39">
        <f t="shared" si="133"/>
        <v>4.1666666666718956E-2</v>
      </c>
      <c r="AC1468" s="38">
        <f t="shared" si="136"/>
        <v>0.1772630583786329</v>
      </c>
      <c r="AD1468" s="3"/>
    </row>
    <row r="1469" spans="1:30" x14ac:dyDescent="0.25">
      <c r="A1469" s="37">
        <v>47105</v>
      </c>
      <c r="B1469" s="41">
        <v>20000000</v>
      </c>
      <c r="C1469" s="41">
        <v>0</v>
      </c>
      <c r="D1469" s="41">
        <v>50000000</v>
      </c>
      <c r="E1469" s="41">
        <v>0</v>
      </c>
      <c r="F1469" s="41">
        <v>50000000</v>
      </c>
      <c r="G1469" s="41">
        <v>0</v>
      </c>
      <c r="H1469" s="41">
        <v>50000000</v>
      </c>
      <c r="I1469" s="41">
        <v>0</v>
      </c>
      <c r="J1469" s="41">
        <v>40000000</v>
      </c>
      <c r="K1469" s="41">
        <v>0</v>
      </c>
      <c r="L1469" s="41">
        <v>10000000</v>
      </c>
      <c r="M1469" s="41">
        <v>0</v>
      </c>
      <c r="N1469" s="41">
        <v>118179166.666669</v>
      </c>
      <c r="O1469" s="41">
        <v>79166.666666666672</v>
      </c>
      <c r="P1469" s="41">
        <v>75000000</v>
      </c>
      <c r="Q1469" s="41">
        <v>0</v>
      </c>
      <c r="R1469" s="41">
        <v>50000000</v>
      </c>
      <c r="S1469" s="41">
        <v>0</v>
      </c>
      <c r="T1469" s="41">
        <v>35000000</v>
      </c>
      <c r="U1469" s="41">
        <v>0</v>
      </c>
      <c r="V1469" s="41">
        <v>498179166.66666901</v>
      </c>
      <c r="W1469" s="41">
        <v>79166.666666666672</v>
      </c>
      <c r="X1469" s="38">
        <f t="shared" si="138"/>
        <v>0.99635833333333801</v>
      </c>
      <c r="Y1469" s="39">
        <f t="shared" si="135"/>
        <v>1.5833333333333335E-4</v>
      </c>
      <c r="Z1469" s="39">
        <f t="shared" si="137"/>
        <v>1.5893729505453983E-4</v>
      </c>
      <c r="AA1469" s="41">
        <f t="shared" si="132"/>
        <v>1820833.3333309889</v>
      </c>
      <c r="AB1469" s="39">
        <f t="shared" si="133"/>
        <v>4.3478260869621199E-2</v>
      </c>
      <c r="AC1469" s="38">
        <f t="shared" si="136"/>
        <v>0.17722989671435366</v>
      </c>
      <c r="AD1469" s="3"/>
    </row>
    <row r="1470" spans="1:30" x14ac:dyDescent="0.25">
      <c r="A1470" s="37">
        <v>47106</v>
      </c>
      <c r="B1470" s="41">
        <v>20000000</v>
      </c>
      <c r="C1470" s="41">
        <v>0</v>
      </c>
      <c r="D1470" s="41">
        <v>50000000</v>
      </c>
      <c r="E1470" s="41">
        <v>0</v>
      </c>
      <c r="F1470" s="41">
        <v>50000000</v>
      </c>
      <c r="G1470" s="41">
        <v>0</v>
      </c>
      <c r="H1470" s="41">
        <v>50000000</v>
      </c>
      <c r="I1470" s="41">
        <v>0</v>
      </c>
      <c r="J1470" s="41">
        <v>40000000</v>
      </c>
      <c r="K1470" s="41">
        <v>0</v>
      </c>
      <c r="L1470" s="41">
        <v>10000000</v>
      </c>
      <c r="M1470" s="41">
        <v>0</v>
      </c>
      <c r="N1470" s="41">
        <v>118258333.3333357</v>
      </c>
      <c r="O1470" s="41">
        <v>79166.666666666672</v>
      </c>
      <c r="P1470" s="41">
        <v>75000000</v>
      </c>
      <c r="Q1470" s="41">
        <v>0</v>
      </c>
      <c r="R1470" s="41">
        <v>50000000</v>
      </c>
      <c r="S1470" s="41">
        <v>0</v>
      </c>
      <c r="T1470" s="41">
        <v>35000000</v>
      </c>
      <c r="U1470" s="41">
        <v>0</v>
      </c>
      <c r="V1470" s="41">
        <v>498258333.3333357</v>
      </c>
      <c r="W1470" s="41">
        <v>79166.666666666672</v>
      </c>
      <c r="X1470" s="38">
        <f t="shared" si="138"/>
        <v>0.99651666666667138</v>
      </c>
      <c r="Y1470" s="39">
        <f t="shared" si="135"/>
        <v>1.5833333333333335E-4</v>
      </c>
      <c r="Z1470" s="39">
        <f t="shared" si="137"/>
        <v>1.5891203800506772E-4</v>
      </c>
      <c r="AA1470" s="41">
        <f t="shared" si="132"/>
        <v>1741666.6666643023</v>
      </c>
      <c r="AB1470" s="39">
        <f t="shared" si="133"/>
        <v>4.5454545454607163E-2</v>
      </c>
      <c r="AC1470" s="38">
        <f t="shared" si="136"/>
        <v>0.17719674745525682</v>
      </c>
      <c r="AD1470" s="3"/>
    </row>
    <row r="1471" spans="1:30" x14ac:dyDescent="0.25">
      <c r="A1471" s="37">
        <v>47107</v>
      </c>
      <c r="B1471" s="41">
        <v>20000000</v>
      </c>
      <c r="C1471" s="41">
        <v>0</v>
      </c>
      <c r="D1471" s="41">
        <v>50000000</v>
      </c>
      <c r="E1471" s="41">
        <v>0</v>
      </c>
      <c r="F1471" s="41">
        <v>50000000</v>
      </c>
      <c r="G1471" s="41">
        <v>0</v>
      </c>
      <c r="H1471" s="41">
        <v>50000000</v>
      </c>
      <c r="I1471" s="41">
        <v>0</v>
      </c>
      <c r="J1471" s="41">
        <v>40000000</v>
      </c>
      <c r="K1471" s="41">
        <v>0</v>
      </c>
      <c r="L1471" s="41">
        <v>10000000</v>
      </c>
      <c r="M1471" s="41">
        <v>0</v>
      </c>
      <c r="N1471" s="41">
        <v>118337500.0000024</v>
      </c>
      <c r="O1471" s="41">
        <v>79166.666666666672</v>
      </c>
      <c r="P1471" s="41">
        <v>75000000</v>
      </c>
      <c r="Q1471" s="41">
        <v>0</v>
      </c>
      <c r="R1471" s="41">
        <v>50000000</v>
      </c>
      <c r="S1471" s="41">
        <v>0</v>
      </c>
      <c r="T1471" s="41">
        <v>35000000</v>
      </c>
      <c r="U1471" s="41">
        <v>0</v>
      </c>
      <c r="V1471" s="41">
        <v>498337500.00000238</v>
      </c>
      <c r="W1471" s="41">
        <v>79166.666666666672</v>
      </c>
      <c r="X1471" s="38">
        <f t="shared" si="138"/>
        <v>0.99667500000000475</v>
      </c>
      <c r="Y1471" s="39">
        <f t="shared" si="135"/>
        <v>1.5833333333333335E-4</v>
      </c>
      <c r="Z1471" s="39">
        <f t="shared" si="137"/>
        <v>1.5888678898161857E-4</v>
      </c>
      <c r="AA1471" s="41">
        <f t="shared" si="132"/>
        <v>1662499.9999976158</v>
      </c>
      <c r="AB1471" s="39">
        <f t="shared" si="133"/>
        <v>4.7619047619115909E-2</v>
      </c>
      <c r="AC1471" s="38">
        <f t="shared" si="136"/>
        <v>0.1771636105943829</v>
      </c>
      <c r="AD1471" s="3"/>
    </row>
    <row r="1472" spans="1:30" x14ac:dyDescent="0.25">
      <c r="A1472" s="37">
        <v>47108</v>
      </c>
      <c r="B1472" s="41">
        <v>20000000</v>
      </c>
      <c r="C1472" s="41">
        <v>0</v>
      </c>
      <c r="D1472" s="41">
        <v>50000000</v>
      </c>
      <c r="E1472" s="41">
        <v>0</v>
      </c>
      <c r="F1472" s="41">
        <v>50000000</v>
      </c>
      <c r="G1472" s="41">
        <v>0</v>
      </c>
      <c r="H1472" s="41">
        <v>50000000</v>
      </c>
      <c r="I1472" s="41">
        <v>0</v>
      </c>
      <c r="J1472" s="41">
        <v>40000000</v>
      </c>
      <c r="K1472" s="41">
        <v>0</v>
      </c>
      <c r="L1472" s="41">
        <v>10000000</v>
      </c>
      <c r="M1472" s="41">
        <v>0</v>
      </c>
      <c r="N1472" s="41">
        <v>118416666.666669</v>
      </c>
      <c r="O1472" s="41">
        <v>79166.666666666672</v>
      </c>
      <c r="P1472" s="41">
        <v>75000000</v>
      </c>
      <c r="Q1472" s="41">
        <v>0</v>
      </c>
      <c r="R1472" s="41">
        <v>50000000</v>
      </c>
      <c r="S1472" s="41">
        <v>0</v>
      </c>
      <c r="T1472" s="41">
        <v>35000000</v>
      </c>
      <c r="U1472" s="41">
        <v>0</v>
      </c>
      <c r="V1472" s="41">
        <v>498416666.66666901</v>
      </c>
      <c r="W1472" s="41">
        <v>79166.666666666672</v>
      </c>
      <c r="X1472" s="38">
        <f t="shared" si="138"/>
        <v>0.99683333333333801</v>
      </c>
      <c r="Y1472" s="39">
        <f t="shared" si="135"/>
        <v>1.5833333333333335E-4</v>
      </c>
      <c r="Z1472" s="39">
        <f t="shared" si="137"/>
        <v>1.588615479803673E-4</v>
      </c>
      <c r="AA1472" s="41">
        <f t="shared" si="132"/>
        <v>1583333.3333309889</v>
      </c>
      <c r="AB1472" s="39">
        <f t="shared" si="133"/>
        <v>5.0000000000074041E-2</v>
      </c>
      <c r="AC1472" s="38">
        <f t="shared" si="136"/>
        <v>0.17713048612477761</v>
      </c>
      <c r="AD1472" s="3"/>
    </row>
    <row r="1473" spans="1:30" x14ac:dyDescent="0.25">
      <c r="A1473" s="37">
        <v>47109</v>
      </c>
      <c r="B1473" s="41">
        <v>20000000</v>
      </c>
      <c r="C1473" s="41">
        <v>0</v>
      </c>
      <c r="D1473" s="41">
        <v>50000000</v>
      </c>
      <c r="E1473" s="41">
        <v>0</v>
      </c>
      <c r="F1473" s="41">
        <v>50000000</v>
      </c>
      <c r="G1473" s="41">
        <v>0</v>
      </c>
      <c r="H1473" s="41">
        <v>50000000</v>
      </c>
      <c r="I1473" s="41">
        <v>0</v>
      </c>
      <c r="J1473" s="41">
        <v>40000000</v>
      </c>
      <c r="K1473" s="41">
        <v>0</v>
      </c>
      <c r="L1473" s="41">
        <v>10000000</v>
      </c>
      <c r="M1473" s="41">
        <v>0</v>
      </c>
      <c r="N1473" s="41">
        <v>118495833.3333357</v>
      </c>
      <c r="O1473" s="41">
        <v>79166.666666666672</v>
      </c>
      <c r="P1473" s="41">
        <v>75000000</v>
      </c>
      <c r="Q1473" s="41">
        <v>0</v>
      </c>
      <c r="R1473" s="41">
        <v>50000000</v>
      </c>
      <c r="S1473" s="41">
        <v>0</v>
      </c>
      <c r="T1473" s="41">
        <v>35000000</v>
      </c>
      <c r="U1473" s="41">
        <v>0</v>
      </c>
      <c r="V1473" s="41">
        <v>498495833.3333357</v>
      </c>
      <c r="W1473" s="41">
        <v>79166.666666666672</v>
      </c>
      <c r="X1473" s="38">
        <f t="shared" si="138"/>
        <v>0.99699166666667138</v>
      </c>
      <c r="Y1473" s="39">
        <f t="shared" si="135"/>
        <v>1.5833333333333335E-4</v>
      </c>
      <c r="Z1473" s="39">
        <f t="shared" si="137"/>
        <v>1.5883631499749132E-4</v>
      </c>
      <c r="AA1473" s="41">
        <f t="shared" si="132"/>
        <v>1504166.6666643023</v>
      </c>
      <c r="AB1473" s="39">
        <f t="shared" si="133"/>
        <v>5.2631578947451151E-2</v>
      </c>
      <c r="AC1473" s="38">
        <f t="shared" si="136"/>
        <v>0.17709737403949172</v>
      </c>
      <c r="AD1473" s="3"/>
    </row>
    <row r="1474" spans="1:30" x14ac:dyDescent="0.25">
      <c r="A1474" s="37">
        <v>47110</v>
      </c>
      <c r="B1474" s="41">
        <v>20000000</v>
      </c>
      <c r="C1474" s="41">
        <v>0</v>
      </c>
      <c r="D1474" s="41">
        <v>50000000</v>
      </c>
      <c r="E1474" s="41">
        <v>0</v>
      </c>
      <c r="F1474" s="41">
        <v>50000000</v>
      </c>
      <c r="G1474" s="41">
        <v>0</v>
      </c>
      <c r="H1474" s="41">
        <v>50000000</v>
      </c>
      <c r="I1474" s="41">
        <v>0</v>
      </c>
      <c r="J1474" s="41">
        <v>40000000</v>
      </c>
      <c r="K1474" s="41">
        <v>0</v>
      </c>
      <c r="L1474" s="41">
        <v>10000000</v>
      </c>
      <c r="M1474" s="41">
        <v>0</v>
      </c>
      <c r="N1474" s="41">
        <v>118575000.0000024</v>
      </c>
      <c r="O1474" s="41">
        <v>79166.666666666672</v>
      </c>
      <c r="P1474" s="41">
        <v>75000000</v>
      </c>
      <c r="Q1474" s="41">
        <v>0</v>
      </c>
      <c r="R1474" s="41">
        <v>50000000</v>
      </c>
      <c r="S1474" s="41">
        <v>0</v>
      </c>
      <c r="T1474" s="41">
        <v>35000000</v>
      </c>
      <c r="U1474" s="41">
        <v>0</v>
      </c>
      <c r="V1474" s="41">
        <v>498575000.00000238</v>
      </c>
      <c r="W1474" s="41">
        <v>79166.666666666672</v>
      </c>
      <c r="X1474" s="38">
        <f t="shared" si="138"/>
        <v>0.99715000000000475</v>
      </c>
      <c r="Y1474" s="39">
        <f t="shared" si="135"/>
        <v>1.5833333333333335E-4</v>
      </c>
      <c r="Z1474" s="39">
        <f t="shared" si="137"/>
        <v>1.5881109002917034E-4</v>
      </c>
      <c r="AA1474" s="41">
        <f t="shared" si="132"/>
        <v>1424999.9999976158</v>
      </c>
      <c r="AB1474" s="39">
        <f t="shared" si="133"/>
        <v>5.5555555555648513E-2</v>
      </c>
      <c r="AC1474" s="38">
        <f t="shared" si="136"/>
        <v>0.17706427433158137</v>
      </c>
      <c r="AD1474" s="3"/>
    </row>
    <row r="1475" spans="1:30" x14ac:dyDescent="0.25">
      <c r="A1475" s="37">
        <v>47111</v>
      </c>
      <c r="B1475" s="41">
        <v>20000000</v>
      </c>
      <c r="C1475" s="41">
        <v>0</v>
      </c>
      <c r="D1475" s="41">
        <v>50000000</v>
      </c>
      <c r="E1475" s="41">
        <v>0</v>
      </c>
      <c r="F1475" s="41">
        <v>50000000</v>
      </c>
      <c r="G1475" s="41">
        <v>0</v>
      </c>
      <c r="H1475" s="41">
        <v>50000000</v>
      </c>
      <c r="I1475" s="41">
        <v>0</v>
      </c>
      <c r="J1475" s="41">
        <v>40000000</v>
      </c>
      <c r="K1475" s="41">
        <v>0</v>
      </c>
      <c r="L1475" s="41">
        <v>10000000</v>
      </c>
      <c r="M1475" s="41">
        <v>0</v>
      </c>
      <c r="N1475" s="41">
        <v>118654166.6666691</v>
      </c>
      <c r="O1475" s="41">
        <v>79166.666666666672</v>
      </c>
      <c r="P1475" s="41">
        <v>75000000</v>
      </c>
      <c r="Q1475" s="41">
        <v>0</v>
      </c>
      <c r="R1475" s="41">
        <v>50000000</v>
      </c>
      <c r="S1475" s="41">
        <v>0</v>
      </c>
      <c r="T1475" s="41">
        <v>35000000</v>
      </c>
      <c r="U1475" s="41">
        <v>0</v>
      </c>
      <c r="V1475" s="41">
        <v>498654166.66666907</v>
      </c>
      <c r="W1475" s="41">
        <v>79166.666666666672</v>
      </c>
      <c r="X1475" s="38">
        <f t="shared" si="138"/>
        <v>0.99730833333333813</v>
      </c>
      <c r="Y1475" s="39">
        <f t="shared" si="135"/>
        <v>1.5833333333333335E-4</v>
      </c>
      <c r="Z1475" s="39">
        <f t="shared" si="137"/>
        <v>1.5878587307158662E-4</v>
      </c>
      <c r="AA1475" s="41">
        <f t="shared" si="132"/>
        <v>1345833.3333309293</v>
      </c>
      <c r="AB1475" s="39">
        <f t="shared" si="133"/>
        <v>5.8823529411869788E-2</v>
      </c>
      <c r="AC1475" s="38">
        <f t="shared" si="136"/>
        <v>0.1770311869941078</v>
      </c>
      <c r="AD1475" s="3"/>
    </row>
    <row r="1476" spans="1:30" x14ac:dyDescent="0.25">
      <c r="A1476" s="37">
        <v>47112</v>
      </c>
      <c r="B1476" s="41">
        <v>20000000</v>
      </c>
      <c r="C1476" s="41">
        <v>0</v>
      </c>
      <c r="D1476" s="41">
        <v>50000000</v>
      </c>
      <c r="E1476" s="41">
        <v>0</v>
      </c>
      <c r="F1476" s="41">
        <v>50000000</v>
      </c>
      <c r="G1476" s="41">
        <v>0</v>
      </c>
      <c r="H1476" s="41">
        <v>50000000</v>
      </c>
      <c r="I1476" s="41">
        <v>0</v>
      </c>
      <c r="J1476" s="41">
        <v>40000000</v>
      </c>
      <c r="K1476" s="41">
        <v>0</v>
      </c>
      <c r="L1476" s="41">
        <v>10000000</v>
      </c>
      <c r="M1476" s="41">
        <v>0</v>
      </c>
      <c r="N1476" s="41">
        <v>118733333.3333357</v>
      </c>
      <c r="O1476" s="41">
        <v>79166.666666666672</v>
      </c>
      <c r="P1476" s="41">
        <v>75000000</v>
      </c>
      <c r="Q1476" s="41">
        <v>0</v>
      </c>
      <c r="R1476" s="41">
        <v>50000000</v>
      </c>
      <c r="S1476" s="41">
        <v>0</v>
      </c>
      <c r="T1476" s="41">
        <v>35000000</v>
      </c>
      <c r="U1476" s="41">
        <v>0</v>
      </c>
      <c r="V1476" s="41">
        <v>498733333.33333582</v>
      </c>
      <c r="W1476" s="41">
        <v>79166.666666666672</v>
      </c>
      <c r="X1476" s="38">
        <f t="shared" si="138"/>
        <v>0.99746666666667161</v>
      </c>
      <c r="Y1476" s="39">
        <f t="shared" si="135"/>
        <v>1.5833333333333335E-4</v>
      </c>
      <c r="Z1476" s="39">
        <f t="shared" si="137"/>
        <v>1.5876066412092474E-4</v>
      </c>
      <c r="AA1476" s="41">
        <f t="shared" si="132"/>
        <v>1266666.6666641831</v>
      </c>
      <c r="AB1476" s="39">
        <f t="shared" si="133"/>
        <v>6.2500000000122541E-2</v>
      </c>
      <c r="AC1476" s="38">
        <f t="shared" si="136"/>
        <v>0.1769981120201374</v>
      </c>
      <c r="AD1476" s="3"/>
    </row>
    <row r="1477" spans="1:30" x14ac:dyDescent="0.25">
      <c r="A1477" s="37">
        <v>47113</v>
      </c>
      <c r="B1477" s="41">
        <v>20000000</v>
      </c>
      <c r="C1477" s="41">
        <v>0</v>
      </c>
      <c r="D1477" s="41">
        <v>50000000</v>
      </c>
      <c r="E1477" s="41">
        <v>0</v>
      </c>
      <c r="F1477" s="41">
        <v>50000000</v>
      </c>
      <c r="G1477" s="41">
        <v>0</v>
      </c>
      <c r="H1477" s="41">
        <v>50000000</v>
      </c>
      <c r="I1477" s="41">
        <v>0</v>
      </c>
      <c r="J1477" s="41">
        <v>40000000</v>
      </c>
      <c r="K1477" s="41">
        <v>0</v>
      </c>
      <c r="L1477" s="41">
        <v>10000000</v>
      </c>
      <c r="M1477" s="41">
        <v>0</v>
      </c>
      <c r="N1477" s="41">
        <v>118812500.0000024</v>
      </c>
      <c r="O1477" s="41">
        <v>79166.666666666672</v>
      </c>
      <c r="P1477" s="41">
        <v>75000000</v>
      </c>
      <c r="Q1477" s="41">
        <v>0</v>
      </c>
      <c r="R1477" s="41">
        <v>50000000</v>
      </c>
      <c r="S1477" s="41">
        <v>0</v>
      </c>
      <c r="T1477" s="41">
        <v>35000000</v>
      </c>
      <c r="U1477" s="41">
        <v>0</v>
      </c>
      <c r="V1477" s="41">
        <v>498812500.00000238</v>
      </c>
      <c r="W1477" s="41">
        <v>79166.666666666672</v>
      </c>
      <c r="X1477" s="38">
        <f t="shared" si="138"/>
        <v>0.99762500000000476</v>
      </c>
      <c r="Y1477" s="39">
        <f t="shared" si="135"/>
        <v>1.5833333333333335E-4</v>
      </c>
      <c r="Z1477" s="39">
        <f t="shared" si="137"/>
        <v>1.5873546317337177E-4</v>
      </c>
      <c r="AA1477" s="41">
        <f t="shared" si="132"/>
        <v>1187499.9999976158</v>
      </c>
      <c r="AB1477" s="39">
        <f t="shared" si="133"/>
        <v>6.6666666666800517E-2</v>
      </c>
      <c r="AC1477" s="38">
        <f t="shared" si="136"/>
        <v>0.17696504940274196</v>
      </c>
      <c r="AD1477" s="3"/>
    </row>
    <row r="1478" spans="1:30" x14ac:dyDescent="0.25">
      <c r="A1478" s="37">
        <v>47114</v>
      </c>
      <c r="B1478" s="41">
        <v>20000000</v>
      </c>
      <c r="C1478" s="41">
        <v>0</v>
      </c>
      <c r="D1478" s="41">
        <v>50000000</v>
      </c>
      <c r="E1478" s="41">
        <v>0</v>
      </c>
      <c r="F1478" s="41">
        <v>50000000</v>
      </c>
      <c r="G1478" s="41">
        <v>0</v>
      </c>
      <c r="H1478" s="41">
        <v>50000000</v>
      </c>
      <c r="I1478" s="41">
        <v>0</v>
      </c>
      <c r="J1478" s="41">
        <v>40000000</v>
      </c>
      <c r="K1478" s="41">
        <v>0</v>
      </c>
      <c r="L1478" s="41">
        <v>10000000</v>
      </c>
      <c r="M1478" s="41">
        <v>0</v>
      </c>
      <c r="N1478" s="41">
        <v>118891666.6666691</v>
      </c>
      <c r="O1478" s="41">
        <v>79166.666666666672</v>
      </c>
      <c r="P1478" s="41">
        <v>75000000</v>
      </c>
      <c r="Q1478" s="41">
        <v>0</v>
      </c>
      <c r="R1478" s="41">
        <v>50000000</v>
      </c>
      <c r="S1478" s="41">
        <v>0</v>
      </c>
      <c r="T1478" s="41">
        <v>35000000</v>
      </c>
      <c r="U1478" s="41">
        <v>0</v>
      </c>
      <c r="V1478" s="41">
        <v>498891666.66666907</v>
      </c>
      <c r="W1478" s="41">
        <v>79166.666666666672</v>
      </c>
      <c r="X1478" s="38">
        <f t="shared" si="138"/>
        <v>0.99778333333333813</v>
      </c>
      <c r="Y1478" s="39">
        <f t="shared" si="135"/>
        <v>1.5833333333333335E-4</v>
      </c>
      <c r="Z1478" s="39">
        <f t="shared" si="137"/>
        <v>1.5871027022511724E-4</v>
      </c>
      <c r="AA1478" s="41">
        <f t="shared" si="132"/>
        <v>1108333.3333309293</v>
      </c>
      <c r="AB1478" s="39">
        <f t="shared" si="133"/>
        <v>7.142857142872637E-2</v>
      </c>
      <c r="AC1478" s="38">
        <f t="shared" si="136"/>
        <v>0.1769319991349981</v>
      </c>
      <c r="AD1478" s="3"/>
    </row>
    <row r="1479" spans="1:30" x14ac:dyDescent="0.25">
      <c r="A1479" s="37">
        <v>47115</v>
      </c>
      <c r="B1479" s="41">
        <v>20000000</v>
      </c>
      <c r="C1479" s="41">
        <v>0</v>
      </c>
      <c r="D1479" s="41">
        <v>50000000</v>
      </c>
      <c r="E1479" s="41">
        <v>0</v>
      </c>
      <c r="F1479" s="41">
        <v>50000000</v>
      </c>
      <c r="G1479" s="41">
        <v>0</v>
      </c>
      <c r="H1479" s="41">
        <v>50000000</v>
      </c>
      <c r="I1479" s="41">
        <v>0</v>
      </c>
      <c r="J1479" s="41">
        <v>40000000</v>
      </c>
      <c r="K1479" s="41">
        <v>0</v>
      </c>
      <c r="L1479" s="41">
        <v>10000000</v>
      </c>
      <c r="M1479" s="41">
        <v>0</v>
      </c>
      <c r="N1479" s="41">
        <v>118970833.3333357</v>
      </c>
      <c r="O1479" s="41">
        <v>79166.666666666672</v>
      </c>
      <c r="P1479" s="41">
        <v>75000000</v>
      </c>
      <c r="Q1479" s="41">
        <v>0</v>
      </c>
      <c r="R1479" s="41">
        <v>50000000</v>
      </c>
      <c r="S1479" s="41">
        <v>0</v>
      </c>
      <c r="T1479" s="41">
        <v>35000000</v>
      </c>
      <c r="U1479" s="41">
        <v>0</v>
      </c>
      <c r="V1479" s="41">
        <v>498970833.33333582</v>
      </c>
      <c r="W1479" s="41">
        <v>79166.666666666672</v>
      </c>
      <c r="X1479" s="38">
        <f t="shared" si="138"/>
        <v>0.99794166666667161</v>
      </c>
      <c r="Y1479" s="39">
        <f t="shared" si="135"/>
        <v>1.5833333333333335E-4</v>
      </c>
      <c r="Z1479" s="39">
        <f t="shared" si="137"/>
        <v>1.5868508527235297E-4</v>
      </c>
      <c r="AA1479" s="41">
        <f t="shared" si="132"/>
        <v>1029166.6666641831</v>
      </c>
      <c r="AB1479" s="39">
        <f t="shared" si="133"/>
        <v>7.6923076923262557E-2</v>
      </c>
      <c r="AC1479" s="38">
        <f t="shared" si="136"/>
        <v>0.17689896120998785</v>
      </c>
      <c r="AD1479" s="3"/>
    </row>
    <row r="1480" spans="1:30" x14ac:dyDescent="0.25">
      <c r="A1480" s="37">
        <v>47116</v>
      </c>
      <c r="B1480" s="41">
        <v>20000000</v>
      </c>
      <c r="C1480" s="41">
        <v>0</v>
      </c>
      <c r="D1480" s="41">
        <v>50000000</v>
      </c>
      <c r="E1480" s="41">
        <v>0</v>
      </c>
      <c r="F1480" s="41">
        <v>50000000</v>
      </c>
      <c r="G1480" s="41">
        <v>0</v>
      </c>
      <c r="H1480" s="41">
        <v>50000000</v>
      </c>
      <c r="I1480" s="41">
        <v>0</v>
      </c>
      <c r="J1480" s="41">
        <v>40000000</v>
      </c>
      <c r="K1480" s="41">
        <v>0</v>
      </c>
      <c r="L1480" s="41">
        <v>10000000</v>
      </c>
      <c r="M1480" s="41">
        <v>0</v>
      </c>
      <c r="N1480" s="41">
        <v>119050000.0000024</v>
      </c>
      <c r="O1480" s="41">
        <v>79166.666666666672</v>
      </c>
      <c r="P1480" s="41">
        <v>75000000</v>
      </c>
      <c r="Q1480" s="41">
        <v>0</v>
      </c>
      <c r="R1480" s="41">
        <v>50000000</v>
      </c>
      <c r="S1480" s="41">
        <v>0</v>
      </c>
      <c r="T1480" s="41">
        <v>35000000</v>
      </c>
      <c r="U1480" s="41">
        <v>0</v>
      </c>
      <c r="V1480" s="41">
        <v>499050000.00000238</v>
      </c>
      <c r="W1480" s="41">
        <v>79166.666666666672</v>
      </c>
      <c r="X1480" s="38">
        <f t="shared" si="138"/>
        <v>0.99810000000000476</v>
      </c>
      <c r="Y1480" s="39">
        <f t="shared" si="135"/>
        <v>1.5833333333333335E-4</v>
      </c>
      <c r="Z1480" s="39">
        <f t="shared" si="137"/>
        <v>1.5865990831127327E-4</v>
      </c>
      <c r="AA1480" s="41">
        <f t="shared" si="132"/>
        <v>949999.99999761581</v>
      </c>
      <c r="AB1480" s="39">
        <f t="shared" si="133"/>
        <v>8.3333333333542481E-2</v>
      </c>
      <c r="AC1480" s="38">
        <f t="shared" si="136"/>
        <v>0.17686593562079844</v>
      </c>
      <c r="AD1480" s="3"/>
    </row>
    <row r="1481" spans="1:30" x14ac:dyDescent="0.25">
      <c r="A1481" s="37">
        <v>47117</v>
      </c>
      <c r="B1481" s="41">
        <v>20000000</v>
      </c>
      <c r="C1481" s="41">
        <v>0</v>
      </c>
      <c r="D1481" s="41">
        <v>50000000</v>
      </c>
      <c r="E1481" s="41">
        <v>0</v>
      </c>
      <c r="F1481" s="41">
        <v>50000000</v>
      </c>
      <c r="G1481" s="41">
        <v>0</v>
      </c>
      <c r="H1481" s="41">
        <v>50000000</v>
      </c>
      <c r="I1481" s="41">
        <v>0</v>
      </c>
      <c r="J1481" s="41">
        <v>40000000</v>
      </c>
      <c r="K1481" s="41">
        <v>0</v>
      </c>
      <c r="L1481" s="41">
        <v>10000000</v>
      </c>
      <c r="M1481" s="41">
        <v>0</v>
      </c>
      <c r="N1481" s="41">
        <v>119129166.6666691</v>
      </c>
      <c r="O1481" s="41">
        <v>79166.666666666672</v>
      </c>
      <c r="P1481" s="41">
        <v>75000000</v>
      </c>
      <c r="Q1481" s="41">
        <v>0</v>
      </c>
      <c r="R1481" s="41">
        <v>50000000</v>
      </c>
      <c r="S1481" s="41">
        <v>0</v>
      </c>
      <c r="T1481" s="41">
        <v>35000000</v>
      </c>
      <c r="U1481" s="41">
        <v>0</v>
      </c>
      <c r="V1481" s="41">
        <v>499129166.66666907</v>
      </c>
      <c r="W1481" s="41">
        <v>79166.666666666672</v>
      </c>
      <c r="X1481" s="38">
        <f t="shared" si="138"/>
        <v>0.99825833333333813</v>
      </c>
      <c r="Y1481" s="39">
        <f t="shared" si="135"/>
        <v>1.5833333333333335E-4</v>
      </c>
      <c r="Z1481" s="39">
        <f t="shared" si="137"/>
        <v>1.5863473933807492E-4</v>
      </c>
      <c r="AA1481" s="41">
        <f t="shared" si="132"/>
        <v>870833.33333092928</v>
      </c>
      <c r="AB1481" s="39">
        <f t="shared" si="133"/>
        <v>9.0909090909341878E-2</v>
      </c>
      <c r="AC1481" s="38">
        <f t="shared" si="136"/>
        <v>0.17683292236052203</v>
      </c>
      <c r="AD1481" s="3"/>
    </row>
    <row r="1482" spans="1:30" x14ac:dyDescent="0.25">
      <c r="A1482" s="37">
        <v>47118</v>
      </c>
      <c r="B1482" s="41">
        <v>20000000</v>
      </c>
      <c r="C1482" s="41">
        <v>0</v>
      </c>
      <c r="D1482" s="41">
        <v>50000000</v>
      </c>
      <c r="E1482" s="41">
        <v>0</v>
      </c>
      <c r="F1482" s="41">
        <v>50000000</v>
      </c>
      <c r="G1482" s="41">
        <v>0</v>
      </c>
      <c r="H1482" s="41">
        <v>50000000</v>
      </c>
      <c r="I1482" s="41">
        <v>0</v>
      </c>
      <c r="J1482" s="41">
        <v>40000000</v>
      </c>
      <c r="K1482" s="41">
        <v>0</v>
      </c>
      <c r="L1482" s="41">
        <v>10000000</v>
      </c>
      <c r="M1482" s="41">
        <v>0</v>
      </c>
      <c r="N1482" s="41">
        <v>119208333.3333358</v>
      </c>
      <c r="O1482" s="41">
        <v>79166.666666666672</v>
      </c>
      <c r="P1482" s="41">
        <v>75000000</v>
      </c>
      <c r="Q1482" s="41">
        <v>0</v>
      </c>
      <c r="R1482" s="41">
        <v>50000000</v>
      </c>
      <c r="S1482" s="41">
        <v>0</v>
      </c>
      <c r="T1482" s="41">
        <v>35000000</v>
      </c>
      <c r="U1482" s="41">
        <v>0</v>
      </c>
      <c r="V1482" s="41">
        <v>499208333.33333582</v>
      </c>
      <c r="W1482" s="41">
        <v>79166.666666666672</v>
      </c>
      <c r="X1482" s="38">
        <f t="shared" si="138"/>
        <v>0.99841666666667162</v>
      </c>
      <c r="Y1482" s="39">
        <f t="shared" si="135"/>
        <v>1.5833333333333335E-4</v>
      </c>
      <c r="Z1482" s="39">
        <f t="shared" si="137"/>
        <v>1.5860957834895701E-4</v>
      </c>
      <c r="AA1482" s="41">
        <f t="shared" si="132"/>
        <v>791666.66666418314</v>
      </c>
      <c r="AB1482" s="39">
        <f t="shared" si="133"/>
        <v>0.10000000000031371</v>
      </c>
      <c r="AC1482" s="38">
        <f t="shared" si="136"/>
        <v>0.17679992142225612</v>
      </c>
      <c r="AD1482" s="3"/>
    </row>
    <row r="1483" spans="1:30" x14ac:dyDescent="0.25">
      <c r="A1483" s="37">
        <v>47119</v>
      </c>
      <c r="B1483" s="41">
        <v>20000000</v>
      </c>
      <c r="C1483" s="41">
        <v>0</v>
      </c>
      <c r="D1483" s="41">
        <v>50000000</v>
      </c>
      <c r="E1483" s="41">
        <v>0</v>
      </c>
      <c r="F1483" s="41">
        <v>50000000</v>
      </c>
      <c r="G1483" s="41">
        <v>0</v>
      </c>
      <c r="H1483" s="41">
        <v>50000000</v>
      </c>
      <c r="I1483" s="41">
        <v>0</v>
      </c>
      <c r="J1483" s="41">
        <v>40000000</v>
      </c>
      <c r="K1483" s="41">
        <v>0</v>
      </c>
      <c r="L1483" s="41">
        <v>10000000</v>
      </c>
      <c r="M1483" s="41">
        <v>0</v>
      </c>
      <c r="N1483" s="41">
        <v>119287500.0000024</v>
      </c>
      <c r="O1483" s="41">
        <v>79166.666666666672</v>
      </c>
      <c r="P1483" s="41">
        <v>75000000</v>
      </c>
      <c r="Q1483" s="41">
        <v>0</v>
      </c>
      <c r="R1483" s="41">
        <v>50000000</v>
      </c>
      <c r="S1483" s="41">
        <v>0</v>
      </c>
      <c r="T1483" s="41">
        <v>35000000</v>
      </c>
      <c r="U1483" s="41">
        <v>0</v>
      </c>
      <c r="V1483" s="41">
        <v>499287500.00000238</v>
      </c>
      <c r="W1483" s="41">
        <v>79166.666666666672</v>
      </c>
      <c r="X1483" s="38">
        <f t="shared" si="138"/>
        <v>0.99857500000000476</v>
      </c>
      <c r="Y1483" s="39">
        <f t="shared" si="135"/>
        <v>1.5833333333333335E-4</v>
      </c>
      <c r="Z1483" s="39">
        <f t="shared" si="137"/>
        <v>1.5858442534012109E-4</v>
      </c>
      <c r="AA1483" s="41">
        <f t="shared" si="132"/>
        <v>712499.99999761581</v>
      </c>
      <c r="AB1483" s="39">
        <f t="shared" si="133"/>
        <v>0.11111111111148292</v>
      </c>
      <c r="AC1483" s="38">
        <f t="shared" si="136"/>
        <v>0.17676693279910338</v>
      </c>
      <c r="AD1483" s="3"/>
    </row>
    <row r="1484" spans="1:30" x14ac:dyDescent="0.25">
      <c r="A1484" s="37">
        <v>47120</v>
      </c>
      <c r="B1484" s="41">
        <v>20000000</v>
      </c>
      <c r="C1484" s="41">
        <v>0</v>
      </c>
      <c r="D1484" s="41">
        <v>50000000</v>
      </c>
      <c r="E1484" s="41">
        <v>0</v>
      </c>
      <c r="F1484" s="41">
        <v>50000000</v>
      </c>
      <c r="G1484" s="41">
        <v>0</v>
      </c>
      <c r="H1484" s="41">
        <v>50000000</v>
      </c>
      <c r="I1484" s="41">
        <v>0</v>
      </c>
      <c r="J1484" s="41">
        <v>40000000</v>
      </c>
      <c r="K1484" s="41">
        <v>0</v>
      </c>
      <c r="L1484" s="41">
        <v>10000000</v>
      </c>
      <c r="M1484" s="41">
        <v>0</v>
      </c>
      <c r="N1484" s="41">
        <v>119366666.6666691</v>
      </c>
      <c r="O1484" s="41">
        <v>79166.666666666672</v>
      </c>
      <c r="P1484" s="41">
        <v>75000000</v>
      </c>
      <c r="Q1484" s="41">
        <v>0</v>
      </c>
      <c r="R1484" s="41">
        <v>50000000</v>
      </c>
      <c r="S1484" s="41">
        <v>0</v>
      </c>
      <c r="T1484" s="41">
        <v>35000000</v>
      </c>
      <c r="U1484" s="41">
        <v>0</v>
      </c>
      <c r="V1484" s="41">
        <v>499366666.66666907</v>
      </c>
      <c r="W1484" s="41">
        <v>79166.666666666672</v>
      </c>
      <c r="X1484" s="38">
        <f t="shared" si="138"/>
        <v>0.99873333333333814</v>
      </c>
      <c r="Y1484" s="39">
        <f t="shared" si="135"/>
        <v>1.5833333333333335E-4</v>
      </c>
      <c r="Z1484" s="39">
        <f t="shared" si="137"/>
        <v>1.5855928030777117E-4</v>
      </c>
      <c r="AA1484" s="41">
        <f t="shared" si="132"/>
        <v>633333.33333092928</v>
      </c>
      <c r="AB1484" s="39">
        <f t="shared" si="133"/>
        <v>0.12500000000047448</v>
      </c>
      <c r="AC1484" s="38">
        <f t="shared" si="136"/>
        <v>0.17673395648417148</v>
      </c>
      <c r="AD1484" s="3"/>
    </row>
    <row r="1485" spans="1:30" x14ac:dyDescent="0.25">
      <c r="A1485" s="37">
        <v>47121</v>
      </c>
      <c r="B1485" s="41">
        <v>20000000</v>
      </c>
      <c r="C1485" s="41">
        <v>0</v>
      </c>
      <c r="D1485" s="41">
        <v>50000000</v>
      </c>
      <c r="E1485" s="41">
        <v>0</v>
      </c>
      <c r="F1485" s="41">
        <v>50000000</v>
      </c>
      <c r="G1485" s="41">
        <v>0</v>
      </c>
      <c r="H1485" s="41">
        <v>50000000</v>
      </c>
      <c r="I1485" s="41">
        <v>0</v>
      </c>
      <c r="J1485" s="41">
        <v>40000000</v>
      </c>
      <c r="K1485" s="41">
        <v>0</v>
      </c>
      <c r="L1485" s="41">
        <v>10000000</v>
      </c>
      <c r="M1485" s="41">
        <v>0</v>
      </c>
      <c r="N1485" s="41">
        <v>119445833.3333358</v>
      </c>
      <c r="O1485" s="41">
        <v>79166.666666666672</v>
      </c>
      <c r="P1485" s="41">
        <v>75000000</v>
      </c>
      <c r="Q1485" s="41">
        <v>0</v>
      </c>
      <c r="R1485" s="41">
        <v>50000000</v>
      </c>
      <c r="S1485" s="41">
        <v>0</v>
      </c>
      <c r="T1485" s="41">
        <v>35000000</v>
      </c>
      <c r="U1485" s="41">
        <v>0</v>
      </c>
      <c r="V1485" s="41">
        <v>499445833.33333582</v>
      </c>
      <c r="W1485" s="41">
        <v>79166.666666666672</v>
      </c>
      <c r="X1485" s="38">
        <f t="shared" si="138"/>
        <v>0.99889166666667162</v>
      </c>
      <c r="Y1485" s="39">
        <f t="shared" si="135"/>
        <v>1.5833333333333335E-4</v>
      </c>
      <c r="Z1485" s="39">
        <f t="shared" si="137"/>
        <v>1.5853414324811354E-4</v>
      </c>
      <c r="AA1485" s="41">
        <f t="shared" si="132"/>
        <v>554166.66666418314</v>
      </c>
      <c r="AB1485" s="39">
        <f t="shared" si="133"/>
        <v>0.14285714285778309</v>
      </c>
      <c r="AC1485" s="38">
        <f t="shared" si="136"/>
        <v>0.17670099247057333</v>
      </c>
      <c r="AD1485" s="3"/>
    </row>
    <row r="1486" spans="1:30" x14ac:dyDescent="0.25">
      <c r="A1486" s="37">
        <v>47122</v>
      </c>
      <c r="B1486" s="41">
        <v>20000000</v>
      </c>
      <c r="C1486" s="41">
        <v>0</v>
      </c>
      <c r="D1486" s="41">
        <v>50000000</v>
      </c>
      <c r="E1486" s="41">
        <v>0</v>
      </c>
      <c r="F1486" s="41">
        <v>50000000</v>
      </c>
      <c r="G1486" s="41">
        <v>0</v>
      </c>
      <c r="H1486" s="41">
        <v>50000000</v>
      </c>
      <c r="I1486" s="41">
        <v>0</v>
      </c>
      <c r="J1486" s="41">
        <v>40000000</v>
      </c>
      <c r="K1486" s="41">
        <v>0</v>
      </c>
      <c r="L1486" s="41">
        <v>10000000</v>
      </c>
      <c r="M1486" s="41">
        <v>0</v>
      </c>
      <c r="N1486" s="41">
        <v>119525000.0000024</v>
      </c>
      <c r="O1486" s="41">
        <v>79166.666666666672</v>
      </c>
      <c r="P1486" s="41">
        <v>75000000</v>
      </c>
      <c r="Q1486" s="41">
        <v>0</v>
      </c>
      <c r="R1486" s="41">
        <v>50000000</v>
      </c>
      <c r="S1486" s="41">
        <v>0</v>
      </c>
      <c r="T1486" s="41">
        <v>35000000</v>
      </c>
      <c r="U1486" s="41">
        <v>0</v>
      </c>
      <c r="V1486" s="41">
        <v>499525000.00000238</v>
      </c>
      <c r="W1486" s="41">
        <v>79166.666666666672</v>
      </c>
      <c r="X1486" s="38">
        <f t="shared" si="138"/>
        <v>0.99905000000000477</v>
      </c>
      <c r="Y1486" s="39">
        <f t="shared" si="135"/>
        <v>1.5833333333333335E-4</v>
      </c>
      <c r="Z1486" s="39">
        <f t="shared" si="137"/>
        <v>1.5850901415735696E-4</v>
      </c>
      <c r="AA1486" s="41">
        <f t="shared" si="132"/>
        <v>474999.99999761581</v>
      </c>
      <c r="AB1486" s="39">
        <f t="shared" si="133"/>
        <v>0.16666666666750324</v>
      </c>
      <c r="AC1486" s="38">
        <f t="shared" si="136"/>
        <v>0.17666804075142709</v>
      </c>
      <c r="AD1486" s="3"/>
    </row>
    <row r="1487" spans="1:30" x14ac:dyDescent="0.25">
      <c r="A1487" s="37">
        <v>47123</v>
      </c>
      <c r="B1487" s="41">
        <v>20000000</v>
      </c>
      <c r="C1487" s="41">
        <v>0</v>
      </c>
      <c r="D1487" s="41">
        <v>50000000</v>
      </c>
      <c r="E1487" s="41">
        <v>0</v>
      </c>
      <c r="F1487" s="41">
        <v>50000000</v>
      </c>
      <c r="G1487" s="41">
        <v>0</v>
      </c>
      <c r="H1487" s="41">
        <v>50000000</v>
      </c>
      <c r="I1487" s="41">
        <v>0</v>
      </c>
      <c r="J1487" s="41">
        <v>40000000</v>
      </c>
      <c r="K1487" s="41">
        <v>0</v>
      </c>
      <c r="L1487" s="41">
        <v>10000000</v>
      </c>
      <c r="M1487" s="41">
        <v>0</v>
      </c>
      <c r="N1487" s="41">
        <v>119604166.6666691</v>
      </c>
      <c r="O1487" s="41">
        <v>79166.666666666672</v>
      </c>
      <c r="P1487" s="41">
        <v>75000000</v>
      </c>
      <c r="Q1487" s="41">
        <v>0</v>
      </c>
      <c r="R1487" s="41">
        <v>50000000</v>
      </c>
      <c r="S1487" s="41">
        <v>0</v>
      </c>
      <c r="T1487" s="41">
        <v>35000000</v>
      </c>
      <c r="U1487" s="41">
        <v>0</v>
      </c>
      <c r="V1487" s="41">
        <v>499604166.66666907</v>
      </c>
      <c r="W1487" s="41">
        <v>79166.666666666672</v>
      </c>
      <c r="X1487" s="38">
        <f t="shared" si="138"/>
        <v>0.99920833333333814</v>
      </c>
      <c r="Y1487" s="39">
        <f t="shared" si="135"/>
        <v>1.5833333333333335E-4</v>
      </c>
      <c r="Z1487" s="39">
        <f t="shared" si="137"/>
        <v>1.5848389303171271E-4</v>
      </c>
      <c r="AA1487" s="41">
        <f t="shared" si="132"/>
        <v>395833.33333092928</v>
      </c>
      <c r="AB1487" s="39">
        <f t="shared" si="133"/>
        <v>0.20000000000121468</v>
      </c>
      <c r="AC1487" s="38">
        <f t="shared" si="136"/>
        <v>0.17663510131985574</v>
      </c>
      <c r="AD1487" s="3"/>
    </row>
    <row r="1488" spans="1:30" x14ac:dyDescent="0.25">
      <c r="A1488" s="37">
        <v>47124</v>
      </c>
      <c r="B1488" s="41">
        <v>20000000</v>
      </c>
      <c r="C1488" s="41">
        <v>0</v>
      </c>
      <c r="D1488" s="41">
        <v>50000000</v>
      </c>
      <c r="E1488" s="41">
        <v>0</v>
      </c>
      <c r="F1488" s="41">
        <v>50000000</v>
      </c>
      <c r="G1488" s="41">
        <v>0</v>
      </c>
      <c r="H1488" s="41">
        <v>50000000</v>
      </c>
      <c r="I1488" s="41">
        <v>0</v>
      </c>
      <c r="J1488" s="41">
        <v>40000000</v>
      </c>
      <c r="K1488" s="41">
        <v>0</v>
      </c>
      <c r="L1488" s="41">
        <v>10000000</v>
      </c>
      <c r="M1488" s="41">
        <v>0</v>
      </c>
      <c r="N1488" s="41">
        <v>119683333.3333358</v>
      </c>
      <c r="O1488" s="41">
        <v>79166.666666666672</v>
      </c>
      <c r="P1488" s="41">
        <v>75000000</v>
      </c>
      <c r="Q1488" s="41">
        <v>0</v>
      </c>
      <c r="R1488" s="41">
        <v>50000000</v>
      </c>
      <c r="S1488" s="41">
        <v>0</v>
      </c>
      <c r="T1488" s="41">
        <v>35000000</v>
      </c>
      <c r="U1488" s="41">
        <v>0</v>
      </c>
      <c r="V1488" s="41">
        <v>499683333.33333582</v>
      </c>
      <c r="W1488" s="41">
        <v>79166.666666666672</v>
      </c>
      <c r="X1488" s="38">
        <f t="shared" si="138"/>
        <v>0.99936666666667162</v>
      </c>
      <c r="Y1488" s="39">
        <f t="shared" si="135"/>
        <v>1.5833333333333335E-4</v>
      </c>
      <c r="Z1488" s="39">
        <f t="shared" si="137"/>
        <v>1.5845877986739426E-4</v>
      </c>
      <c r="AA1488" s="41">
        <f t="shared" si="132"/>
        <v>316666.66666418314</v>
      </c>
      <c r="AB1488" s="39">
        <f t="shared" si="133"/>
        <v>0.25000000000196071</v>
      </c>
      <c r="AC1488" s="38">
        <f t="shared" si="136"/>
        <v>0.17660217416898763</v>
      </c>
      <c r="AD1488" s="3"/>
    </row>
    <row r="1489" spans="1:30" x14ac:dyDescent="0.25">
      <c r="A1489" s="37">
        <v>47125</v>
      </c>
      <c r="B1489" s="41">
        <v>20000000</v>
      </c>
      <c r="C1489" s="41">
        <v>0</v>
      </c>
      <c r="D1489" s="41">
        <v>50000000</v>
      </c>
      <c r="E1489" s="41">
        <v>0</v>
      </c>
      <c r="F1489" s="41">
        <v>50000000</v>
      </c>
      <c r="G1489" s="41">
        <v>0</v>
      </c>
      <c r="H1489" s="41">
        <v>50000000</v>
      </c>
      <c r="I1489" s="41">
        <v>0</v>
      </c>
      <c r="J1489" s="41">
        <v>40000000</v>
      </c>
      <c r="K1489" s="41">
        <v>0</v>
      </c>
      <c r="L1489" s="41">
        <v>10000000</v>
      </c>
      <c r="M1489" s="41">
        <v>0</v>
      </c>
      <c r="N1489" s="41">
        <v>119762500.0000025</v>
      </c>
      <c r="O1489" s="41">
        <v>79166.666666666672</v>
      </c>
      <c r="P1489" s="41">
        <v>75000000</v>
      </c>
      <c r="Q1489" s="41">
        <v>0</v>
      </c>
      <c r="R1489" s="41">
        <v>50000000</v>
      </c>
      <c r="S1489" s="41">
        <v>0</v>
      </c>
      <c r="T1489" s="41">
        <v>35000000</v>
      </c>
      <c r="U1489" s="41">
        <v>0</v>
      </c>
      <c r="V1489" s="41">
        <v>499762500.00000238</v>
      </c>
      <c r="W1489" s="41">
        <v>79166.666666666672</v>
      </c>
      <c r="X1489" s="38">
        <f t="shared" si="138"/>
        <v>0.99952500000000477</v>
      </c>
      <c r="Y1489" s="39">
        <f t="shared" si="135"/>
        <v>1.5833333333333335E-4</v>
      </c>
      <c r="Z1489" s="39">
        <f t="shared" si="137"/>
        <v>1.5843367466061761E-4</v>
      </c>
      <c r="AA1489" s="41">
        <f t="shared" si="132"/>
        <v>237499.99999761581</v>
      </c>
      <c r="AB1489" s="39">
        <f t="shared" si="133"/>
        <v>0.33333333333667958</v>
      </c>
      <c r="AC1489" s="38">
        <f t="shared" si="136"/>
        <v>0.17656925929195627</v>
      </c>
      <c r="AD1489" s="3"/>
    </row>
    <row r="1490" spans="1:30" x14ac:dyDescent="0.25">
      <c r="A1490" s="37">
        <v>47126</v>
      </c>
      <c r="B1490" s="41">
        <v>20000000</v>
      </c>
      <c r="C1490" s="41">
        <v>0</v>
      </c>
      <c r="D1490" s="41">
        <v>50000000</v>
      </c>
      <c r="E1490" s="41">
        <v>0</v>
      </c>
      <c r="F1490" s="41">
        <v>50000000</v>
      </c>
      <c r="G1490" s="41">
        <v>0</v>
      </c>
      <c r="H1490" s="41">
        <v>50000000</v>
      </c>
      <c r="I1490" s="41">
        <v>0</v>
      </c>
      <c r="J1490" s="41">
        <v>40000000</v>
      </c>
      <c r="K1490" s="41">
        <v>0</v>
      </c>
      <c r="L1490" s="41">
        <v>10000000</v>
      </c>
      <c r="M1490" s="41">
        <v>0</v>
      </c>
      <c r="N1490" s="41">
        <v>119841666.6666691</v>
      </c>
      <c r="O1490" s="41">
        <v>79166.666666666672</v>
      </c>
      <c r="P1490" s="41">
        <v>75000000</v>
      </c>
      <c r="Q1490" s="41">
        <v>0</v>
      </c>
      <c r="R1490" s="41">
        <v>50000000</v>
      </c>
      <c r="S1490" s="41">
        <v>0</v>
      </c>
      <c r="T1490" s="41">
        <v>35000000</v>
      </c>
      <c r="U1490" s="41">
        <v>0</v>
      </c>
      <c r="V1490" s="41">
        <v>499841666.66666907</v>
      </c>
      <c r="W1490" s="41">
        <v>79166.666666666672</v>
      </c>
      <c r="X1490" s="38">
        <f t="shared" si="138"/>
        <v>0.99968333333333814</v>
      </c>
      <c r="Y1490" s="39">
        <f t="shared" si="135"/>
        <v>1.5833333333333335E-4</v>
      </c>
      <c r="Z1490" s="39">
        <f t="shared" si="137"/>
        <v>1.5840857740760119E-4</v>
      </c>
      <c r="AA1490" s="41">
        <f t="shared" si="132"/>
        <v>158333.33333092928</v>
      </c>
      <c r="AB1490" s="39">
        <f t="shared" si="133"/>
        <v>0.50000000000759182</v>
      </c>
      <c r="AC1490" s="38">
        <f t="shared" si="136"/>
        <v>0.1765363566819001</v>
      </c>
      <c r="AD1490" s="3"/>
    </row>
    <row r="1491" spans="1:30" x14ac:dyDescent="0.25">
      <c r="A1491" s="37">
        <v>47127</v>
      </c>
      <c r="B1491" s="41">
        <v>20000000</v>
      </c>
      <c r="C1491" s="41">
        <v>0</v>
      </c>
      <c r="D1491" s="41">
        <v>50000000</v>
      </c>
      <c r="E1491" s="41">
        <v>0</v>
      </c>
      <c r="F1491" s="41">
        <v>50000000</v>
      </c>
      <c r="G1491" s="41">
        <v>0</v>
      </c>
      <c r="H1491" s="41">
        <v>50000000</v>
      </c>
      <c r="I1491" s="41">
        <v>0</v>
      </c>
      <c r="J1491" s="41">
        <v>40000000</v>
      </c>
      <c r="K1491" s="41">
        <v>0</v>
      </c>
      <c r="L1491" s="41">
        <v>10000000</v>
      </c>
      <c r="M1491" s="41">
        <v>0</v>
      </c>
      <c r="N1491" s="41">
        <v>119920833.3333358</v>
      </c>
      <c r="O1491" s="41">
        <v>79166.666666666672</v>
      </c>
      <c r="P1491" s="41">
        <v>75000000</v>
      </c>
      <c r="Q1491" s="41">
        <v>0</v>
      </c>
      <c r="R1491" s="41">
        <v>50000000</v>
      </c>
      <c r="S1491" s="41">
        <v>0</v>
      </c>
      <c r="T1491" s="41">
        <v>35000000</v>
      </c>
      <c r="U1491" s="41">
        <v>0</v>
      </c>
      <c r="V1491" s="41">
        <v>499920833.33333582</v>
      </c>
      <c r="W1491" s="41">
        <v>79166.666666666672</v>
      </c>
      <c r="X1491" s="38">
        <f t="shared" si="138"/>
        <v>0.99984166666667162</v>
      </c>
      <c r="Y1491" s="39">
        <f t="shared" si="135"/>
        <v>1.5833333333333335E-4</v>
      </c>
      <c r="Z1491" s="39">
        <f t="shared" si="137"/>
        <v>1.583834881045657E-4</v>
      </c>
      <c r="AA1491" s="41">
        <f t="shared" si="132"/>
        <v>79166.66666418314</v>
      </c>
      <c r="AB1491" s="39">
        <f t="shared" si="133"/>
        <v>1.0000000000313709</v>
      </c>
      <c r="AC1491" s="38">
        <f t="shared" si="136"/>
        <v>0.17650346633196276</v>
      </c>
      <c r="AD1491" s="3"/>
    </row>
    <row r="1492" spans="1:30" x14ac:dyDescent="0.25">
      <c r="A1492" s="37">
        <v>47128</v>
      </c>
      <c r="B1492" s="41">
        <v>20000000</v>
      </c>
      <c r="C1492" s="41">
        <v>0</v>
      </c>
      <c r="D1492" s="41">
        <v>50000000</v>
      </c>
      <c r="E1492" s="41">
        <v>0</v>
      </c>
      <c r="F1492" s="41">
        <v>50000000</v>
      </c>
      <c r="G1492" s="41">
        <v>0</v>
      </c>
      <c r="H1492" s="41">
        <v>50000000</v>
      </c>
      <c r="I1492" s="41">
        <v>0</v>
      </c>
      <c r="J1492" s="41">
        <v>40000000</v>
      </c>
      <c r="K1492" s="41">
        <v>0</v>
      </c>
      <c r="L1492" s="41">
        <v>10000000</v>
      </c>
      <c r="M1492" s="41">
        <v>0</v>
      </c>
      <c r="N1492" s="41">
        <v>120000000</v>
      </c>
      <c r="O1492" s="41">
        <v>79166.666666666672</v>
      </c>
      <c r="P1492" s="41">
        <v>75000000</v>
      </c>
      <c r="Q1492" s="41">
        <v>0</v>
      </c>
      <c r="R1492" s="41">
        <v>50000000</v>
      </c>
      <c r="S1492" s="41">
        <v>0</v>
      </c>
      <c r="T1492" s="41">
        <v>35000000</v>
      </c>
      <c r="U1492" s="41">
        <v>0</v>
      </c>
      <c r="V1492" s="41">
        <v>500000000</v>
      </c>
      <c r="W1492" s="41">
        <v>79166.666666666672</v>
      </c>
      <c r="X1492" s="38">
        <f t="shared" si="138"/>
        <v>1</v>
      </c>
      <c r="Y1492" s="39">
        <f t="shared" si="135"/>
        <v>1.5833333333333335E-4</v>
      </c>
      <c r="Z1492" s="39">
        <f t="shared" si="137"/>
        <v>1.5835840674773428E-4</v>
      </c>
      <c r="AA1492" s="41">
        <f t="shared" si="132"/>
        <v>0</v>
      </c>
      <c r="AB1492" s="39" t="e">
        <f t="shared" si="133"/>
        <v>#DIV/0!</v>
      </c>
      <c r="AC1492" s="38">
        <f t="shared" si="136"/>
        <v>0.17647058823529413</v>
      </c>
      <c r="AD1492" s="3"/>
    </row>
  </sheetData>
  <mergeCells count="8">
    <mergeCell ref="S21:W21"/>
    <mergeCell ref="A8:G8"/>
    <mergeCell ref="K1:N1"/>
    <mergeCell ref="A1:B1"/>
    <mergeCell ref="D1:I1"/>
    <mergeCell ref="A21:F21"/>
    <mergeCell ref="G21:L21"/>
    <mergeCell ref="M21:R21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59"/>
  <sheetViews>
    <sheetView zoomScale="115" zoomScaleNormal="115" workbookViewId="0">
      <selection activeCell="C8" sqref="C3:C8"/>
    </sheetView>
  </sheetViews>
  <sheetFormatPr defaultRowHeight="13.8" x14ac:dyDescent="0.25"/>
  <cols>
    <col min="1" max="1" width="10.5" bestFit="1" customWidth="1"/>
    <col min="2" max="2" width="35.69921875" customWidth="1"/>
    <col min="3" max="3" width="12.796875" bestFit="1" customWidth="1"/>
    <col min="4" max="4" width="16.5" bestFit="1" customWidth="1"/>
    <col min="5" max="5" width="14.09765625" bestFit="1" customWidth="1"/>
    <col min="6" max="6" width="17.69921875" bestFit="1" customWidth="1"/>
    <col min="7" max="7" width="15.19921875" bestFit="1" customWidth="1"/>
    <col min="8" max="8" width="15.796875" bestFit="1" customWidth="1"/>
    <col min="9" max="9" width="13.3984375" bestFit="1" customWidth="1"/>
    <col min="10" max="10" width="15.59765625" bestFit="1" customWidth="1"/>
    <col min="11" max="11" width="13.19921875" bestFit="1" customWidth="1"/>
    <col min="12" max="12" width="17.8984375" bestFit="1" customWidth="1"/>
    <col min="13" max="13" width="15.3984375" bestFit="1" customWidth="1"/>
    <col min="14" max="14" width="17.8984375" bestFit="1" customWidth="1"/>
    <col min="15" max="15" width="15.3984375" bestFit="1" customWidth="1"/>
    <col min="16" max="16" width="17.8984375" bestFit="1" customWidth="1"/>
    <col min="17" max="17" width="15.3984375" bestFit="1" customWidth="1"/>
    <col min="18" max="18" width="18.09765625" bestFit="1" customWidth="1"/>
    <col min="19" max="19" width="15.59765625" bestFit="1" customWidth="1"/>
    <col min="20" max="20" width="17.3984375" bestFit="1" customWidth="1"/>
    <col min="21" max="21" width="14.8984375" bestFit="1" customWidth="1"/>
    <col min="22" max="22" width="20.3984375" style="25" customWidth="1"/>
    <col min="23" max="23" width="14.296875" style="25" customWidth="1"/>
    <col min="24" max="24" width="23.19921875" bestFit="1" customWidth="1"/>
    <col min="25" max="25" width="19.796875" bestFit="1" customWidth="1"/>
    <col min="26" max="26" width="23.59765625" bestFit="1" customWidth="1"/>
    <col min="27" max="27" width="17.3984375" style="25" customWidth="1"/>
    <col min="28" max="28" width="19.8984375" customWidth="1"/>
    <col min="29" max="29" width="25.296875" customWidth="1"/>
    <col min="30" max="30" width="10.8984375" bestFit="1" customWidth="1"/>
    <col min="38" max="38" width="10.296875" bestFit="1" customWidth="1"/>
    <col min="51" max="51" width="10.296875" bestFit="1" customWidth="1"/>
  </cols>
  <sheetData>
    <row r="1" spans="1:38" ht="17.399999999999999" x14ac:dyDescent="0.25">
      <c r="A1" s="58" t="s">
        <v>58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</row>
    <row r="2" spans="1:38" s="13" customFormat="1" x14ac:dyDescent="0.25">
      <c r="A2" s="13" t="s">
        <v>35</v>
      </c>
      <c r="B2" s="13" t="s">
        <v>36</v>
      </c>
      <c r="C2" s="13" t="s">
        <v>59</v>
      </c>
      <c r="D2" s="13" t="s">
        <v>38</v>
      </c>
      <c r="E2" s="13" t="s">
        <v>60</v>
      </c>
      <c r="F2" s="13" t="s">
        <v>40</v>
      </c>
      <c r="G2" s="13" t="s">
        <v>61</v>
      </c>
      <c r="H2" s="13" t="s">
        <v>42</v>
      </c>
      <c r="I2" s="13" t="s">
        <v>62</v>
      </c>
      <c r="J2" s="13" t="s">
        <v>44</v>
      </c>
      <c r="K2" s="13" t="s">
        <v>63</v>
      </c>
      <c r="L2" s="13" t="s">
        <v>46</v>
      </c>
      <c r="M2" s="13" t="s">
        <v>64</v>
      </c>
      <c r="N2" s="13" t="s">
        <v>48</v>
      </c>
      <c r="O2" s="13" t="s">
        <v>65</v>
      </c>
      <c r="P2" s="13" t="s">
        <v>50</v>
      </c>
      <c r="Q2" s="13" t="s">
        <v>66</v>
      </c>
      <c r="R2" s="13" t="s">
        <v>52</v>
      </c>
      <c r="S2" s="13" t="s">
        <v>67</v>
      </c>
      <c r="T2" s="13" t="s">
        <v>54</v>
      </c>
      <c r="U2" s="13" t="s">
        <v>68</v>
      </c>
      <c r="V2" s="43" t="s">
        <v>56</v>
      </c>
      <c r="W2" s="43" t="s">
        <v>69</v>
      </c>
      <c r="X2" s="44" t="s">
        <v>70</v>
      </c>
      <c r="Y2" s="44" t="s">
        <v>121</v>
      </c>
      <c r="Z2" s="44" t="s">
        <v>122</v>
      </c>
      <c r="AA2" s="47" t="s">
        <v>72</v>
      </c>
      <c r="AB2" s="44" t="s">
        <v>73</v>
      </c>
      <c r="AC2" s="45" t="s">
        <v>74</v>
      </c>
    </row>
    <row r="3" spans="1:38" x14ac:dyDescent="0.25">
      <c r="A3" s="37">
        <v>45688</v>
      </c>
      <c r="B3" s="41">
        <v>1000000</v>
      </c>
      <c r="C3" s="41">
        <v>0</v>
      </c>
      <c r="D3" s="41">
        <v>2500000</v>
      </c>
      <c r="E3" s="41">
        <v>0</v>
      </c>
      <c r="F3" s="41">
        <v>2500000</v>
      </c>
      <c r="G3" s="41">
        <v>0</v>
      </c>
      <c r="H3" s="41">
        <v>33333333.333333328</v>
      </c>
      <c r="I3" s="41">
        <v>8333333.333333333</v>
      </c>
      <c r="J3" s="41">
        <v>0</v>
      </c>
      <c r="K3" s="41">
        <v>0</v>
      </c>
      <c r="L3" s="41">
        <v>0</v>
      </c>
      <c r="M3" s="41">
        <v>0</v>
      </c>
      <c r="N3" s="41">
        <v>6000000</v>
      </c>
      <c r="O3" s="41">
        <v>0</v>
      </c>
      <c r="P3" s="41">
        <v>20000000</v>
      </c>
      <c r="Q3" s="41">
        <v>5000000</v>
      </c>
      <c r="R3" s="41">
        <v>2500000</v>
      </c>
      <c r="S3" s="41">
        <v>0</v>
      </c>
      <c r="T3" s="41">
        <v>0</v>
      </c>
      <c r="U3" s="41">
        <v>0</v>
      </c>
      <c r="V3" s="41">
        <v>67833333.333333328</v>
      </c>
      <c r="W3" s="41">
        <v>13333333.33333333</v>
      </c>
      <c r="X3" s="4">
        <f>V3/'Token Model'!$B$6</f>
        <v>0.13566666666666666</v>
      </c>
      <c r="Y3" s="4">
        <f>W3/'Token Model'!$B$6</f>
        <v>2.6666666666666661E-2</v>
      </c>
      <c r="Z3" s="5"/>
      <c r="AA3" s="25">
        <f>'Token Model'!$B$6-V3</f>
        <v>432166666.66666669</v>
      </c>
      <c r="AB3" s="4">
        <f t="shared" ref="AB3:AB50" si="0">W3/AA3</f>
        <v>3.0852294639413799E-2</v>
      </c>
      <c r="AC3" s="6">
        <f>P3/(V3-P3)</f>
        <v>0.41811846689895477</v>
      </c>
      <c r="AL3" s="56" cm="1">
        <f t="array" ref="AL3">INDEX(A3:A1000000, MATCH(TRUE, X3:X100000&gt;=50%, 0))</f>
        <v>46022</v>
      </c>
    </row>
    <row r="4" spans="1:38" x14ac:dyDescent="0.25">
      <c r="A4" s="37">
        <v>45716</v>
      </c>
      <c r="B4" s="41">
        <v>1000000</v>
      </c>
      <c r="C4" s="41">
        <v>0</v>
      </c>
      <c r="D4" s="41">
        <v>2500000</v>
      </c>
      <c r="E4" s="41">
        <v>0</v>
      </c>
      <c r="F4" s="41">
        <v>2500000</v>
      </c>
      <c r="G4" s="41">
        <v>0</v>
      </c>
      <c r="H4" s="41">
        <v>41666666.666666657</v>
      </c>
      <c r="I4" s="41">
        <v>8333333.333333333</v>
      </c>
      <c r="J4" s="41">
        <v>0</v>
      </c>
      <c r="K4" s="41">
        <v>0</v>
      </c>
      <c r="L4" s="41">
        <v>0</v>
      </c>
      <c r="M4" s="41">
        <v>0</v>
      </c>
      <c r="N4" s="41">
        <v>8375000</v>
      </c>
      <c r="O4" s="41">
        <v>2375000</v>
      </c>
      <c r="P4" s="41">
        <v>25000000</v>
      </c>
      <c r="Q4" s="41">
        <v>5000000</v>
      </c>
      <c r="R4" s="41">
        <v>2500000</v>
      </c>
      <c r="S4" s="41">
        <v>0</v>
      </c>
      <c r="T4" s="41">
        <v>0</v>
      </c>
      <c r="U4" s="41">
        <v>0</v>
      </c>
      <c r="V4" s="41">
        <v>83541666.666666657</v>
      </c>
      <c r="W4" s="41">
        <v>15708333.33333333</v>
      </c>
      <c r="X4" s="4">
        <f>V4/'Token Model'!$B$6</f>
        <v>0.16708333333333331</v>
      </c>
      <c r="Y4" s="4">
        <f>W4/'Token Model'!$B$6</f>
        <v>3.1416666666666662E-2</v>
      </c>
      <c r="Z4" s="5">
        <f>W4/V3</f>
        <v>0.23157248157248153</v>
      </c>
      <c r="AA4" s="25">
        <f>'Token Model'!$B$6-V4</f>
        <v>416458333.33333337</v>
      </c>
      <c r="AB4" s="4">
        <f t="shared" si="0"/>
        <v>3.7718859429714847E-2</v>
      </c>
      <c r="AC4" s="6">
        <f t="shared" ref="AC3:AC34" si="1">P4/(V4-P4)</f>
        <v>0.4270462633451958</v>
      </c>
    </row>
    <row r="5" spans="1:38" x14ac:dyDescent="0.25">
      <c r="A5" s="37">
        <v>45747</v>
      </c>
      <c r="B5" s="41">
        <v>1000000</v>
      </c>
      <c r="C5" s="41">
        <v>0</v>
      </c>
      <c r="D5" s="41">
        <v>2500000</v>
      </c>
      <c r="E5" s="41">
        <v>0</v>
      </c>
      <c r="F5" s="41">
        <v>2500000</v>
      </c>
      <c r="G5" s="41">
        <v>0</v>
      </c>
      <c r="H5" s="41">
        <v>50000000</v>
      </c>
      <c r="I5" s="41">
        <v>8333333.333333333</v>
      </c>
      <c r="J5" s="41">
        <v>0</v>
      </c>
      <c r="K5" s="41">
        <v>0</v>
      </c>
      <c r="L5" s="41">
        <v>0</v>
      </c>
      <c r="M5" s="41">
        <v>0</v>
      </c>
      <c r="N5" s="41">
        <v>10750000</v>
      </c>
      <c r="O5" s="41">
        <v>2375000</v>
      </c>
      <c r="P5" s="41">
        <v>30000000</v>
      </c>
      <c r="Q5" s="41">
        <v>5000000</v>
      </c>
      <c r="R5" s="41">
        <v>2500000</v>
      </c>
      <c r="S5" s="41">
        <v>0</v>
      </c>
      <c r="T5" s="41">
        <v>0</v>
      </c>
      <c r="U5" s="41">
        <v>0</v>
      </c>
      <c r="V5" s="41">
        <v>99250000</v>
      </c>
      <c r="W5" s="41">
        <v>15708333.33333333</v>
      </c>
      <c r="X5" s="4">
        <f>V5/'Token Model'!$B$6</f>
        <v>0.19850000000000001</v>
      </c>
      <c r="Y5" s="4">
        <f>W5/'Token Model'!$B$6</f>
        <v>3.1416666666666662E-2</v>
      </c>
      <c r="Z5" s="5">
        <f t="shared" ref="Z5:Z51" si="2">W5/V4</f>
        <v>0.1880299251870324</v>
      </c>
      <c r="AA5" s="25">
        <f>'Token Model'!$B$6-V5</f>
        <v>400750000</v>
      </c>
      <c r="AB5" s="4">
        <f t="shared" si="0"/>
        <v>3.9197338323975872E-2</v>
      </c>
      <c r="AC5" s="6">
        <f t="shared" si="1"/>
        <v>0.43321299638989169</v>
      </c>
    </row>
    <row r="6" spans="1:38" x14ac:dyDescent="0.25">
      <c r="A6" s="37">
        <v>45777</v>
      </c>
      <c r="B6" s="41">
        <v>1000000</v>
      </c>
      <c r="C6" s="41">
        <v>0</v>
      </c>
      <c r="D6" s="41">
        <v>2500000</v>
      </c>
      <c r="E6" s="41">
        <v>0</v>
      </c>
      <c r="F6" s="41">
        <v>2500000</v>
      </c>
      <c r="G6" s="41">
        <v>0</v>
      </c>
      <c r="H6" s="41">
        <v>50000000</v>
      </c>
      <c r="I6" s="41">
        <v>0</v>
      </c>
      <c r="J6" s="41">
        <v>0</v>
      </c>
      <c r="K6" s="41">
        <v>0</v>
      </c>
      <c r="L6" s="41">
        <v>0</v>
      </c>
      <c r="M6" s="41">
        <v>0</v>
      </c>
      <c r="N6" s="41">
        <v>13125000</v>
      </c>
      <c r="O6" s="41">
        <v>2375000</v>
      </c>
      <c r="P6" s="41">
        <v>35000000</v>
      </c>
      <c r="Q6" s="41">
        <v>5000000</v>
      </c>
      <c r="R6" s="41">
        <v>2500000</v>
      </c>
      <c r="S6" s="41">
        <v>0</v>
      </c>
      <c r="T6" s="41">
        <v>0</v>
      </c>
      <c r="U6" s="41">
        <v>0</v>
      </c>
      <c r="V6" s="41">
        <v>106625000</v>
      </c>
      <c r="W6" s="41">
        <v>7375000</v>
      </c>
      <c r="X6" s="4">
        <f>V6/'Token Model'!$B$6</f>
        <v>0.21325</v>
      </c>
      <c r="Y6" s="4">
        <f>W6/'Token Model'!$B$6</f>
        <v>1.4749999999999999E-2</v>
      </c>
      <c r="Z6" s="5">
        <f t="shared" si="2"/>
        <v>7.4307304785894202E-2</v>
      </c>
      <c r="AA6" s="25">
        <f>'Token Model'!$B$6-V6</f>
        <v>393375000</v>
      </c>
      <c r="AB6" s="4">
        <f t="shared" si="0"/>
        <v>1.874801398156975E-2</v>
      </c>
      <c r="AC6" s="6">
        <f t="shared" si="1"/>
        <v>0.48865619546247818</v>
      </c>
    </row>
    <row r="7" spans="1:38" x14ac:dyDescent="0.25">
      <c r="A7" s="37">
        <v>45808</v>
      </c>
      <c r="B7" s="41">
        <v>1000000</v>
      </c>
      <c r="C7" s="41">
        <v>0</v>
      </c>
      <c r="D7" s="41">
        <v>2500000</v>
      </c>
      <c r="E7" s="41">
        <v>0</v>
      </c>
      <c r="F7" s="41">
        <v>6458333.333333334</v>
      </c>
      <c r="G7" s="41">
        <v>3958333.333333333</v>
      </c>
      <c r="H7" s="41">
        <v>50000000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15500000</v>
      </c>
      <c r="O7" s="41">
        <v>2375000</v>
      </c>
      <c r="P7" s="41">
        <v>40000000</v>
      </c>
      <c r="Q7" s="41">
        <v>5000000</v>
      </c>
      <c r="R7" s="41">
        <v>2500000</v>
      </c>
      <c r="S7" s="41">
        <v>0</v>
      </c>
      <c r="T7" s="41">
        <v>0</v>
      </c>
      <c r="U7" s="41">
        <v>0</v>
      </c>
      <c r="V7" s="41">
        <v>117958333.3333333</v>
      </c>
      <c r="W7" s="41">
        <v>11333333.33333333</v>
      </c>
      <c r="X7" s="4">
        <f>V7/'Token Model'!$B$6</f>
        <v>0.23591666666666661</v>
      </c>
      <c r="Y7" s="4">
        <f>W7/'Token Model'!$B$6</f>
        <v>2.2666666666666661E-2</v>
      </c>
      <c r="Z7" s="5">
        <f t="shared" si="2"/>
        <v>0.10629152012504882</v>
      </c>
      <c r="AA7" s="25">
        <f>'Token Model'!$B$6-V7</f>
        <v>382041666.66666669</v>
      </c>
      <c r="AB7" s="4">
        <f t="shared" si="0"/>
        <v>2.9665176136983305E-2</v>
      </c>
      <c r="AC7" s="6">
        <f t="shared" si="1"/>
        <v>0.51309460181721023</v>
      </c>
    </row>
    <row r="8" spans="1:38" x14ac:dyDescent="0.25">
      <c r="A8" s="37">
        <v>45838</v>
      </c>
      <c r="B8" s="41">
        <v>1000000</v>
      </c>
      <c r="C8" s="41">
        <v>0</v>
      </c>
      <c r="D8" s="41">
        <v>2500000</v>
      </c>
      <c r="E8" s="41">
        <v>0</v>
      </c>
      <c r="F8" s="41">
        <v>10416666.66666667</v>
      </c>
      <c r="G8" s="41">
        <v>3958333.333333333</v>
      </c>
      <c r="H8" s="41">
        <v>50000000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17875000</v>
      </c>
      <c r="O8" s="41">
        <v>2375000</v>
      </c>
      <c r="P8" s="41">
        <v>45000000</v>
      </c>
      <c r="Q8" s="41">
        <v>5000000</v>
      </c>
      <c r="R8" s="41">
        <v>2500000</v>
      </c>
      <c r="S8" s="41">
        <v>0</v>
      </c>
      <c r="T8" s="41">
        <v>0</v>
      </c>
      <c r="U8" s="41">
        <v>0</v>
      </c>
      <c r="V8" s="41">
        <v>129291666.6666667</v>
      </c>
      <c r="W8" s="41">
        <v>11333333.33333333</v>
      </c>
      <c r="X8" s="4">
        <f>V8/'Token Model'!$B$6</f>
        <v>0.25858333333333339</v>
      </c>
      <c r="Y8" s="4">
        <f>W8/'Token Model'!$B$6</f>
        <v>2.2666666666666661E-2</v>
      </c>
      <c r="Z8" s="5">
        <f t="shared" si="2"/>
        <v>9.6079123984457795E-2</v>
      </c>
      <c r="AA8" s="25">
        <f>'Token Model'!$B$6-V8</f>
        <v>370708333.33333331</v>
      </c>
      <c r="AB8" s="4">
        <f t="shared" si="0"/>
        <v>3.0572102956052595E-2</v>
      </c>
      <c r="AC8" s="6">
        <f t="shared" si="1"/>
        <v>0.53386060306475513</v>
      </c>
    </row>
    <row r="9" spans="1:38" x14ac:dyDescent="0.25">
      <c r="A9" s="37">
        <v>45869</v>
      </c>
      <c r="B9" s="41">
        <v>2055555.555555556</v>
      </c>
      <c r="C9" s="41">
        <v>1055555.555555556</v>
      </c>
      <c r="D9" s="41">
        <v>6458333.333333334</v>
      </c>
      <c r="E9" s="41">
        <v>3958333.333333333</v>
      </c>
      <c r="F9" s="41">
        <v>14375000</v>
      </c>
      <c r="G9" s="41">
        <v>3958333.333333333</v>
      </c>
      <c r="H9" s="41">
        <v>50000000</v>
      </c>
      <c r="I9" s="41">
        <v>0</v>
      </c>
      <c r="J9" s="41">
        <v>0</v>
      </c>
      <c r="K9" s="41">
        <v>0</v>
      </c>
      <c r="L9" s="41">
        <v>833333.33333333337</v>
      </c>
      <c r="M9" s="41">
        <v>833333.33333333337</v>
      </c>
      <c r="N9" s="41">
        <v>20250000</v>
      </c>
      <c r="O9" s="41">
        <v>2375000</v>
      </c>
      <c r="P9" s="41">
        <v>50000000</v>
      </c>
      <c r="Q9" s="41">
        <v>5000000</v>
      </c>
      <c r="R9" s="41">
        <v>5138888.888888889</v>
      </c>
      <c r="S9" s="41">
        <v>2638888.888888889</v>
      </c>
      <c r="T9" s="41">
        <v>1944444.444444444</v>
      </c>
      <c r="U9" s="41">
        <v>1944444.444444444</v>
      </c>
      <c r="V9" s="41">
        <v>151055555.55555561</v>
      </c>
      <c r="W9" s="41">
        <v>21763888.888888892</v>
      </c>
      <c r="X9" s="4">
        <f>V9/'Token Model'!$B$6</f>
        <v>0.30211111111111122</v>
      </c>
      <c r="Y9" s="4">
        <f>W9/'Token Model'!$B$6</f>
        <v>4.3527777777777783E-2</v>
      </c>
      <c r="Z9" s="5">
        <f t="shared" si="2"/>
        <v>0.16833172198947252</v>
      </c>
      <c r="AA9" s="25">
        <f>'Token Model'!$B$6-V9</f>
        <v>348944444.44444442</v>
      </c>
      <c r="AB9" s="4">
        <f t="shared" si="0"/>
        <v>6.2370641617576834E-2</v>
      </c>
      <c r="AC9" s="6">
        <f t="shared" si="1"/>
        <v>0.49477735019241315</v>
      </c>
    </row>
    <row r="10" spans="1:38" x14ac:dyDescent="0.25">
      <c r="A10" s="37">
        <v>45900</v>
      </c>
      <c r="B10" s="41">
        <v>3111111.111111111</v>
      </c>
      <c r="C10" s="41">
        <v>1055555.555555556</v>
      </c>
      <c r="D10" s="41">
        <v>10416666.66666667</v>
      </c>
      <c r="E10" s="41">
        <v>3958333.333333333</v>
      </c>
      <c r="F10" s="41">
        <v>18333333.33333334</v>
      </c>
      <c r="G10" s="41">
        <v>3958333.333333333</v>
      </c>
      <c r="H10" s="41">
        <v>50000000</v>
      </c>
      <c r="I10" s="41">
        <v>0</v>
      </c>
      <c r="J10" s="41">
        <v>0</v>
      </c>
      <c r="K10" s="41">
        <v>0</v>
      </c>
      <c r="L10" s="41">
        <v>1666666.666666667</v>
      </c>
      <c r="M10" s="41">
        <v>833333.33333333337</v>
      </c>
      <c r="N10" s="41">
        <v>22625000</v>
      </c>
      <c r="O10" s="41">
        <v>2375000</v>
      </c>
      <c r="P10" s="41">
        <v>55000000</v>
      </c>
      <c r="Q10" s="41">
        <v>5000000</v>
      </c>
      <c r="R10" s="41">
        <v>7777777.777777778</v>
      </c>
      <c r="S10" s="41">
        <v>2638888.888888889</v>
      </c>
      <c r="T10" s="41">
        <v>3888888.888888889</v>
      </c>
      <c r="U10" s="41">
        <v>1944444.444444444</v>
      </c>
      <c r="V10" s="41">
        <v>172819444.44444451</v>
      </c>
      <c r="W10" s="41">
        <v>21763888.888888892</v>
      </c>
      <c r="X10" s="4">
        <f>V10/'Token Model'!$B$6</f>
        <v>0.345638888888889</v>
      </c>
      <c r="Y10" s="4">
        <f>W10/'Token Model'!$B$6</f>
        <v>4.3527777777777783E-2</v>
      </c>
      <c r="Z10" s="5">
        <f t="shared" si="2"/>
        <v>0.14407870540639939</v>
      </c>
      <c r="AA10" s="25">
        <f>'Token Model'!$B$6-V10</f>
        <v>327180555.55555546</v>
      </c>
      <c r="AB10" s="4">
        <f t="shared" si="0"/>
        <v>6.6519505879356483E-2</v>
      </c>
      <c r="AC10" s="6">
        <f t="shared" si="1"/>
        <v>0.46681598491099824</v>
      </c>
    </row>
    <row r="11" spans="1:38" x14ac:dyDescent="0.25">
      <c r="A11" s="37">
        <v>45930</v>
      </c>
      <c r="B11" s="41">
        <v>4166666.666666667</v>
      </c>
      <c r="C11" s="41">
        <v>1055555.555555556</v>
      </c>
      <c r="D11" s="41">
        <v>14375000</v>
      </c>
      <c r="E11" s="41">
        <v>3958333.333333333</v>
      </c>
      <c r="F11" s="41">
        <v>22291666.666666672</v>
      </c>
      <c r="G11" s="41">
        <v>3958333.333333333</v>
      </c>
      <c r="H11" s="41">
        <v>50000000</v>
      </c>
      <c r="I11" s="41">
        <v>0</v>
      </c>
      <c r="J11" s="41">
        <v>0</v>
      </c>
      <c r="K11" s="41">
        <v>0</v>
      </c>
      <c r="L11" s="41">
        <v>2500000</v>
      </c>
      <c r="M11" s="41">
        <v>833333.33333333337</v>
      </c>
      <c r="N11" s="41">
        <v>25000000</v>
      </c>
      <c r="O11" s="41">
        <v>2375000</v>
      </c>
      <c r="P11" s="41">
        <v>60000000</v>
      </c>
      <c r="Q11" s="41">
        <v>5000000</v>
      </c>
      <c r="R11" s="41">
        <v>10416666.66666667</v>
      </c>
      <c r="S11" s="41">
        <v>2638888.888888889</v>
      </c>
      <c r="T11" s="41">
        <v>5833333.333333334</v>
      </c>
      <c r="U11" s="41">
        <v>1944444.444444444</v>
      </c>
      <c r="V11" s="41">
        <v>194583333.33333331</v>
      </c>
      <c r="W11" s="41">
        <v>21763888.888888892</v>
      </c>
      <c r="X11" s="4">
        <f>V11/'Token Model'!$B$6</f>
        <v>0.38916666666666661</v>
      </c>
      <c r="Y11" s="4">
        <f>W11/'Token Model'!$B$6</f>
        <v>4.3527777777777783E-2</v>
      </c>
      <c r="Z11" s="5">
        <f t="shared" si="2"/>
        <v>0.12593426022663343</v>
      </c>
      <c r="AA11" s="25">
        <f>'Token Model'!$B$6-V11</f>
        <v>305416666.66666669</v>
      </c>
      <c r="AB11" s="4">
        <f t="shared" si="0"/>
        <v>7.1259663483401556E-2</v>
      </c>
      <c r="AC11" s="6">
        <f t="shared" si="1"/>
        <v>0.44582043343653255</v>
      </c>
    </row>
    <row r="12" spans="1:38" x14ac:dyDescent="0.25">
      <c r="A12" s="37">
        <v>45961</v>
      </c>
      <c r="B12" s="41">
        <v>5222222.222222222</v>
      </c>
      <c r="C12" s="41">
        <v>1055555.555555556</v>
      </c>
      <c r="D12" s="41">
        <v>18333333.33333334</v>
      </c>
      <c r="E12" s="41">
        <v>3958333.333333333</v>
      </c>
      <c r="F12" s="41">
        <v>26250000</v>
      </c>
      <c r="G12" s="41">
        <v>3958333.333333333</v>
      </c>
      <c r="H12" s="41">
        <v>50000000</v>
      </c>
      <c r="I12" s="41">
        <v>0</v>
      </c>
      <c r="J12" s="41">
        <v>0</v>
      </c>
      <c r="K12" s="41">
        <v>0</v>
      </c>
      <c r="L12" s="41">
        <v>3333333.333333333</v>
      </c>
      <c r="M12" s="41">
        <v>833333.33333333337</v>
      </c>
      <c r="N12" s="41">
        <v>27375000</v>
      </c>
      <c r="O12" s="41">
        <v>2375000</v>
      </c>
      <c r="P12" s="41">
        <v>65000000</v>
      </c>
      <c r="Q12" s="41">
        <v>5000000</v>
      </c>
      <c r="R12" s="41">
        <v>13055555.55555556</v>
      </c>
      <c r="S12" s="41">
        <v>2638888.888888889</v>
      </c>
      <c r="T12" s="41">
        <v>7777777.777777778</v>
      </c>
      <c r="U12" s="41">
        <v>1944444.444444444</v>
      </c>
      <c r="V12" s="41">
        <v>216347222.22222221</v>
      </c>
      <c r="W12" s="41">
        <v>21763888.888888892</v>
      </c>
      <c r="X12" s="4">
        <f>V12/'Token Model'!$B$6</f>
        <v>0.43269444444444444</v>
      </c>
      <c r="Y12" s="4">
        <f>W12/'Token Model'!$B$6</f>
        <v>4.3527777777777783E-2</v>
      </c>
      <c r="Z12" s="5">
        <f t="shared" si="2"/>
        <v>0.11184867951463243</v>
      </c>
      <c r="AA12" s="25">
        <f>'Token Model'!$B$6-V12</f>
        <v>283652777.77777779</v>
      </c>
      <c r="AB12" s="4">
        <f t="shared" si="0"/>
        <v>7.6727219311560499E-2</v>
      </c>
      <c r="AC12" s="6">
        <f t="shared" si="1"/>
        <v>0.42947600256951457</v>
      </c>
    </row>
    <row r="13" spans="1:38" x14ac:dyDescent="0.25">
      <c r="A13" s="37">
        <v>45991</v>
      </c>
      <c r="B13" s="41">
        <v>6277777.777777778</v>
      </c>
      <c r="C13" s="41">
        <v>1055555.555555556</v>
      </c>
      <c r="D13" s="41">
        <v>22291666.666666672</v>
      </c>
      <c r="E13" s="41">
        <v>3958333.333333333</v>
      </c>
      <c r="F13" s="41">
        <v>30208333.333333328</v>
      </c>
      <c r="G13" s="41">
        <v>3958333.333333333</v>
      </c>
      <c r="H13" s="41">
        <v>50000000</v>
      </c>
      <c r="I13" s="41">
        <v>0</v>
      </c>
      <c r="J13" s="41">
        <v>0</v>
      </c>
      <c r="K13" s="41">
        <v>0</v>
      </c>
      <c r="L13" s="41">
        <v>4166666.666666667</v>
      </c>
      <c r="M13" s="41">
        <v>833333.33333333337</v>
      </c>
      <c r="N13" s="41">
        <v>29750000</v>
      </c>
      <c r="O13" s="41">
        <v>2375000</v>
      </c>
      <c r="P13" s="41">
        <v>70000000</v>
      </c>
      <c r="Q13" s="41">
        <v>5000000</v>
      </c>
      <c r="R13" s="41">
        <v>15694444.44444444</v>
      </c>
      <c r="S13" s="41">
        <v>2638888.888888889</v>
      </c>
      <c r="T13" s="41">
        <v>9722222.222222222</v>
      </c>
      <c r="U13" s="41">
        <v>1944444.444444444</v>
      </c>
      <c r="V13" s="41">
        <v>238111111.1111111</v>
      </c>
      <c r="W13" s="41">
        <v>21763888.888888892</v>
      </c>
      <c r="X13" s="4">
        <f>V13/'Token Model'!$B$6</f>
        <v>0.47622222222222221</v>
      </c>
      <c r="Y13" s="4">
        <f>W13/'Token Model'!$B$6</f>
        <v>4.3527777777777783E-2</v>
      </c>
      <c r="Z13" s="5">
        <f t="shared" si="2"/>
        <v>0.10059703408872057</v>
      </c>
      <c r="AA13" s="25">
        <f>'Token Model'!$B$6-V13</f>
        <v>261888888.8888889</v>
      </c>
      <c r="AB13" s="4">
        <f t="shared" si="0"/>
        <v>8.3103521425540949E-2</v>
      </c>
      <c r="AC13" s="6">
        <f t="shared" si="1"/>
        <v>0.41639127561136818</v>
      </c>
    </row>
    <row r="14" spans="1:38" x14ac:dyDescent="0.25">
      <c r="A14" s="37">
        <v>46022</v>
      </c>
      <c r="B14" s="41">
        <v>7333333.333333334</v>
      </c>
      <c r="C14" s="41">
        <v>1055555.555555556</v>
      </c>
      <c r="D14" s="41">
        <v>26250000</v>
      </c>
      <c r="E14" s="41">
        <v>3958333.333333333</v>
      </c>
      <c r="F14" s="41">
        <v>34166666.666666657</v>
      </c>
      <c r="G14" s="41">
        <v>3958333.333333333</v>
      </c>
      <c r="H14" s="41">
        <v>50000000</v>
      </c>
      <c r="I14" s="41">
        <v>0</v>
      </c>
      <c r="J14" s="41">
        <v>0</v>
      </c>
      <c r="K14" s="41">
        <v>0</v>
      </c>
      <c r="L14" s="41">
        <v>5000000</v>
      </c>
      <c r="M14" s="41">
        <v>833333.33333333337</v>
      </c>
      <c r="N14" s="41">
        <v>32125000</v>
      </c>
      <c r="O14" s="41">
        <v>2375000</v>
      </c>
      <c r="P14" s="41">
        <v>75000000</v>
      </c>
      <c r="Q14" s="41">
        <v>5000000</v>
      </c>
      <c r="R14" s="41">
        <v>18333333.333333328</v>
      </c>
      <c r="S14" s="41">
        <v>2638888.888888889</v>
      </c>
      <c r="T14" s="41">
        <v>11666666.66666667</v>
      </c>
      <c r="U14" s="41">
        <v>1944444.444444444</v>
      </c>
      <c r="V14" s="41">
        <v>259875000</v>
      </c>
      <c r="W14" s="41">
        <v>21763888.888888892</v>
      </c>
      <c r="X14" s="39">
        <f>V14/'Token Model'!$B$6</f>
        <v>0.51975000000000005</v>
      </c>
      <c r="Y14" s="39">
        <f>W14/'Token Model'!$B$6</f>
        <v>4.3527777777777783E-2</v>
      </c>
      <c r="Z14" s="5">
        <f t="shared" si="2"/>
        <v>9.1402239850676636E-2</v>
      </c>
      <c r="AA14" s="41">
        <f>'Token Model'!$B$6-V14</f>
        <v>240125000</v>
      </c>
      <c r="AB14" s="39">
        <f t="shared" si="0"/>
        <v>9.063566429521662E-2</v>
      </c>
      <c r="AC14" s="40">
        <f t="shared" si="1"/>
        <v>0.40567951318458417</v>
      </c>
    </row>
    <row r="15" spans="1:38" x14ac:dyDescent="0.25">
      <c r="A15" s="37">
        <v>46053</v>
      </c>
      <c r="B15" s="41">
        <v>8388888.8888888899</v>
      </c>
      <c r="C15" s="41">
        <v>1055555.555555556</v>
      </c>
      <c r="D15" s="41">
        <v>30208333.333333328</v>
      </c>
      <c r="E15" s="41">
        <v>3958333.333333333</v>
      </c>
      <c r="F15" s="41">
        <v>38125000</v>
      </c>
      <c r="G15" s="41">
        <v>3958333.333333333</v>
      </c>
      <c r="H15" s="41">
        <v>50000000</v>
      </c>
      <c r="I15" s="41">
        <v>0</v>
      </c>
      <c r="J15" s="41">
        <v>3333333.333333333</v>
      </c>
      <c r="K15" s="41">
        <v>3333333.333333333</v>
      </c>
      <c r="L15" s="41">
        <v>5833333.333333333</v>
      </c>
      <c r="M15" s="41">
        <v>833333.33333333337</v>
      </c>
      <c r="N15" s="41">
        <v>34500000</v>
      </c>
      <c r="O15" s="41">
        <v>2375000</v>
      </c>
      <c r="P15" s="41">
        <v>75000000</v>
      </c>
      <c r="Q15" s="41">
        <v>0</v>
      </c>
      <c r="R15" s="41">
        <v>20972222.22222222</v>
      </c>
      <c r="S15" s="41">
        <v>2638888.888888889</v>
      </c>
      <c r="T15" s="41">
        <v>13611111.11111111</v>
      </c>
      <c r="U15" s="41">
        <v>1944444.444444444</v>
      </c>
      <c r="V15" s="41">
        <v>279972222.22222221</v>
      </c>
      <c r="W15" s="41">
        <v>20097222.22222222</v>
      </c>
      <c r="X15" s="4">
        <f>V15/'Token Model'!$B$6</f>
        <v>0.55994444444444447</v>
      </c>
      <c r="Y15" s="4">
        <f>W15/'Token Model'!$B$6</f>
        <v>4.0194444444444442E-2</v>
      </c>
      <c r="Z15" s="5">
        <f t="shared" si="2"/>
        <v>7.7334188445299545E-2</v>
      </c>
      <c r="AA15" s="25">
        <f>'Token Model'!$B$6-V15</f>
        <v>220027777.77777779</v>
      </c>
      <c r="AB15" s="4">
        <f t="shared" si="0"/>
        <v>9.1339477338719846E-2</v>
      </c>
      <c r="AC15" s="6">
        <f t="shared" si="1"/>
        <v>0.36590323892126309</v>
      </c>
    </row>
    <row r="16" spans="1:38" x14ac:dyDescent="0.25">
      <c r="A16" s="37">
        <v>46081</v>
      </c>
      <c r="B16" s="41">
        <v>9444444.4444444459</v>
      </c>
      <c r="C16" s="41">
        <v>1055555.555555556</v>
      </c>
      <c r="D16" s="41">
        <v>34166666.666666657</v>
      </c>
      <c r="E16" s="41">
        <v>3958333.333333333</v>
      </c>
      <c r="F16" s="41">
        <v>42083333.333333343</v>
      </c>
      <c r="G16" s="41">
        <v>3958333.333333333</v>
      </c>
      <c r="H16" s="41">
        <v>50000000</v>
      </c>
      <c r="I16" s="41">
        <v>0</v>
      </c>
      <c r="J16" s="41">
        <v>6666666.666666667</v>
      </c>
      <c r="K16" s="41">
        <v>3333333.333333333</v>
      </c>
      <c r="L16" s="41">
        <v>6666666.666666666</v>
      </c>
      <c r="M16" s="41">
        <v>833333.33333333337</v>
      </c>
      <c r="N16" s="41">
        <v>36875000</v>
      </c>
      <c r="O16" s="41">
        <v>2375000</v>
      </c>
      <c r="P16" s="41">
        <v>75000000</v>
      </c>
      <c r="Q16" s="41">
        <v>0</v>
      </c>
      <c r="R16" s="41">
        <v>23611111.111111108</v>
      </c>
      <c r="S16" s="41">
        <v>2638888.888888889</v>
      </c>
      <c r="T16" s="41">
        <v>15555555.55555555</v>
      </c>
      <c r="U16" s="41">
        <v>1944444.444444444</v>
      </c>
      <c r="V16" s="41">
        <v>300069444.44444448</v>
      </c>
      <c r="W16" s="41">
        <v>20097222.22222222</v>
      </c>
      <c r="X16" s="39">
        <f>V16/'Token Model'!$B$6</f>
        <v>0.600138888888889</v>
      </c>
      <c r="Y16" s="39">
        <f>W16/'Token Model'!$B$6</f>
        <v>4.0194444444444442E-2</v>
      </c>
      <c r="Z16" s="5">
        <f t="shared" si="2"/>
        <v>7.1782914971723386E-2</v>
      </c>
      <c r="AA16" s="41">
        <f>'Token Model'!$B$6-V16</f>
        <v>199930555.55555552</v>
      </c>
      <c r="AB16" s="39">
        <f t="shared" si="0"/>
        <v>0.10052101424105593</v>
      </c>
      <c r="AC16" s="40">
        <f t="shared" si="1"/>
        <v>0.33323048441838932</v>
      </c>
    </row>
    <row r="17" spans="1:29" x14ac:dyDescent="0.25">
      <c r="A17" s="37">
        <v>46112</v>
      </c>
      <c r="B17" s="41">
        <v>10500000</v>
      </c>
      <c r="C17" s="41">
        <v>1055555.555555556</v>
      </c>
      <c r="D17" s="41">
        <v>38125000</v>
      </c>
      <c r="E17" s="41">
        <v>3958333.333333333</v>
      </c>
      <c r="F17" s="41">
        <v>46041666.666666672</v>
      </c>
      <c r="G17" s="41">
        <v>3958333.333333333</v>
      </c>
      <c r="H17" s="41">
        <v>50000000</v>
      </c>
      <c r="I17" s="41">
        <v>0</v>
      </c>
      <c r="J17" s="41">
        <v>10000000</v>
      </c>
      <c r="K17" s="41">
        <v>3333333.333333333</v>
      </c>
      <c r="L17" s="41">
        <v>7499999.9999999991</v>
      </c>
      <c r="M17" s="41">
        <v>833333.33333333337</v>
      </c>
      <c r="N17" s="41">
        <v>39250000</v>
      </c>
      <c r="O17" s="41">
        <v>2375000</v>
      </c>
      <c r="P17" s="41">
        <v>75000000</v>
      </c>
      <c r="Q17" s="41">
        <v>0</v>
      </c>
      <c r="R17" s="41">
        <v>26250000</v>
      </c>
      <c r="S17" s="41">
        <v>2638888.888888889</v>
      </c>
      <c r="T17" s="41">
        <v>17500000</v>
      </c>
      <c r="U17" s="41">
        <v>1944444.444444444</v>
      </c>
      <c r="V17" s="41">
        <v>320166666.66666669</v>
      </c>
      <c r="W17" s="41">
        <v>20097222.22222222</v>
      </c>
      <c r="X17" s="4">
        <f>V17/'Token Model'!$B$6</f>
        <v>0.64033333333333342</v>
      </c>
      <c r="Y17" s="4">
        <f>W17/'Token Model'!$B$6</f>
        <v>4.0194444444444442E-2</v>
      </c>
      <c r="Z17" s="5">
        <f t="shared" si="2"/>
        <v>6.6975237213607944E-2</v>
      </c>
      <c r="AA17" s="25">
        <f>'Token Model'!$B$6-V17</f>
        <v>179833333.33333331</v>
      </c>
      <c r="AB17" s="4">
        <f t="shared" si="0"/>
        <v>0.11175471115230151</v>
      </c>
      <c r="AC17" s="6">
        <f t="shared" si="1"/>
        <v>0.30591434398368456</v>
      </c>
    </row>
    <row r="18" spans="1:29" x14ac:dyDescent="0.25">
      <c r="A18" s="37">
        <v>46142</v>
      </c>
      <c r="B18" s="41">
        <v>11555555.55555556</v>
      </c>
      <c r="C18" s="41">
        <v>1055555.555555556</v>
      </c>
      <c r="D18" s="41">
        <v>42083333.333333343</v>
      </c>
      <c r="E18" s="41">
        <v>3958333.333333333</v>
      </c>
      <c r="F18" s="41">
        <v>50000000</v>
      </c>
      <c r="G18" s="41">
        <v>3958333.333333333</v>
      </c>
      <c r="H18" s="41">
        <v>50000000</v>
      </c>
      <c r="I18" s="41">
        <v>0</v>
      </c>
      <c r="J18" s="41">
        <v>13333333.33333333</v>
      </c>
      <c r="K18" s="41">
        <v>3333333.333333333</v>
      </c>
      <c r="L18" s="41">
        <v>8333333.3333333321</v>
      </c>
      <c r="M18" s="41">
        <v>833333.33333333337</v>
      </c>
      <c r="N18" s="41">
        <v>41625000</v>
      </c>
      <c r="O18" s="41">
        <v>2375000</v>
      </c>
      <c r="P18" s="41">
        <v>75000000</v>
      </c>
      <c r="Q18" s="41">
        <v>0</v>
      </c>
      <c r="R18" s="41">
        <v>28888888.888888881</v>
      </c>
      <c r="S18" s="41">
        <v>2638888.888888889</v>
      </c>
      <c r="T18" s="41">
        <v>19444444.44444444</v>
      </c>
      <c r="U18" s="41">
        <v>1944444.444444444</v>
      </c>
      <c r="V18" s="41">
        <v>340263888.8888889</v>
      </c>
      <c r="W18" s="41">
        <v>20097222.22222222</v>
      </c>
      <c r="X18" s="4">
        <f>V18/'Token Model'!$B$6</f>
        <v>0.68052777777777784</v>
      </c>
      <c r="Y18" s="4">
        <f>W18/'Token Model'!$B$6</f>
        <v>4.0194444444444442E-2</v>
      </c>
      <c r="Z18" s="5">
        <f t="shared" si="2"/>
        <v>6.2771126149574863E-2</v>
      </c>
      <c r="AA18" s="25">
        <f>'Token Model'!$B$6-V18</f>
        <v>159736111.1111111</v>
      </c>
      <c r="AB18" s="4">
        <f t="shared" si="0"/>
        <v>0.12581514650899922</v>
      </c>
      <c r="AC18" s="6">
        <f t="shared" si="1"/>
        <v>0.28273731608984765</v>
      </c>
    </row>
    <row r="19" spans="1:29" x14ac:dyDescent="0.25">
      <c r="A19" s="37">
        <v>46173</v>
      </c>
      <c r="B19" s="41">
        <v>12611111.11111111</v>
      </c>
      <c r="C19" s="41">
        <v>1055555.555555556</v>
      </c>
      <c r="D19" s="41">
        <v>46041666.666666672</v>
      </c>
      <c r="E19" s="41">
        <v>3958333.333333333</v>
      </c>
      <c r="F19" s="41">
        <v>50000000</v>
      </c>
      <c r="G19" s="41">
        <v>0</v>
      </c>
      <c r="H19" s="41">
        <v>50000000</v>
      </c>
      <c r="I19" s="41">
        <v>0</v>
      </c>
      <c r="J19" s="41">
        <v>16666666.66666667</v>
      </c>
      <c r="K19" s="41">
        <v>3333333.333333333</v>
      </c>
      <c r="L19" s="41">
        <v>9166666.666666666</v>
      </c>
      <c r="M19" s="41">
        <v>833333.33333333337</v>
      </c>
      <c r="N19" s="41">
        <v>44000000</v>
      </c>
      <c r="O19" s="41">
        <v>2375000</v>
      </c>
      <c r="P19" s="41">
        <v>75000000</v>
      </c>
      <c r="Q19" s="41">
        <v>0</v>
      </c>
      <c r="R19" s="41">
        <v>31527777.777777769</v>
      </c>
      <c r="S19" s="41">
        <v>2638888.888888889</v>
      </c>
      <c r="T19" s="41">
        <v>21388888.888888892</v>
      </c>
      <c r="U19" s="41">
        <v>1944444.444444444</v>
      </c>
      <c r="V19" s="41">
        <v>356402777.77777779</v>
      </c>
      <c r="W19" s="41">
        <v>16138888.88888889</v>
      </c>
      <c r="X19" s="4">
        <f>V19/'Token Model'!$B$6</f>
        <v>0.71280555555555558</v>
      </c>
      <c r="Y19" s="4">
        <f>W19/'Token Model'!$B$6</f>
        <v>3.227777777777778E-2</v>
      </c>
      <c r="Z19" s="5">
        <f t="shared" si="2"/>
        <v>4.7430507367647659E-2</v>
      </c>
      <c r="AA19" s="25">
        <f>'Token Model'!$B$6-V19</f>
        <v>143597222.22222221</v>
      </c>
      <c r="AB19" s="4">
        <f t="shared" si="0"/>
        <v>0.11238997968855791</v>
      </c>
      <c r="AC19" s="6">
        <f t="shared" si="1"/>
        <v>0.26652188934406001</v>
      </c>
    </row>
    <row r="20" spans="1:29" x14ac:dyDescent="0.25">
      <c r="A20" s="37">
        <v>46203</v>
      </c>
      <c r="B20" s="41">
        <v>13666666.66666667</v>
      </c>
      <c r="C20" s="41">
        <v>1055555.555555556</v>
      </c>
      <c r="D20" s="41">
        <v>50000000</v>
      </c>
      <c r="E20" s="41">
        <v>3958333.333333333</v>
      </c>
      <c r="F20" s="41">
        <v>50000000</v>
      </c>
      <c r="G20" s="41">
        <v>0</v>
      </c>
      <c r="H20" s="41">
        <v>50000000</v>
      </c>
      <c r="I20" s="41">
        <v>0</v>
      </c>
      <c r="J20" s="41">
        <v>20000000</v>
      </c>
      <c r="K20" s="41">
        <v>3333333.333333333</v>
      </c>
      <c r="L20" s="41">
        <v>10000000</v>
      </c>
      <c r="M20" s="41">
        <v>833333.33333333337</v>
      </c>
      <c r="N20" s="41">
        <v>46375000</v>
      </c>
      <c r="O20" s="41">
        <v>2375000</v>
      </c>
      <c r="P20" s="41">
        <v>75000000</v>
      </c>
      <c r="Q20" s="41">
        <v>0</v>
      </c>
      <c r="R20" s="41">
        <v>34166666.666666657</v>
      </c>
      <c r="S20" s="41">
        <v>2638888.888888889</v>
      </c>
      <c r="T20" s="41">
        <v>23333333.333333328</v>
      </c>
      <c r="U20" s="41">
        <v>1944444.444444444</v>
      </c>
      <c r="V20" s="41">
        <v>372541666.66666669</v>
      </c>
      <c r="W20" s="41">
        <v>16138888.88888889</v>
      </c>
      <c r="X20" s="4">
        <f>V20/'Token Model'!$B$6</f>
        <v>0.74508333333333332</v>
      </c>
      <c r="Y20" s="4">
        <f>W20/'Token Model'!$B$6</f>
        <v>3.227777777777778E-2</v>
      </c>
      <c r="Z20" s="5">
        <f t="shared" si="2"/>
        <v>4.5282724757413975E-2</v>
      </c>
      <c r="AA20" s="25">
        <f>'Token Model'!$B$6-V20</f>
        <v>127458333.33333331</v>
      </c>
      <c r="AB20" s="4">
        <f t="shared" si="0"/>
        <v>0.12662090007627769</v>
      </c>
      <c r="AC20" s="6">
        <f t="shared" si="1"/>
        <v>0.25206553703963031</v>
      </c>
    </row>
    <row r="21" spans="1:29" x14ac:dyDescent="0.25">
      <c r="A21" s="37">
        <v>46234</v>
      </c>
      <c r="B21" s="41">
        <v>14722222.222222229</v>
      </c>
      <c r="C21" s="41">
        <v>1055555.555555556</v>
      </c>
      <c r="D21" s="41">
        <v>50000000</v>
      </c>
      <c r="E21" s="41">
        <v>0</v>
      </c>
      <c r="F21" s="41">
        <v>50000000</v>
      </c>
      <c r="G21" s="41">
        <v>0</v>
      </c>
      <c r="H21" s="41">
        <v>50000000</v>
      </c>
      <c r="I21" s="41">
        <v>0</v>
      </c>
      <c r="J21" s="41">
        <v>23333333.333333328</v>
      </c>
      <c r="K21" s="41">
        <v>3333333.333333333</v>
      </c>
      <c r="L21" s="41">
        <v>10000000</v>
      </c>
      <c r="M21" s="41">
        <v>0</v>
      </c>
      <c r="N21" s="41">
        <v>48750000</v>
      </c>
      <c r="O21" s="41">
        <v>2375000</v>
      </c>
      <c r="P21" s="41">
        <v>75000000</v>
      </c>
      <c r="Q21" s="41">
        <v>0</v>
      </c>
      <c r="R21" s="41">
        <v>36805555.555555552</v>
      </c>
      <c r="S21" s="41">
        <v>2638888.888888889</v>
      </c>
      <c r="T21" s="41">
        <v>25277777.77777778</v>
      </c>
      <c r="U21" s="41">
        <v>1944444.444444444</v>
      </c>
      <c r="V21" s="41">
        <v>383888888.88888901</v>
      </c>
      <c r="W21" s="41">
        <v>11347222.22222222</v>
      </c>
      <c r="X21" s="4">
        <f>V21/'Token Model'!$B$6</f>
        <v>0.767777777777778</v>
      </c>
      <c r="Y21" s="4">
        <f>W21/'Token Model'!$B$6</f>
        <v>2.2694444444444441E-2</v>
      </c>
      <c r="Z21" s="5">
        <f t="shared" si="2"/>
        <v>3.0458934496514177E-2</v>
      </c>
      <c r="AA21" s="25">
        <f>'Token Model'!$B$6-V21</f>
        <v>116111111.11111099</v>
      </c>
      <c r="AB21" s="4">
        <f t="shared" si="0"/>
        <v>9.7727272727272815E-2</v>
      </c>
      <c r="AC21" s="6">
        <f t="shared" si="1"/>
        <v>0.24280575539568336</v>
      </c>
    </row>
    <row r="22" spans="1:29" x14ac:dyDescent="0.25">
      <c r="A22" s="37">
        <v>46265</v>
      </c>
      <c r="B22" s="41">
        <v>15777777.77777778</v>
      </c>
      <c r="C22" s="41">
        <v>1055555.555555556</v>
      </c>
      <c r="D22" s="41">
        <v>50000000</v>
      </c>
      <c r="E22" s="41">
        <v>0</v>
      </c>
      <c r="F22" s="41">
        <v>50000000</v>
      </c>
      <c r="G22" s="41">
        <v>0</v>
      </c>
      <c r="H22" s="41">
        <v>50000000</v>
      </c>
      <c r="I22" s="41">
        <v>0</v>
      </c>
      <c r="J22" s="41">
        <v>26666666.66666666</v>
      </c>
      <c r="K22" s="41">
        <v>3333333.333333333</v>
      </c>
      <c r="L22" s="41">
        <v>10000000</v>
      </c>
      <c r="M22" s="41">
        <v>0</v>
      </c>
      <c r="N22" s="41">
        <v>51125000</v>
      </c>
      <c r="O22" s="41">
        <v>2375000</v>
      </c>
      <c r="P22" s="41">
        <v>75000000</v>
      </c>
      <c r="Q22" s="41">
        <v>0</v>
      </c>
      <c r="R22" s="41">
        <v>39444444.44444444</v>
      </c>
      <c r="S22" s="41">
        <v>2638888.888888889</v>
      </c>
      <c r="T22" s="41">
        <v>27222222.22222222</v>
      </c>
      <c r="U22" s="41">
        <v>1944444.444444444</v>
      </c>
      <c r="V22" s="41">
        <v>395236111.11111099</v>
      </c>
      <c r="W22" s="41">
        <v>11347222.22222222</v>
      </c>
      <c r="X22" s="4">
        <f>V22/'Token Model'!$B$6</f>
        <v>0.79047222222222202</v>
      </c>
      <c r="Y22" s="4">
        <f>W22/'Token Model'!$B$6</f>
        <v>2.2694444444444441E-2</v>
      </c>
      <c r="Z22" s="5">
        <f t="shared" si="2"/>
        <v>2.9558610709117205E-2</v>
      </c>
      <c r="AA22" s="25">
        <f>'Token Model'!$B$6-V22</f>
        <v>104763888.88888901</v>
      </c>
      <c r="AB22" s="4">
        <f t="shared" si="0"/>
        <v>0.10831234256926937</v>
      </c>
      <c r="AC22" s="6">
        <f t="shared" si="1"/>
        <v>0.23420219456130467</v>
      </c>
    </row>
    <row r="23" spans="1:29" x14ac:dyDescent="0.25">
      <c r="A23" s="37">
        <v>46295</v>
      </c>
      <c r="B23" s="41">
        <v>16833333.33333334</v>
      </c>
      <c r="C23" s="41">
        <v>1055555.555555556</v>
      </c>
      <c r="D23" s="41">
        <v>50000000</v>
      </c>
      <c r="E23" s="41">
        <v>0</v>
      </c>
      <c r="F23" s="41">
        <v>50000000</v>
      </c>
      <c r="G23" s="41">
        <v>0</v>
      </c>
      <c r="H23" s="41">
        <v>50000000</v>
      </c>
      <c r="I23" s="41">
        <v>0</v>
      </c>
      <c r="J23" s="41">
        <v>30000000</v>
      </c>
      <c r="K23" s="41">
        <v>3333333.333333333</v>
      </c>
      <c r="L23" s="41">
        <v>10000000</v>
      </c>
      <c r="M23" s="41">
        <v>0</v>
      </c>
      <c r="N23" s="41">
        <v>53500000</v>
      </c>
      <c r="O23" s="41">
        <v>2375000</v>
      </c>
      <c r="P23" s="41">
        <v>75000000</v>
      </c>
      <c r="Q23" s="41">
        <v>0</v>
      </c>
      <c r="R23" s="41">
        <v>42083333.333333328</v>
      </c>
      <c r="S23" s="41">
        <v>2638888.888888889</v>
      </c>
      <c r="T23" s="41">
        <v>29166666.66666666</v>
      </c>
      <c r="U23" s="41">
        <v>1944444.444444444</v>
      </c>
      <c r="V23" s="41">
        <v>406583333.33333337</v>
      </c>
      <c r="W23" s="41">
        <v>11347222.22222222</v>
      </c>
      <c r="X23" s="4">
        <f>V23/'Token Model'!$B$6</f>
        <v>0.8131666666666667</v>
      </c>
      <c r="Y23" s="4">
        <f>W23/'Token Model'!$B$6</f>
        <v>2.2694444444444441E-2</v>
      </c>
      <c r="Z23" s="5">
        <f t="shared" si="2"/>
        <v>2.8709983483852834E-2</v>
      </c>
      <c r="AA23" s="25">
        <f>'Token Model'!$B$6-V23</f>
        <v>93416666.666666627</v>
      </c>
      <c r="AB23" s="4">
        <f t="shared" si="0"/>
        <v>0.12146892655367235</v>
      </c>
      <c r="AC23" s="6">
        <f t="shared" si="1"/>
        <v>0.2261874842925358</v>
      </c>
    </row>
    <row r="24" spans="1:29" x14ac:dyDescent="0.25">
      <c r="A24" s="37">
        <v>46326</v>
      </c>
      <c r="B24" s="41">
        <v>17888888.888888892</v>
      </c>
      <c r="C24" s="41">
        <v>1055555.555555556</v>
      </c>
      <c r="D24" s="41">
        <v>50000000</v>
      </c>
      <c r="E24" s="41">
        <v>0</v>
      </c>
      <c r="F24" s="41">
        <v>50000000</v>
      </c>
      <c r="G24" s="41">
        <v>0</v>
      </c>
      <c r="H24" s="41">
        <v>50000000</v>
      </c>
      <c r="I24" s="41">
        <v>0</v>
      </c>
      <c r="J24" s="41">
        <v>33333333.333333328</v>
      </c>
      <c r="K24" s="41">
        <v>3333333.333333333</v>
      </c>
      <c r="L24" s="41">
        <v>10000000</v>
      </c>
      <c r="M24" s="41">
        <v>0</v>
      </c>
      <c r="N24" s="41">
        <v>55875000</v>
      </c>
      <c r="O24" s="41">
        <v>2375000</v>
      </c>
      <c r="P24" s="41">
        <v>75000000</v>
      </c>
      <c r="Q24" s="41">
        <v>0</v>
      </c>
      <c r="R24" s="41">
        <v>44722222.222222216</v>
      </c>
      <c r="S24" s="41">
        <v>2638888.888888889</v>
      </c>
      <c r="T24" s="41">
        <v>31111111.111111108</v>
      </c>
      <c r="U24" s="41">
        <v>1944444.444444444</v>
      </c>
      <c r="V24" s="41">
        <v>417930555.55555552</v>
      </c>
      <c r="W24" s="41">
        <v>11347222.22222222</v>
      </c>
      <c r="X24" s="4">
        <f>V24/'Token Model'!$B$6</f>
        <v>0.83586111111111105</v>
      </c>
      <c r="Y24" s="4">
        <f>W24/'Token Model'!$B$6</f>
        <v>2.2694444444444441E-2</v>
      </c>
      <c r="Z24" s="5">
        <f t="shared" si="2"/>
        <v>2.7908724465395905E-2</v>
      </c>
      <c r="AA24" s="25">
        <f>'Token Model'!$B$6-V24</f>
        <v>82069444.444444478</v>
      </c>
      <c r="AB24" s="4">
        <f t="shared" si="0"/>
        <v>0.13826366559485523</v>
      </c>
      <c r="AC24" s="6">
        <f t="shared" si="1"/>
        <v>0.21870317119598237</v>
      </c>
    </row>
    <row r="25" spans="1:29" x14ac:dyDescent="0.25">
      <c r="A25" s="37">
        <v>46356</v>
      </c>
      <c r="B25" s="41">
        <v>18944444.444444451</v>
      </c>
      <c r="C25" s="41">
        <v>1055555.555555556</v>
      </c>
      <c r="D25" s="41">
        <v>50000000</v>
      </c>
      <c r="E25" s="41">
        <v>0</v>
      </c>
      <c r="F25" s="41">
        <v>50000000</v>
      </c>
      <c r="G25" s="41">
        <v>0</v>
      </c>
      <c r="H25" s="41">
        <v>50000000</v>
      </c>
      <c r="I25" s="41">
        <v>0</v>
      </c>
      <c r="J25" s="41">
        <v>36666666.666666657</v>
      </c>
      <c r="K25" s="41">
        <v>3333333.333333333</v>
      </c>
      <c r="L25" s="41">
        <v>10000000</v>
      </c>
      <c r="M25" s="41">
        <v>0</v>
      </c>
      <c r="N25" s="41">
        <v>58250000</v>
      </c>
      <c r="O25" s="41">
        <v>2375000</v>
      </c>
      <c r="P25" s="41">
        <v>75000000</v>
      </c>
      <c r="Q25" s="41">
        <v>0</v>
      </c>
      <c r="R25" s="41">
        <v>47361111.111111097</v>
      </c>
      <c r="S25" s="41">
        <v>2638888.888888889</v>
      </c>
      <c r="T25" s="41">
        <v>33055555.555555549</v>
      </c>
      <c r="U25" s="41">
        <v>1944444.444444444</v>
      </c>
      <c r="V25" s="41">
        <v>429277777.77777779</v>
      </c>
      <c r="W25" s="41">
        <v>11347222.22222222</v>
      </c>
      <c r="X25" s="4">
        <f>V25/'Token Model'!$B$6</f>
        <v>0.85855555555555563</v>
      </c>
      <c r="Y25" s="4">
        <f>W25/'Token Model'!$B$6</f>
        <v>2.2694444444444441E-2</v>
      </c>
      <c r="Z25" s="5">
        <f t="shared" si="2"/>
        <v>2.715097537469675E-2</v>
      </c>
      <c r="AA25" s="25">
        <f>'Token Model'!$B$6-V25</f>
        <v>70722222.222222209</v>
      </c>
      <c r="AB25" s="4">
        <f t="shared" si="0"/>
        <v>0.16044776119402984</v>
      </c>
      <c r="AC25" s="6">
        <f t="shared" si="1"/>
        <v>0.21169829073231927</v>
      </c>
    </row>
    <row r="26" spans="1:29" x14ac:dyDescent="0.25">
      <c r="A26" s="37">
        <v>46387</v>
      </c>
      <c r="B26" s="41">
        <v>20000000</v>
      </c>
      <c r="C26" s="41">
        <v>1055555.555555556</v>
      </c>
      <c r="D26" s="41">
        <v>50000000</v>
      </c>
      <c r="E26" s="41">
        <v>0</v>
      </c>
      <c r="F26" s="41">
        <v>50000000</v>
      </c>
      <c r="G26" s="41">
        <v>0</v>
      </c>
      <c r="H26" s="41">
        <v>50000000</v>
      </c>
      <c r="I26" s="41">
        <v>0</v>
      </c>
      <c r="J26" s="41">
        <v>40000000</v>
      </c>
      <c r="K26" s="41">
        <v>3333333.333333333</v>
      </c>
      <c r="L26" s="41">
        <v>10000000</v>
      </c>
      <c r="M26" s="41">
        <v>0</v>
      </c>
      <c r="N26" s="41">
        <v>60625000</v>
      </c>
      <c r="O26" s="41">
        <v>2375000</v>
      </c>
      <c r="P26" s="41">
        <v>75000000</v>
      </c>
      <c r="Q26" s="41">
        <v>0</v>
      </c>
      <c r="R26" s="41">
        <v>49999999.999999993</v>
      </c>
      <c r="S26" s="41">
        <v>2638888.888888889</v>
      </c>
      <c r="T26" s="41">
        <v>35000000</v>
      </c>
      <c r="U26" s="41">
        <v>1944444.444444444</v>
      </c>
      <c r="V26" s="41">
        <v>440625000</v>
      </c>
      <c r="W26" s="41">
        <v>11347222.22222222</v>
      </c>
      <c r="X26" s="39">
        <f>V26/'Token Model'!$B$6</f>
        <v>0.88124999999999998</v>
      </c>
      <c r="Y26" s="39">
        <f>W26/'Token Model'!$B$6</f>
        <v>2.2694444444444441E-2</v>
      </c>
      <c r="Z26" s="5">
        <f t="shared" si="2"/>
        <v>2.6433285880678135E-2</v>
      </c>
      <c r="AA26" s="41">
        <f>'Token Model'!$B$6-V26</f>
        <v>59375000</v>
      </c>
      <c r="AB26" s="39">
        <f t="shared" si="0"/>
        <v>0.19111111111111106</v>
      </c>
      <c r="AC26" s="40">
        <f t="shared" si="1"/>
        <v>0.20512820512820512</v>
      </c>
    </row>
    <row r="27" spans="1:29" x14ac:dyDescent="0.25">
      <c r="A27" s="37">
        <v>46418</v>
      </c>
      <c r="B27" s="41">
        <v>20000000</v>
      </c>
      <c r="C27" s="41">
        <v>0</v>
      </c>
      <c r="D27" s="41">
        <v>50000000</v>
      </c>
      <c r="E27" s="41">
        <v>0</v>
      </c>
      <c r="F27" s="41">
        <v>50000000</v>
      </c>
      <c r="G27" s="41">
        <v>0</v>
      </c>
      <c r="H27" s="41">
        <v>50000000</v>
      </c>
      <c r="I27" s="41">
        <v>0</v>
      </c>
      <c r="J27" s="41">
        <v>40000000</v>
      </c>
      <c r="K27" s="41">
        <v>0</v>
      </c>
      <c r="L27" s="41">
        <v>10000000</v>
      </c>
      <c r="M27" s="41">
        <v>0</v>
      </c>
      <c r="N27" s="41">
        <v>63000000</v>
      </c>
      <c r="O27" s="41">
        <v>2375000</v>
      </c>
      <c r="P27" s="41">
        <v>75000000</v>
      </c>
      <c r="Q27" s="41">
        <v>0</v>
      </c>
      <c r="R27" s="41">
        <v>50000000</v>
      </c>
      <c r="S27" s="41">
        <v>0</v>
      </c>
      <c r="T27" s="41">
        <v>35000000</v>
      </c>
      <c r="U27" s="41">
        <v>0</v>
      </c>
      <c r="V27" s="41">
        <v>443000000</v>
      </c>
      <c r="W27" s="41">
        <v>2375000</v>
      </c>
      <c r="X27" s="4">
        <f>V27/'Token Model'!$B$6</f>
        <v>0.88600000000000001</v>
      </c>
      <c r="Y27" s="4">
        <f>W27/'Token Model'!$B$6</f>
        <v>4.7499999999999999E-3</v>
      </c>
      <c r="Z27" s="5">
        <f t="shared" si="2"/>
        <v>5.3900709219858152E-3</v>
      </c>
      <c r="AA27" s="25">
        <f>'Token Model'!$B$6-V27</f>
        <v>57000000</v>
      </c>
      <c r="AB27" s="4">
        <f t="shared" si="0"/>
        <v>4.1666666666666664E-2</v>
      </c>
      <c r="AC27" s="6">
        <f t="shared" si="1"/>
        <v>0.20380434782608695</v>
      </c>
    </row>
    <row r="28" spans="1:29" x14ac:dyDescent="0.25">
      <c r="A28" s="37">
        <v>46446</v>
      </c>
      <c r="B28" s="41">
        <v>20000000</v>
      </c>
      <c r="C28" s="41">
        <v>0</v>
      </c>
      <c r="D28" s="41">
        <v>50000000</v>
      </c>
      <c r="E28" s="41">
        <v>0</v>
      </c>
      <c r="F28" s="41">
        <v>50000000</v>
      </c>
      <c r="G28" s="41">
        <v>0</v>
      </c>
      <c r="H28" s="41">
        <v>50000000</v>
      </c>
      <c r="I28" s="41">
        <v>0</v>
      </c>
      <c r="J28" s="41">
        <v>40000000</v>
      </c>
      <c r="K28" s="41">
        <v>0</v>
      </c>
      <c r="L28" s="41">
        <v>10000000</v>
      </c>
      <c r="M28" s="41">
        <v>0</v>
      </c>
      <c r="N28" s="41">
        <v>65375000</v>
      </c>
      <c r="O28" s="41">
        <v>2375000</v>
      </c>
      <c r="P28" s="41">
        <v>75000000</v>
      </c>
      <c r="Q28" s="41">
        <v>0</v>
      </c>
      <c r="R28" s="41">
        <v>50000000</v>
      </c>
      <c r="S28" s="41">
        <v>0</v>
      </c>
      <c r="T28" s="41">
        <v>35000000</v>
      </c>
      <c r="U28" s="41">
        <v>0</v>
      </c>
      <c r="V28" s="41">
        <v>445375000</v>
      </c>
      <c r="W28" s="41">
        <v>2375000</v>
      </c>
      <c r="X28" s="4">
        <f>V28/'Token Model'!$B$6</f>
        <v>0.89075000000000004</v>
      </c>
      <c r="Y28" s="4">
        <f>W28/'Token Model'!$B$6</f>
        <v>4.7499999999999999E-3</v>
      </c>
      <c r="Z28" s="5">
        <f t="shared" si="2"/>
        <v>5.3611738148984199E-3</v>
      </c>
      <c r="AA28" s="25">
        <f>'Token Model'!$B$6-V28</f>
        <v>54625000</v>
      </c>
      <c r="AB28" s="4">
        <f t="shared" si="0"/>
        <v>4.3478260869565216E-2</v>
      </c>
      <c r="AC28" s="6">
        <f t="shared" si="1"/>
        <v>0.20249746878164024</v>
      </c>
    </row>
    <row r="29" spans="1:29" x14ac:dyDescent="0.25">
      <c r="A29" s="37">
        <v>46477</v>
      </c>
      <c r="B29" s="41">
        <v>20000000</v>
      </c>
      <c r="C29" s="41">
        <v>0</v>
      </c>
      <c r="D29" s="41">
        <v>50000000</v>
      </c>
      <c r="E29" s="41">
        <v>0</v>
      </c>
      <c r="F29" s="41">
        <v>50000000</v>
      </c>
      <c r="G29" s="41">
        <v>0</v>
      </c>
      <c r="H29" s="41">
        <v>50000000</v>
      </c>
      <c r="I29" s="41">
        <v>0</v>
      </c>
      <c r="J29" s="41">
        <v>40000000</v>
      </c>
      <c r="K29" s="41">
        <v>0</v>
      </c>
      <c r="L29" s="41">
        <v>10000000</v>
      </c>
      <c r="M29" s="41">
        <v>0</v>
      </c>
      <c r="N29" s="41">
        <v>67750000</v>
      </c>
      <c r="O29" s="41">
        <v>2375000</v>
      </c>
      <c r="P29" s="41">
        <v>75000000</v>
      </c>
      <c r="Q29" s="41">
        <v>0</v>
      </c>
      <c r="R29" s="41">
        <v>50000000</v>
      </c>
      <c r="S29" s="41">
        <v>0</v>
      </c>
      <c r="T29" s="41">
        <v>35000000</v>
      </c>
      <c r="U29" s="41">
        <v>0</v>
      </c>
      <c r="V29" s="41">
        <v>447750000</v>
      </c>
      <c r="W29" s="41">
        <v>2375000</v>
      </c>
      <c r="X29" s="4">
        <f>V29/'Token Model'!$B$6</f>
        <v>0.89549999999999996</v>
      </c>
      <c r="Y29" s="4">
        <f>W29/'Token Model'!$B$6</f>
        <v>4.7499999999999999E-3</v>
      </c>
      <c r="Z29" s="5">
        <f t="shared" si="2"/>
        <v>5.3325849003648612E-3</v>
      </c>
      <c r="AA29" s="25">
        <f>'Token Model'!$B$6-V29</f>
        <v>52250000</v>
      </c>
      <c r="AB29" s="4">
        <f t="shared" si="0"/>
        <v>4.5454545454545456E-2</v>
      </c>
      <c r="AC29" s="6">
        <f t="shared" si="1"/>
        <v>0.2012072434607646</v>
      </c>
    </row>
    <row r="30" spans="1:29" x14ac:dyDescent="0.25">
      <c r="A30" s="37">
        <v>46507</v>
      </c>
      <c r="B30" s="41">
        <v>20000000</v>
      </c>
      <c r="C30" s="41">
        <v>0</v>
      </c>
      <c r="D30" s="41">
        <v>50000000</v>
      </c>
      <c r="E30" s="41">
        <v>0</v>
      </c>
      <c r="F30" s="41">
        <v>50000000</v>
      </c>
      <c r="G30" s="41">
        <v>0</v>
      </c>
      <c r="H30" s="41">
        <v>50000000</v>
      </c>
      <c r="I30" s="41">
        <v>0</v>
      </c>
      <c r="J30" s="41">
        <v>40000000</v>
      </c>
      <c r="K30" s="41">
        <v>0</v>
      </c>
      <c r="L30" s="41">
        <v>10000000</v>
      </c>
      <c r="M30" s="41">
        <v>0</v>
      </c>
      <c r="N30" s="41">
        <v>70125000</v>
      </c>
      <c r="O30" s="41">
        <v>2375000</v>
      </c>
      <c r="P30" s="41">
        <v>75000000</v>
      </c>
      <c r="Q30" s="41">
        <v>0</v>
      </c>
      <c r="R30" s="41">
        <v>50000000</v>
      </c>
      <c r="S30" s="41">
        <v>0</v>
      </c>
      <c r="T30" s="41">
        <v>35000000</v>
      </c>
      <c r="U30" s="41">
        <v>0</v>
      </c>
      <c r="V30" s="41">
        <v>450125000</v>
      </c>
      <c r="W30" s="41">
        <v>2375000</v>
      </c>
      <c r="X30" s="4">
        <f>V30/'Token Model'!$B$6</f>
        <v>0.90024999999999999</v>
      </c>
      <c r="Y30" s="4">
        <f>W30/'Token Model'!$B$6</f>
        <v>4.7499999999999999E-3</v>
      </c>
      <c r="Z30" s="5">
        <f t="shared" si="2"/>
        <v>5.30429927414852E-3</v>
      </c>
      <c r="AA30" s="25">
        <f>'Token Model'!$B$6-V30</f>
        <v>49875000</v>
      </c>
      <c r="AB30" s="4">
        <f t="shared" si="0"/>
        <v>4.7619047619047616E-2</v>
      </c>
      <c r="AC30" s="6">
        <f t="shared" si="1"/>
        <v>0.19993335554815062</v>
      </c>
    </row>
    <row r="31" spans="1:29" x14ac:dyDescent="0.25">
      <c r="A31" s="37">
        <v>46538</v>
      </c>
      <c r="B31" s="41">
        <v>20000000</v>
      </c>
      <c r="C31" s="41">
        <v>0</v>
      </c>
      <c r="D31" s="41">
        <v>50000000</v>
      </c>
      <c r="E31" s="41">
        <v>0</v>
      </c>
      <c r="F31" s="41">
        <v>50000000</v>
      </c>
      <c r="G31" s="41">
        <v>0</v>
      </c>
      <c r="H31" s="41">
        <v>50000000</v>
      </c>
      <c r="I31" s="41">
        <v>0</v>
      </c>
      <c r="J31" s="41">
        <v>40000000</v>
      </c>
      <c r="K31" s="41">
        <v>0</v>
      </c>
      <c r="L31" s="41">
        <v>10000000</v>
      </c>
      <c r="M31" s="41">
        <v>0</v>
      </c>
      <c r="N31" s="41">
        <v>72500000</v>
      </c>
      <c r="O31" s="41">
        <v>2375000</v>
      </c>
      <c r="P31" s="41">
        <v>75000000</v>
      </c>
      <c r="Q31" s="41">
        <v>0</v>
      </c>
      <c r="R31" s="41">
        <v>50000000</v>
      </c>
      <c r="S31" s="41">
        <v>0</v>
      </c>
      <c r="T31" s="41">
        <v>35000000</v>
      </c>
      <c r="U31" s="41">
        <v>0</v>
      </c>
      <c r="V31" s="41">
        <v>452500000</v>
      </c>
      <c r="W31" s="41">
        <v>2375000</v>
      </c>
      <c r="X31" s="4">
        <f>V31/'Token Model'!$B$6</f>
        <v>0.90500000000000003</v>
      </c>
      <c r="Y31" s="4">
        <f>W31/'Token Model'!$B$6</f>
        <v>4.7499999999999999E-3</v>
      </c>
      <c r="Z31" s="5">
        <f t="shared" si="2"/>
        <v>5.276312135517912E-3</v>
      </c>
      <c r="AA31" s="25">
        <f>'Token Model'!$B$6-V31</f>
        <v>47500000</v>
      </c>
      <c r="AB31" s="4">
        <f t="shared" si="0"/>
        <v>0.05</v>
      </c>
      <c r="AC31" s="6">
        <f t="shared" si="1"/>
        <v>0.19867549668874171</v>
      </c>
    </row>
    <row r="32" spans="1:29" x14ac:dyDescent="0.25">
      <c r="A32" s="37">
        <v>46568</v>
      </c>
      <c r="B32" s="41">
        <v>20000000</v>
      </c>
      <c r="C32" s="41">
        <v>0</v>
      </c>
      <c r="D32" s="41">
        <v>50000000</v>
      </c>
      <c r="E32" s="41">
        <v>0</v>
      </c>
      <c r="F32" s="41">
        <v>50000000</v>
      </c>
      <c r="G32" s="41">
        <v>0</v>
      </c>
      <c r="H32" s="41">
        <v>50000000</v>
      </c>
      <c r="I32" s="41">
        <v>0</v>
      </c>
      <c r="J32" s="41">
        <v>40000000</v>
      </c>
      <c r="K32" s="41">
        <v>0</v>
      </c>
      <c r="L32" s="41">
        <v>10000000</v>
      </c>
      <c r="M32" s="41">
        <v>0</v>
      </c>
      <c r="N32" s="41">
        <v>74875000</v>
      </c>
      <c r="O32" s="41">
        <v>2375000</v>
      </c>
      <c r="P32" s="41">
        <v>75000000</v>
      </c>
      <c r="Q32" s="41">
        <v>0</v>
      </c>
      <c r="R32" s="41">
        <v>50000000</v>
      </c>
      <c r="S32" s="41">
        <v>0</v>
      </c>
      <c r="T32" s="41">
        <v>35000000</v>
      </c>
      <c r="U32" s="41">
        <v>0</v>
      </c>
      <c r="V32" s="41">
        <v>454875000</v>
      </c>
      <c r="W32" s="41">
        <v>2375000</v>
      </c>
      <c r="X32" s="4">
        <f>V32/'Token Model'!$B$6</f>
        <v>0.90974999999999995</v>
      </c>
      <c r="Y32" s="4">
        <f>W32/'Token Model'!$B$6</f>
        <v>4.7499999999999999E-3</v>
      </c>
      <c r="Z32" s="5">
        <f t="shared" si="2"/>
        <v>5.2486187845303869E-3</v>
      </c>
      <c r="AA32" s="25">
        <f>'Token Model'!$B$6-V32</f>
        <v>45125000</v>
      </c>
      <c r="AB32" s="4">
        <f t="shared" si="0"/>
        <v>5.2631578947368418E-2</v>
      </c>
      <c r="AC32" s="6">
        <f t="shared" si="1"/>
        <v>0.19743336623889438</v>
      </c>
    </row>
    <row r="33" spans="1:29" x14ac:dyDescent="0.25">
      <c r="A33" s="37">
        <v>46599</v>
      </c>
      <c r="B33" s="41">
        <v>20000000</v>
      </c>
      <c r="C33" s="41">
        <v>0</v>
      </c>
      <c r="D33" s="41">
        <v>50000000</v>
      </c>
      <c r="E33" s="41">
        <v>0</v>
      </c>
      <c r="F33" s="41">
        <v>50000000</v>
      </c>
      <c r="G33" s="41">
        <v>0</v>
      </c>
      <c r="H33" s="41">
        <v>50000000</v>
      </c>
      <c r="I33" s="41">
        <v>0</v>
      </c>
      <c r="J33" s="41">
        <v>40000000</v>
      </c>
      <c r="K33" s="41">
        <v>0</v>
      </c>
      <c r="L33" s="41">
        <v>10000000</v>
      </c>
      <c r="M33" s="41">
        <v>0</v>
      </c>
      <c r="N33" s="41">
        <v>77250000</v>
      </c>
      <c r="O33" s="41">
        <v>2375000</v>
      </c>
      <c r="P33" s="41">
        <v>75000000</v>
      </c>
      <c r="Q33" s="41">
        <v>0</v>
      </c>
      <c r="R33" s="41">
        <v>50000000</v>
      </c>
      <c r="S33" s="41">
        <v>0</v>
      </c>
      <c r="T33" s="41">
        <v>35000000</v>
      </c>
      <c r="U33" s="41">
        <v>0</v>
      </c>
      <c r="V33" s="41">
        <v>457250000</v>
      </c>
      <c r="W33" s="41">
        <v>2375000</v>
      </c>
      <c r="X33" s="4">
        <f>V33/'Token Model'!$B$6</f>
        <v>0.91449999999999998</v>
      </c>
      <c r="Y33" s="4">
        <f>W33/'Token Model'!$B$6</f>
        <v>4.7499999999999999E-3</v>
      </c>
      <c r="Z33" s="5">
        <f t="shared" si="2"/>
        <v>5.2212146194009343E-3</v>
      </c>
      <c r="AA33" s="25">
        <f>'Token Model'!$B$6-V33</f>
        <v>42750000</v>
      </c>
      <c r="AB33" s="4">
        <f t="shared" si="0"/>
        <v>5.5555555555555552E-2</v>
      </c>
      <c r="AC33" s="6">
        <f t="shared" si="1"/>
        <v>0.19620667102681491</v>
      </c>
    </row>
    <row r="34" spans="1:29" x14ac:dyDescent="0.25">
      <c r="A34" s="37">
        <v>46630</v>
      </c>
      <c r="B34" s="41">
        <v>20000000</v>
      </c>
      <c r="C34" s="41">
        <v>0</v>
      </c>
      <c r="D34" s="41">
        <v>50000000</v>
      </c>
      <c r="E34" s="41">
        <v>0</v>
      </c>
      <c r="F34" s="41">
        <v>50000000</v>
      </c>
      <c r="G34" s="41">
        <v>0</v>
      </c>
      <c r="H34" s="41">
        <v>50000000</v>
      </c>
      <c r="I34" s="41">
        <v>0</v>
      </c>
      <c r="J34" s="41">
        <v>40000000</v>
      </c>
      <c r="K34" s="41">
        <v>0</v>
      </c>
      <c r="L34" s="41">
        <v>10000000</v>
      </c>
      <c r="M34" s="41">
        <v>0</v>
      </c>
      <c r="N34" s="41">
        <v>79625000</v>
      </c>
      <c r="O34" s="41">
        <v>2375000</v>
      </c>
      <c r="P34" s="41">
        <v>75000000</v>
      </c>
      <c r="Q34" s="41">
        <v>0</v>
      </c>
      <c r="R34" s="41">
        <v>50000000</v>
      </c>
      <c r="S34" s="41">
        <v>0</v>
      </c>
      <c r="T34" s="41">
        <v>35000000</v>
      </c>
      <c r="U34" s="41">
        <v>0</v>
      </c>
      <c r="V34" s="41">
        <v>459625000</v>
      </c>
      <c r="W34" s="41">
        <v>2375000</v>
      </c>
      <c r="X34" s="4">
        <f>V34/'Token Model'!$B$6</f>
        <v>0.91925000000000001</v>
      </c>
      <c r="Y34" s="4">
        <f>W34/'Token Model'!$B$6</f>
        <v>4.7499999999999999E-3</v>
      </c>
      <c r="Z34" s="5">
        <f t="shared" si="2"/>
        <v>5.1940951339529799E-3</v>
      </c>
      <c r="AA34" s="25">
        <f>'Token Model'!$B$6-V34</f>
        <v>40375000</v>
      </c>
      <c r="AB34" s="4">
        <f t="shared" si="0"/>
        <v>5.8823529411764705E-2</v>
      </c>
      <c r="AC34" s="6">
        <f t="shared" si="1"/>
        <v>0.19499512512187195</v>
      </c>
    </row>
    <row r="35" spans="1:29" x14ac:dyDescent="0.25">
      <c r="A35" s="37">
        <v>46660</v>
      </c>
      <c r="B35" s="41">
        <v>20000000</v>
      </c>
      <c r="C35" s="41">
        <v>0</v>
      </c>
      <c r="D35" s="41">
        <v>50000000</v>
      </c>
      <c r="E35" s="41">
        <v>0</v>
      </c>
      <c r="F35" s="41">
        <v>50000000</v>
      </c>
      <c r="G35" s="41">
        <v>0</v>
      </c>
      <c r="H35" s="41">
        <v>50000000</v>
      </c>
      <c r="I35" s="41">
        <v>0</v>
      </c>
      <c r="J35" s="41">
        <v>40000000</v>
      </c>
      <c r="K35" s="41">
        <v>0</v>
      </c>
      <c r="L35" s="41">
        <v>10000000</v>
      </c>
      <c r="M35" s="41">
        <v>0</v>
      </c>
      <c r="N35" s="41">
        <v>82000000</v>
      </c>
      <c r="O35" s="41">
        <v>2375000</v>
      </c>
      <c r="P35" s="41">
        <v>75000000</v>
      </c>
      <c r="Q35" s="41">
        <v>0</v>
      </c>
      <c r="R35" s="41">
        <v>50000000</v>
      </c>
      <c r="S35" s="41">
        <v>0</v>
      </c>
      <c r="T35" s="41">
        <v>35000000</v>
      </c>
      <c r="U35" s="41">
        <v>0</v>
      </c>
      <c r="V35" s="41">
        <v>462000000</v>
      </c>
      <c r="W35" s="41">
        <v>2375000</v>
      </c>
      <c r="X35" s="4">
        <f>V35/'Token Model'!$B$6</f>
        <v>0.92400000000000004</v>
      </c>
      <c r="Y35" s="4">
        <f>W35/'Token Model'!$B$6</f>
        <v>4.7499999999999999E-3</v>
      </c>
      <c r="Z35" s="5">
        <f t="shared" si="2"/>
        <v>5.1672559151482184E-3</v>
      </c>
      <c r="AA35" s="25">
        <f>'Token Model'!$B$6-V35</f>
        <v>38000000</v>
      </c>
      <c r="AB35" s="4">
        <f t="shared" si="0"/>
        <v>6.25E-2</v>
      </c>
      <c r="AC35" s="6">
        <f t="shared" ref="AC35:AC51" si="3">P35/(V35-P35)</f>
        <v>0.19379844961240311</v>
      </c>
    </row>
    <row r="36" spans="1:29" x14ac:dyDescent="0.25">
      <c r="A36" s="37">
        <v>46691</v>
      </c>
      <c r="B36" s="41">
        <v>20000000</v>
      </c>
      <c r="C36" s="41">
        <v>0</v>
      </c>
      <c r="D36" s="41">
        <v>50000000</v>
      </c>
      <c r="E36" s="41">
        <v>0</v>
      </c>
      <c r="F36" s="41">
        <v>50000000</v>
      </c>
      <c r="G36" s="41">
        <v>0</v>
      </c>
      <c r="H36" s="41">
        <v>50000000</v>
      </c>
      <c r="I36" s="41">
        <v>0</v>
      </c>
      <c r="J36" s="41">
        <v>40000000</v>
      </c>
      <c r="K36" s="41">
        <v>0</v>
      </c>
      <c r="L36" s="41">
        <v>10000000</v>
      </c>
      <c r="M36" s="41">
        <v>0</v>
      </c>
      <c r="N36" s="41">
        <v>84375000</v>
      </c>
      <c r="O36" s="41">
        <v>2375000</v>
      </c>
      <c r="P36" s="41">
        <v>75000000</v>
      </c>
      <c r="Q36" s="41">
        <v>0</v>
      </c>
      <c r="R36" s="41">
        <v>50000000</v>
      </c>
      <c r="S36" s="41">
        <v>0</v>
      </c>
      <c r="T36" s="41">
        <v>35000000</v>
      </c>
      <c r="U36" s="41">
        <v>0</v>
      </c>
      <c r="V36" s="41">
        <v>464375000</v>
      </c>
      <c r="W36" s="41">
        <v>2375000</v>
      </c>
      <c r="X36" s="4">
        <f>V36/'Token Model'!$B$6</f>
        <v>0.92874999999999996</v>
      </c>
      <c r="Y36" s="4">
        <f>W36/'Token Model'!$B$6</f>
        <v>4.7499999999999999E-3</v>
      </c>
      <c r="Z36" s="5">
        <f t="shared" si="2"/>
        <v>5.140692640692641E-3</v>
      </c>
      <c r="AA36" s="25">
        <f>'Token Model'!$B$6-V36</f>
        <v>35625000</v>
      </c>
      <c r="AB36" s="4">
        <f t="shared" si="0"/>
        <v>6.6666666666666666E-2</v>
      </c>
      <c r="AC36" s="6">
        <f t="shared" si="3"/>
        <v>0.1926163723916533</v>
      </c>
    </row>
    <row r="37" spans="1:29" x14ac:dyDescent="0.25">
      <c r="A37" s="37">
        <v>46721</v>
      </c>
      <c r="B37" s="41">
        <v>20000000</v>
      </c>
      <c r="C37" s="41">
        <v>0</v>
      </c>
      <c r="D37" s="41">
        <v>50000000</v>
      </c>
      <c r="E37" s="41">
        <v>0</v>
      </c>
      <c r="F37" s="41">
        <v>50000000</v>
      </c>
      <c r="G37" s="41">
        <v>0</v>
      </c>
      <c r="H37" s="41">
        <v>50000000</v>
      </c>
      <c r="I37" s="41">
        <v>0</v>
      </c>
      <c r="J37" s="41">
        <v>40000000</v>
      </c>
      <c r="K37" s="41">
        <v>0</v>
      </c>
      <c r="L37" s="41">
        <v>10000000</v>
      </c>
      <c r="M37" s="41">
        <v>0</v>
      </c>
      <c r="N37" s="41">
        <v>86750000</v>
      </c>
      <c r="O37" s="41">
        <v>2375000</v>
      </c>
      <c r="P37" s="41">
        <v>75000000</v>
      </c>
      <c r="Q37" s="41">
        <v>0</v>
      </c>
      <c r="R37" s="41">
        <v>50000000</v>
      </c>
      <c r="S37" s="41">
        <v>0</v>
      </c>
      <c r="T37" s="41">
        <v>35000000</v>
      </c>
      <c r="U37" s="41">
        <v>0</v>
      </c>
      <c r="V37" s="41">
        <v>466750000</v>
      </c>
      <c r="W37" s="41">
        <v>2375000</v>
      </c>
      <c r="X37" s="4">
        <f>V37/'Token Model'!$B$6</f>
        <v>0.9335</v>
      </c>
      <c r="Y37" s="4">
        <f>W37/'Token Model'!$B$6</f>
        <v>4.7499999999999999E-3</v>
      </c>
      <c r="Z37" s="5">
        <f t="shared" si="2"/>
        <v>5.1144010767160165E-3</v>
      </c>
      <c r="AA37" s="25">
        <f>'Token Model'!$B$6-V37</f>
        <v>33250000</v>
      </c>
      <c r="AB37" s="4">
        <f t="shared" si="0"/>
        <v>7.1428571428571425E-2</v>
      </c>
      <c r="AC37" s="6">
        <f t="shared" si="3"/>
        <v>0.19144862795149969</v>
      </c>
    </row>
    <row r="38" spans="1:29" x14ac:dyDescent="0.25">
      <c r="A38" s="37">
        <v>46752</v>
      </c>
      <c r="B38" s="41">
        <v>20000000</v>
      </c>
      <c r="C38" s="41">
        <v>0</v>
      </c>
      <c r="D38" s="41">
        <v>50000000</v>
      </c>
      <c r="E38" s="41">
        <v>0</v>
      </c>
      <c r="F38" s="41">
        <v>50000000</v>
      </c>
      <c r="G38" s="41">
        <v>0</v>
      </c>
      <c r="H38" s="41">
        <v>50000000</v>
      </c>
      <c r="I38" s="41">
        <v>0</v>
      </c>
      <c r="J38" s="41">
        <v>40000000</v>
      </c>
      <c r="K38" s="41">
        <v>0</v>
      </c>
      <c r="L38" s="41">
        <v>10000000</v>
      </c>
      <c r="M38" s="41">
        <v>0</v>
      </c>
      <c r="N38" s="41">
        <v>89125000</v>
      </c>
      <c r="O38" s="41">
        <v>2375000</v>
      </c>
      <c r="P38" s="41">
        <v>75000000</v>
      </c>
      <c r="Q38" s="41">
        <v>0</v>
      </c>
      <c r="R38" s="41">
        <v>50000000</v>
      </c>
      <c r="S38" s="41">
        <v>0</v>
      </c>
      <c r="T38" s="41">
        <v>35000000</v>
      </c>
      <c r="U38" s="41">
        <v>0</v>
      </c>
      <c r="V38" s="41">
        <v>469125000</v>
      </c>
      <c r="W38" s="41">
        <v>2375000</v>
      </c>
      <c r="X38" s="4">
        <f>V38/'Token Model'!$B$6</f>
        <v>0.93825000000000003</v>
      </c>
      <c r="Y38" s="4">
        <f>W38/'Token Model'!$B$6</f>
        <v>4.7499999999999999E-3</v>
      </c>
      <c r="Z38" s="5">
        <f t="shared" si="2"/>
        <v>5.0883770755222281E-3</v>
      </c>
      <c r="AA38" s="25">
        <f>'Token Model'!$B$6-V38</f>
        <v>30875000</v>
      </c>
      <c r="AB38" s="4">
        <f t="shared" si="0"/>
        <v>7.6923076923076927E-2</v>
      </c>
      <c r="AC38" s="6">
        <f t="shared" si="3"/>
        <v>0.19029495718363462</v>
      </c>
    </row>
    <row r="39" spans="1:29" x14ac:dyDescent="0.25">
      <c r="A39" s="37">
        <v>46783</v>
      </c>
      <c r="B39" s="41">
        <v>20000000</v>
      </c>
      <c r="C39" s="41">
        <v>0</v>
      </c>
      <c r="D39" s="41">
        <v>50000000</v>
      </c>
      <c r="E39" s="41">
        <v>0</v>
      </c>
      <c r="F39" s="41">
        <v>50000000</v>
      </c>
      <c r="G39" s="41">
        <v>0</v>
      </c>
      <c r="H39" s="41">
        <v>50000000</v>
      </c>
      <c r="I39" s="41">
        <v>0</v>
      </c>
      <c r="J39" s="41">
        <v>40000000</v>
      </c>
      <c r="K39" s="41">
        <v>0</v>
      </c>
      <c r="L39" s="41">
        <v>10000000</v>
      </c>
      <c r="M39" s="41">
        <v>0</v>
      </c>
      <c r="N39" s="41">
        <v>91500000</v>
      </c>
      <c r="O39" s="41">
        <v>2375000</v>
      </c>
      <c r="P39" s="41">
        <v>75000000</v>
      </c>
      <c r="Q39" s="41">
        <v>0</v>
      </c>
      <c r="R39" s="41">
        <v>50000000</v>
      </c>
      <c r="S39" s="41">
        <v>0</v>
      </c>
      <c r="T39" s="41">
        <v>35000000</v>
      </c>
      <c r="U39" s="41">
        <v>0</v>
      </c>
      <c r="V39" s="41">
        <v>471500000</v>
      </c>
      <c r="W39" s="41">
        <v>2375000</v>
      </c>
      <c r="X39" s="4">
        <f>V39/'Token Model'!$B$6</f>
        <v>0.94299999999999995</v>
      </c>
      <c r="Y39" s="4">
        <f>W39/'Token Model'!$B$6</f>
        <v>4.7499999999999999E-3</v>
      </c>
      <c r="Z39" s="5">
        <f t="shared" si="2"/>
        <v>5.0626165734079407E-3</v>
      </c>
      <c r="AA39" s="25">
        <f>'Token Model'!$B$6-V39</f>
        <v>28500000</v>
      </c>
      <c r="AB39" s="4">
        <f t="shared" si="0"/>
        <v>8.3333333333333329E-2</v>
      </c>
      <c r="AC39" s="6">
        <f t="shared" si="3"/>
        <v>0.18915510718789408</v>
      </c>
    </row>
    <row r="40" spans="1:29" x14ac:dyDescent="0.25">
      <c r="A40" s="37">
        <v>46812</v>
      </c>
      <c r="B40" s="41">
        <v>20000000</v>
      </c>
      <c r="C40" s="41">
        <v>0</v>
      </c>
      <c r="D40" s="41">
        <v>50000000</v>
      </c>
      <c r="E40" s="41">
        <v>0</v>
      </c>
      <c r="F40" s="41">
        <v>50000000</v>
      </c>
      <c r="G40" s="41">
        <v>0</v>
      </c>
      <c r="H40" s="41">
        <v>50000000</v>
      </c>
      <c r="I40" s="41">
        <v>0</v>
      </c>
      <c r="J40" s="41">
        <v>40000000</v>
      </c>
      <c r="K40" s="41">
        <v>0</v>
      </c>
      <c r="L40" s="41">
        <v>10000000</v>
      </c>
      <c r="M40" s="41">
        <v>0</v>
      </c>
      <c r="N40" s="41">
        <v>93875000</v>
      </c>
      <c r="O40" s="41">
        <v>2375000</v>
      </c>
      <c r="P40" s="41">
        <v>75000000</v>
      </c>
      <c r="Q40" s="41">
        <v>0</v>
      </c>
      <c r="R40" s="41">
        <v>50000000</v>
      </c>
      <c r="S40" s="41">
        <v>0</v>
      </c>
      <c r="T40" s="41">
        <v>35000000</v>
      </c>
      <c r="U40" s="41">
        <v>0</v>
      </c>
      <c r="V40" s="41">
        <v>473875000</v>
      </c>
      <c r="W40" s="41">
        <v>2375000</v>
      </c>
      <c r="X40" s="4">
        <f>V40/'Token Model'!$B$6</f>
        <v>0.94774999999999998</v>
      </c>
      <c r="Y40" s="4">
        <f>W40/'Token Model'!$B$6</f>
        <v>4.7499999999999999E-3</v>
      </c>
      <c r="Z40" s="5">
        <f t="shared" si="2"/>
        <v>5.0371155885471901E-3</v>
      </c>
      <c r="AA40" s="25">
        <f>'Token Model'!$B$6-V40</f>
        <v>26125000</v>
      </c>
      <c r="AB40" s="4">
        <f t="shared" si="0"/>
        <v>9.0909090909090912E-2</v>
      </c>
      <c r="AC40" s="6">
        <f t="shared" si="3"/>
        <v>0.1880288310874334</v>
      </c>
    </row>
    <row r="41" spans="1:29" x14ac:dyDescent="0.25">
      <c r="A41" s="37">
        <v>46843</v>
      </c>
      <c r="B41" s="41">
        <v>20000000</v>
      </c>
      <c r="C41" s="41">
        <v>0</v>
      </c>
      <c r="D41" s="41">
        <v>50000000</v>
      </c>
      <c r="E41" s="41">
        <v>0</v>
      </c>
      <c r="F41" s="41">
        <v>50000000</v>
      </c>
      <c r="G41" s="41">
        <v>0</v>
      </c>
      <c r="H41" s="41">
        <v>50000000</v>
      </c>
      <c r="I41" s="41">
        <v>0</v>
      </c>
      <c r="J41" s="41">
        <v>40000000</v>
      </c>
      <c r="K41" s="41">
        <v>0</v>
      </c>
      <c r="L41" s="41">
        <v>10000000</v>
      </c>
      <c r="M41" s="41">
        <v>0</v>
      </c>
      <c r="N41" s="41">
        <v>96250000</v>
      </c>
      <c r="O41" s="41">
        <v>2375000</v>
      </c>
      <c r="P41" s="41">
        <v>75000000</v>
      </c>
      <c r="Q41" s="41">
        <v>0</v>
      </c>
      <c r="R41" s="41">
        <v>50000000</v>
      </c>
      <c r="S41" s="41">
        <v>0</v>
      </c>
      <c r="T41" s="41">
        <v>35000000</v>
      </c>
      <c r="U41" s="41">
        <v>0</v>
      </c>
      <c r="V41" s="41">
        <v>476250000</v>
      </c>
      <c r="W41" s="41">
        <v>2375000</v>
      </c>
      <c r="X41" s="4">
        <f>V41/'Token Model'!$B$6</f>
        <v>0.95250000000000001</v>
      </c>
      <c r="Y41" s="4">
        <f>W41/'Token Model'!$B$6</f>
        <v>4.7499999999999999E-3</v>
      </c>
      <c r="Z41" s="5">
        <f t="shared" si="2"/>
        <v>5.0118702189395938E-3</v>
      </c>
      <c r="AA41" s="25">
        <f>'Token Model'!$B$6-V41</f>
        <v>23750000</v>
      </c>
      <c r="AB41" s="4">
        <f t="shared" si="0"/>
        <v>0.1</v>
      </c>
      <c r="AC41" s="6">
        <f t="shared" si="3"/>
        <v>0.18691588785046728</v>
      </c>
    </row>
    <row r="42" spans="1:29" x14ac:dyDescent="0.25">
      <c r="A42" s="37">
        <v>46873</v>
      </c>
      <c r="B42" s="41">
        <v>20000000</v>
      </c>
      <c r="C42" s="41">
        <v>0</v>
      </c>
      <c r="D42" s="41">
        <v>50000000</v>
      </c>
      <c r="E42" s="41">
        <v>0</v>
      </c>
      <c r="F42" s="41">
        <v>50000000</v>
      </c>
      <c r="G42" s="41">
        <v>0</v>
      </c>
      <c r="H42" s="41">
        <v>50000000</v>
      </c>
      <c r="I42" s="41">
        <v>0</v>
      </c>
      <c r="J42" s="41">
        <v>40000000</v>
      </c>
      <c r="K42" s="41">
        <v>0</v>
      </c>
      <c r="L42" s="41">
        <v>10000000</v>
      </c>
      <c r="M42" s="41">
        <v>0</v>
      </c>
      <c r="N42" s="41">
        <v>98625000</v>
      </c>
      <c r="O42" s="41">
        <v>2375000</v>
      </c>
      <c r="P42" s="41">
        <v>75000000</v>
      </c>
      <c r="Q42" s="41">
        <v>0</v>
      </c>
      <c r="R42" s="41">
        <v>50000000</v>
      </c>
      <c r="S42" s="41">
        <v>0</v>
      </c>
      <c r="T42" s="41">
        <v>35000000</v>
      </c>
      <c r="U42" s="41">
        <v>0</v>
      </c>
      <c r="V42" s="41">
        <v>478625000</v>
      </c>
      <c r="W42" s="41">
        <v>2375000</v>
      </c>
      <c r="X42" s="4">
        <f>V42/'Token Model'!$B$6</f>
        <v>0.95725000000000005</v>
      </c>
      <c r="Y42" s="4">
        <f>W42/'Token Model'!$B$6</f>
        <v>4.7499999999999999E-3</v>
      </c>
      <c r="Z42" s="5">
        <f t="shared" si="2"/>
        <v>4.9868766404199474E-3</v>
      </c>
      <c r="AA42" s="25">
        <f>'Token Model'!$B$6-V42</f>
        <v>21375000</v>
      </c>
      <c r="AB42" s="4">
        <f t="shared" si="0"/>
        <v>0.1111111111111111</v>
      </c>
      <c r="AC42" s="6">
        <f t="shared" si="3"/>
        <v>0.18581604211830288</v>
      </c>
    </row>
    <row r="43" spans="1:29" x14ac:dyDescent="0.25">
      <c r="A43" s="37">
        <v>46904</v>
      </c>
      <c r="B43" s="41">
        <v>20000000</v>
      </c>
      <c r="C43" s="41">
        <v>0</v>
      </c>
      <c r="D43" s="41">
        <v>50000000</v>
      </c>
      <c r="E43" s="41">
        <v>0</v>
      </c>
      <c r="F43" s="41">
        <v>50000000</v>
      </c>
      <c r="G43" s="41">
        <v>0</v>
      </c>
      <c r="H43" s="41">
        <v>50000000</v>
      </c>
      <c r="I43" s="41">
        <v>0</v>
      </c>
      <c r="J43" s="41">
        <v>40000000</v>
      </c>
      <c r="K43" s="41">
        <v>0</v>
      </c>
      <c r="L43" s="41">
        <v>10000000</v>
      </c>
      <c r="M43" s="41">
        <v>0</v>
      </c>
      <c r="N43" s="41">
        <v>101000000</v>
      </c>
      <c r="O43" s="41">
        <v>2375000</v>
      </c>
      <c r="P43" s="41">
        <v>75000000</v>
      </c>
      <c r="Q43" s="41">
        <v>0</v>
      </c>
      <c r="R43" s="41">
        <v>50000000</v>
      </c>
      <c r="S43" s="41">
        <v>0</v>
      </c>
      <c r="T43" s="41">
        <v>35000000</v>
      </c>
      <c r="U43" s="41">
        <v>0</v>
      </c>
      <c r="V43" s="41">
        <v>481000000</v>
      </c>
      <c r="W43" s="41">
        <v>2375000</v>
      </c>
      <c r="X43" s="4">
        <f>V43/'Token Model'!$B$6</f>
        <v>0.96199999999999997</v>
      </c>
      <c r="Y43" s="4">
        <f>W43/'Token Model'!$B$6</f>
        <v>4.7499999999999999E-3</v>
      </c>
      <c r="Z43" s="5">
        <f t="shared" si="2"/>
        <v>4.9621311047270827E-3</v>
      </c>
      <c r="AA43" s="25">
        <f>'Token Model'!$B$6-V43</f>
        <v>19000000</v>
      </c>
      <c r="AB43" s="4">
        <f t="shared" si="0"/>
        <v>0.125</v>
      </c>
      <c r="AC43" s="6">
        <f t="shared" si="3"/>
        <v>0.18472906403940886</v>
      </c>
    </row>
    <row r="44" spans="1:29" x14ac:dyDescent="0.25">
      <c r="A44" s="37">
        <v>46934</v>
      </c>
      <c r="B44" s="41">
        <v>20000000</v>
      </c>
      <c r="C44" s="41">
        <v>0</v>
      </c>
      <c r="D44" s="41">
        <v>50000000</v>
      </c>
      <c r="E44" s="41">
        <v>0</v>
      </c>
      <c r="F44" s="41">
        <v>50000000</v>
      </c>
      <c r="G44" s="41">
        <v>0</v>
      </c>
      <c r="H44" s="41">
        <v>50000000</v>
      </c>
      <c r="I44" s="41">
        <v>0</v>
      </c>
      <c r="J44" s="41">
        <v>40000000</v>
      </c>
      <c r="K44" s="41">
        <v>0</v>
      </c>
      <c r="L44" s="41">
        <v>10000000</v>
      </c>
      <c r="M44" s="41">
        <v>0</v>
      </c>
      <c r="N44" s="41">
        <v>103375000</v>
      </c>
      <c r="O44" s="41">
        <v>2375000</v>
      </c>
      <c r="P44" s="41">
        <v>75000000</v>
      </c>
      <c r="Q44" s="41">
        <v>0</v>
      </c>
      <c r="R44" s="41">
        <v>50000000</v>
      </c>
      <c r="S44" s="41">
        <v>0</v>
      </c>
      <c r="T44" s="41">
        <v>35000000</v>
      </c>
      <c r="U44" s="41">
        <v>0</v>
      </c>
      <c r="V44" s="41">
        <v>483375000</v>
      </c>
      <c r="W44" s="41">
        <v>2375000</v>
      </c>
      <c r="X44" s="4">
        <f>V44/'Token Model'!$B$6</f>
        <v>0.96675</v>
      </c>
      <c r="Y44" s="4">
        <f>W44/'Token Model'!$B$6</f>
        <v>4.7499999999999999E-3</v>
      </c>
      <c r="Z44" s="5">
        <f t="shared" si="2"/>
        <v>4.9376299376299379E-3</v>
      </c>
      <c r="AA44" s="25">
        <f>'Token Model'!$B$6-V44</f>
        <v>16625000</v>
      </c>
      <c r="AB44" s="4">
        <f t="shared" si="0"/>
        <v>0.14285714285714285</v>
      </c>
      <c r="AC44" s="6">
        <f t="shared" si="3"/>
        <v>0.18365472910927455</v>
      </c>
    </row>
    <row r="45" spans="1:29" x14ac:dyDescent="0.25">
      <c r="A45" s="37">
        <v>46965</v>
      </c>
      <c r="B45" s="41">
        <v>20000000</v>
      </c>
      <c r="C45" s="41">
        <v>0</v>
      </c>
      <c r="D45" s="41">
        <v>50000000</v>
      </c>
      <c r="E45" s="41">
        <v>0</v>
      </c>
      <c r="F45" s="41">
        <v>50000000</v>
      </c>
      <c r="G45" s="41">
        <v>0</v>
      </c>
      <c r="H45" s="41">
        <v>50000000</v>
      </c>
      <c r="I45" s="41">
        <v>0</v>
      </c>
      <c r="J45" s="41">
        <v>40000000</v>
      </c>
      <c r="K45" s="41">
        <v>0</v>
      </c>
      <c r="L45" s="41">
        <v>10000000</v>
      </c>
      <c r="M45" s="41">
        <v>0</v>
      </c>
      <c r="N45" s="41">
        <v>105750000</v>
      </c>
      <c r="O45" s="41">
        <v>2375000</v>
      </c>
      <c r="P45" s="41">
        <v>75000000</v>
      </c>
      <c r="Q45" s="41">
        <v>0</v>
      </c>
      <c r="R45" s="41">
        <v>50000000</v>
      </c>
      <c r="S45" s="41">
        <v>0</v>
      </c>
      <c r="T45" s="41">
        <v>35000000</v>
      </c>
      <c r="U45" s="41">
        <v>0</v>
      </c>
      <c r="V45" s="41">
        <v>485750000</v>
      </c>
      <c r="W45" s="41">
        <v>2375000</v>
      </c>
      <c r="X45" s="4">
        <f>V45/'Token Model'!$B$6</f>
        <v>0.97150000000000003</v>
      </c>
      <c r="Y45" s="4">
        <f>W45/'Token Model'!$B$6</f>
        <v>4.7499999999999999E-3</v>
      </c>
      <c r="Z45" s="5">
        <f t="shared" si="2"/>
        <v>4.9133695371088703E-3</v>
      </c>
      <c r="AA45" s="25">
        <f>'Token Model'!$B$6-V45</f>
        <v>14250000</v>
      </c>
      <c r="AB45" s="4">
        <f t="shared" si="0"/>
        <v>0.16666666666666666</v>
      </c>
      <c r="AC45" s="6">
        <f t="shared" si="3"/>
        <v>0.18259281801582472</v>
      </c>
    </row>
    <row r="46" spans="1:29" x14ac:dyDescent="0.25">
      <c r="A46" s="37">
        <v>46996</v>
      </c>
      <c r="B46" s="41">
        <v>20000000</v>
      </c>
      <c r="C46" s="41">
        <v>0</v>
      </c>
      <c r="D46" s="41">
        <v>50000000</v>
      </c>
      <c r="E46" s="41">
        <v>0</v>
      </c>
      <c r="F46" s="41">
        <v>50000000</v>
      </c>
      <c r="G46" s="41">
        <v>0</v>
      </c>
      <c r="H46" s="41">
        <v>50000000</v>
      </c>
      <c r="I46" s="41">
        <v>0</v>
      </c>
      <c r="J46" s="41">
        <v>40000000</v>
      </c>
      <c r="K46" s="41">
        <v>0</v>
      </c>
      <c r="L46" s="41">
        <v>10000000</v>
      </c>
      <c r="M46" s="41">
        <v>0</v>
      </c>
      <c r="N46" s="41">
        <v>108125000</v>
      </c>
      <c r="O46" s="41">
        <v>2375000</v>
      </c>
      <c r="P46" s="41">
        <v>75000000</v>
      </c>
      <c r="Q46" s="41">
        <v>0</v>
      </c>
      <c r="R46" s="41">
        <v>50000000</v>
      </c>
      <c r="S46" s="41">
        <v>0</v>
      </c>
      <c r="T46" s="41">
        <v>35000000</v>
      </c>
      <c r="U46" s="41">
        <v>0</v>
      </c>
      <c r="V46" s="41">
        <v>488125000</v>
      </c>
      <c r="W46" s="41">
        <v>2375000</v>
      </c>
      <c r="X46" s="4">
        <f>V46/'Token Model'!$B$6</f>
        <v>0.97624999999999995</v>
      </c>
      <c r="Y46" s="4">
        <f>W46/'Token Model'!$B$6</f>
        <v>4.7499999999999999E-3</v>
      </c>
      <c r="Z46" s="5">
        <f t="shared" si="2"/>
        <v>4.8893463715903246E-3</v>
      </c>
      <c r="AA46" s="25">
        <f>'Token Model'!$B$6-V46</f>
        <v>11875000</v>
      </c>
      <c r="AB46" s="4">
        <f t="shared" si="0"/>
        <v>0.2</v>
      </c>
      <c r="AC46" s="6">
        <f t="shared" si="3"/>
        <v>0.18154311649016641</v>
      </c>
    </row>
    <row r="47" spans="1:29" x14ac:dyDescent="0.25">
      <c r="A47" s="37">
        <v>47026</v>
      </c>
      <c r="B47" s="41">
        <v>20000000</v>
      </c>
      <c r="C47" s="41">
        <v>0</v>
      </c>
      <c r="D47" s="41">
        <v>50000000</v>
      </c>
      <c r="E47" s="41">
        <v>0</v>
      </c>
      <c r="F47" s="41">
        <v>50000000</v>
      </c>
      <c r="G47" s="41">
        <v>0</v>
      </c>
      <c r="H47" s="41">
        <v>50000000</v>
      </c>
      <c r="I47" s="41">
        <v>0</v>
      </c>
      <c r="J47" s="41">
        <v>40000000</v>
      </c>
      <c r="K47" s="41">
        <v>0</v>
      </c>
      <c r="L47" s="41">
        <v>10000000</v>
      </c>
      <c r="M47" s="41">
        <v>0</v>
      </c>
      <c r="N47" s="41">
        <v>110500000</v>
      </c>
      <c r="O47" s="41">
        <v>2375000</v>
      </c>
      <c r="P47" s="41">
        <v>75000000</v>
      </c>
      <c r="Q47" s="41">
        <v>0</v>
      </c>
      <c r="R47" s="41">
        <v>50000000</v>
      </c>
      <c r="S47" s="41">
        <v>0</v>
      </c>
      <c r="T47" s="41">
        <v>35000000</v>
      </c>
      <c r="U47" s="41">
        <v>0</v>
      </c>
      <c r="V47" s="41">
        <v>490500000</v>
      </c>
      <c r="W47" s="41">
        <v>2375000</v>
      </c>
      <c r="X47" s="4">
        <f>V47/'Token Model'!$B$6</f>
        <v>0.98099999999999998</v>
      </c>
      <c r="Y47" s="4">
        <f>W47/'Token Model'!$B$6</f>
        <v>4.7499999999999999E-3</v>
      </c>
      <c r="Z47" s="5">
        <f t="shared" si="2"/>
        <v>4.8655569782330346E-3</v>
      </c>
      <c r="AA47" s="25">
        <f>'Token Model'!$B$6-V47</f>
        <v>9500000</v>
      </c>
      <c r="AB47" s="4">
        <f t="shared" si="0"/>
        <v>0.25</v>
      </c>
      <c r="AC47" s="6">
        <f t="shared" si="3"/>
        <v>0.18050541516245489</v>
      </c>
    </row>
    <row r="48" spans="1:29" x14ac:dyDescent="0.25">
      <c r="A48" s="37">
        <v>47057</v>
      </c>
      <c r="B48" s="41">
        <v>20000000</v>
      </c>
      <c r="C48" s="41">
        <v>0</v>
      </c>
      <c r="D48" s="41">
        <v>50000000</v>
      </c>
      <c r="E48" s="41">
        <v>0</v>
      </c>
      <c r="F48" s="41">
        <v>50000000</v>
      </c>
      <c r="G48" s="41">
        <v>0</v>
      </c>
      <c r="H48" s="41">
        <v>50000000</v>
      </c>
      <c r="I48" s="41">
        <v>0</v>
      </c>
      <c r="J48" s="41">
        <v>40000000</v>
      </c>
      <c r="K48" s="41">
        <v>0</v>
      </c>
      <c r="L48" s="41">
        <v>10000000</v>
      </c>
      <c r="M48" s="41">
        <v>0</v>
      </c>
      <c r="N48" s="41">
        <v>112875000</v>
      </c>
      <c r="O48" s="41">
        <v>2375000</v>
      </c>
      <c r="P48" s="41">
        <v>75000000</v>
      </c>
      <c r="Q48" s="41">
        <v>0</v>
      </c>
      <c r="R48" s="41">
        <v>50000000</v>
      </c>
      <c r="S48" s="41">
        <v>0</v>
      </c>
      <c r="T48" s="41">
        <v>35000000</v>
      </c>
      <c r="U48" s="41">
        <v>0</v>
      </c>
      <c r="V48" s="41">
        <v>492875000</v>
      </c>
      <c r="W48" s="41">
        <v>2375000</v>
      </c>
      <c r="X48" s="4">
        <f>V48/'Token Model'!$B$6</f>
        <v>0.98575000000000002</v>
      </c>
      <c r="Y48" s="4">
        <f>W48/'Token Model'!$B$6</f>
        <v>4.7499999999999999E-3</v>
      </c>
      <c r="Z48" s="5">
        <f t="shared" si="2"/>
        <v>4.8419979612640161E-3</v>
      </c>
      <c r="AA48" s="25">
        <f>'Token Model'!$B$6-V48</f>
        <v>7125000</v>
      </c>
      <c r="AB48" s="4">
        <f t="shared" si="0"/>
        <v>0.33333333333333331</v>
      </c>
      <c r="AC48" s="6">
        <f t="shared" si="3"/>
        <v>0.17947950942267424</v>
      </c>
    </row>
    <row r="49" spans="1:31" x14ac:dyDescent="0.25">
      <c r="A49" s="37">
        <v>47087</v>
      </c>
      <c r="B49" s="41">
        <v>20000000</v>
      </c>
      <c r="C49" s="41">
        <v>0</v>
      </c>
      <c r="D49" s="41">
        <v>50000000</v>
      </c>
      <c r="E49" s="41">
        <v>0</v>
      </c>
      <c r="F49" s="41">
        <v>50000000</v>
      </c>
      <c r="G49" s="41">
        <v>0</v>
      </c>
      <c r="H49" s="41">
        <v>50000000</v>
      </c>
      <c r="I49" s="41">
        <v>0</v>
      </c>
      <c r="J49" s="41">
        <v>40000000</v>
      </c>
      <c r="K49" s="41">
        <v>0</v>
      </c>
      <c r="L49" s="41">
        <v>10000000</v>
      </c>
      <c r="M49" s="41">
        <v>0</v>
      </c>
      <c r="N49" s="41">
        <v>115250000</v>
      </c>
      <c r="O49" s="41">
        <v>2375000</v>
      </c>
      <c r="P49" s="41">
        <v>75000000</v>
      </c>
      <c r="Q49" s="41">
        <v>0</v>
      </c>
      <c r="R49" s="41">
        <v>50000000</v>
      </c>
      <c r="S49" s="41">
        <v>0</v>
      </c>
      <c r="T49" s="41">
        <v>35000000</v>
      </c>
      <c r="U49" s="41">
        <v>0</v>
      </c>
      <c r="V49" s="41">
        <v>495250000</v>
      </c>
      <c r="W49" s="41">
        <v>2375000</v>
      </c>
      <c r="X49" s="4">
        <f>V49/'Token Model'!$B$6</f>
        <v>0.99050000000000005</v>
      </c>
      <c r="Y49" s="4">
        <f>W49/'Token Model'!$B$6</f>
        <v>4.7499999999999999E-3</v>
      </c>
      <c r="Z49" s="5">
        <f t="shared" si="2"/>
        <v>4.8186659903626684E-3</v>
      </c>
      <c r="AA49" s="25">
        <f>'Token Model'!$B$6-V49</f>
        <v>4750000</v>
      </c>
      <c r="AB49" s="4">
        <f t="shared" si="0"/>
        <v>0.5</v>
      </c>
      <c r="AC49" s="6">
        <f t="shared" si="3"/>
        <v>0.17846519928613921</v>
      </c>
    </row>
    <row r="50" spans="1:31" x14ac:dyDescent="0.25">
      <c r="A50" s="37">
        <v>47118</v>
      </c>
      <c r="B50" s="41">
        <v>20000000</v>
      </c>
      <c r="C50" s="41">
        <v>0</v>
      </c>
      <c r="D50" s="41">
        <v>50000000</v>
      </c>
      <c r="E50" s="41">
        <v>0</v>
      </c>
      <c r="F50" s="41">
        <v>50000000</v>
      </c>
      <c r="G50" s="41">
        <v>0</v>
      </c>
      <c r="H50" s="41">
        <v>50000000</v>
      </c>
      <c r="I50" s="41">
        <v>0</v>
      </c>
      <c r="J50" s="41">
        <v>40000000</v>
      </c>
      <c r="K50" s="41">
        <v>0</v>
      </c>
      <c r="L50" s="41">
        <v>10000000</v>
      </c>
      <c r="M50" s="41">
        <v>0</v>
      </c>
      <c r="N50" s="41">
        <v>117625000</v>
      </c>
      <c r="O50" s="41">
        <v>2375000</v>
      </c>
      <c r="P50" s="41">
        <v>75000000</v>
      </c>
      <c r="Q50" s="41">
        <v>0</v>
      </c>
      <c r="R50" s="41">
        <v>50000000</v>
      </c>
      <c r="S50" s="41">
        <v>0</v>
      </c>
      <c r="T50" s="41">
        <v>35000000</v>
      </c>
      <c r="U50" s="41">
        <v>0</v>
      </c>
      <c r="V50" s="41">
        <v>497625000</v>
      </c>
      <c r="W50" s="41">
        <v>2375000</v>
      </c>
      <c r="X50" s="4">
        <f>V50/'Token Model'!$B$6</f>
        <v>0.99524999999999997</v>
      </c>
      <c r="Y50" s="4">
        <f>W50/'Token Model'!$B$6</f>
        <v>4.7499999999999999E-3</v>
      </c>
      <c r="Z50" s="5">
        <f t="shared" si="2"/>
        <v>4.7955577990913684E-3</v>
      </c>
      <c r="AA50" s="25">
        <f>'Token Model'!$B$6-V50</f>
        <v>2375000</v>
      </c>
      <c r="AB50" s="4">
        <f t="shared" si="0"/>
        <v>1</v>
      </c>
      <c r="AC50" s="6">
        <f t="shared" si="3"/>
        <v>0.1774622892635315</v>
      </c>
    </row>
    <row r="51" spans="1:31" x14ac:dyDescent="0.25">
      <c r="A51" s="37">
        <v>47149</v>
      </c>
      <c r="B51" s="41">
        <v>20000000</v>
      </c>
      <c r="C51" s="41">
        <v>0</v>
      </c>
      <c r="D51" s="41">
        <v>50000000</v>
      </c>
      <c r="E51" s="41">
        <v>0</v>
      </c>
      <c r="F51" s="41">
        <v>50000000</v>
      </c>
      <c r="G51" s="41">
        <v>0</v>
      </c>
      <c r="H51" s="41">
        <v>50000000</v>
      </c>
      <c r="I51" s="41">
        <v>0</v>
      </c>
      <c r="J51" s="41">
        <v>40000000</v>
      </c>
      <c r="K51" s="41">
        <v>0</v>
      </c>
      <c r="L51" s="41">
        <v>10000000</v>
      </c>
      <c r="M51" s="41">
        <v>0</v>
      </c>
      <c r="N51" s="41">
        <v>120000000</v>
      </c>
      <c r="O51" s="41">
        <v>2375000</v>
      </c>
      <c r="P51" s="41">
        <v>75000000</v>
      </c>
      <c r="Q51" s="41">
        <v>0</v>
      </c>
      <c r="R51" s="41">
        <v>50000000</v>
      </c>
      <c r="S51" s="41">
        <v>0</v>
      </c>
      <c r="T51" s="41">
        <v>35000000</v>
      </c>
      <c r="U51" s="41">
        <v>0</v>
      </c>
      <c r="V51" s="41">
        <v>500000000</v>
      </c>
      <c r="W51" s="41">
        <v>2375000</v>
      </c>
      <c r="X51" s="4">
        <f>V51/'Token Model'!$B$6</f>
        <v>1</v>
      </c>
      <c r="Y51" s="4">
        <f>W51/'Token Model'!$B$6</f>
        <v>4.7499999999999999E-3</v>
      </c>
      <c r="Z51" s="5">
        <f t="shared" si="2"/>
        <v>4.7726701833710125E-3</v>
      </c>
      <c r="AA51" s="25">
        <f>'Token Model'!$B$6-V51</f>
        <v>0</v>
      </c>
      <c r="AB51" s="4"/>
      <c r="AC51" s="6">
        <f t="shared" si="3"/>
        <v>0.17647058823529413</v>
      </c>
    </row>
    <row r="52" spans="1:31" x14ac:dyDescent="0.25">
      <c r="AE52" s="7"/>
    </row>
    <row r="59" spans="1:31" x14ac:dyDescent="0.25">
      <c r="V59" s="25">
        <f>AVERAGE(W3:W51)</f>
        <v>9091836.7346938755</v>
      </c>
    </row>
  </sheetData>
  <mergeCells count="1">
    <mergeCell ref="A1:W1"/>
  </mergeCell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E6B3-855C-4044-9FE9-2DFFAC31EEB4}">
  <dimension ref="C1:Q36"/>
  <sheetViews>
    <sheetView tabSelected="1" topLeftCell="N4" zoomScale="90" zoomScaleNormal="90" workbookViewId="0">
      <selection activeCell="L3" sqref="L3"/>
    </sheetView>
  </sheetViews>
  <sheetFormatPr defaultRowHeight="13.8" x14ac:dyDescent="0.25"/>
  <cols>
    <col min="3" max="3" width="55.5" bestFit="1" customWidth="1"/>
    <col min="4" max="4" width="21.5" customWidth="1"/>
    <col min="5" max="5" width="15.296875" bestFit="1" customWidth="1"/>
    <col min="6" max="6" width="18" customWidth="1"/>
    <col min="7" max="8" width="43.19921875" bestFit="1" customWidth="1"/>
    <col min="9" max="11" width="15.296875" bestFit="1" customWidth="1"/>
    <col min="12" max="13" width="16.3984375" bestFit="1" customWidth="1"/>
    <col min="14" max="15" width="15.296875" bestFit="1" customWidth="1"/>
    <col min="16" max="16" width="14.19921875" bestFit="1" customWidth="1"/>
  </cols>
  <sheetData>
    <row r="1" spans="3:16" ht="17.399999999999999" x14ac:dyDescent="0.25">
      <c r="C1" s="1" t="s">
        <v>106</v>
      </c>
      <c r="D1" s="1"/>
      <c r="I1" s="62" t="s">
        <v>123</v>
      </c>
      <c r="J1" s="58"/>
      <c r="K1" s="58"/>
      <c r="L1" s="58"/>
      <c r="M1" s="58"/>
      <c r="N1" s="58"/>
      <c r="O1" s="58"/>
      <c r="P1" s="58"/>
    </row>
    <row r="2" spans="3:16" ht="18" x14ac:dyDescent="0.35">
      <c r="C2" s="17" t="s">
        <v>90</v>
      </c>
      <c r="D2" s="18">
        <f>SUM('Token Model'!$E$10:$E$19)</f>
        <v>54500000</v>
      </c>
      <c r="H2" s="17" t="s">
        <v>92</v>
      </c>
      <c r="I2" s="17" t="s">
        <v>93</v>
      </c>
      <c r="J2" s="17" t="s">
        <v>94</v>
      </c>
      <c r="K2" s="17" t="s">
        <v>95</v>
      </c>
      <c r="L2" s="20" t="s">
        <v>96</v>
      </c>
      <c r="M2" s="20" t="s">
        <v>97</v>
      </c>
      <c r="N2" s="20" t="s">
        <v>98</v>
      </c>
      <c r="O2" s="20" t="s">
        <v>99</v>
      </c>
      <c r="P2" s="20" t="s">
        <v>100</v>
      </c>
    </row>
    <row r="3" spans="3:16" ht="18" x14ac:dyDescent="0.35">
      <c r="C3" s="17" t="s">
        <v>91</v>
      </c>
      <c r="D3" s="19">
        <f>SUM(('Token Model'!E3*'Token Model'!G3),('Token Model'!E4*'Token Model'!G4),('Token Model'!E5*'Token Model'!G5),('Token Model'!E6*'Token Model'!G6))</f>
        <v>14100000</v>
      </c>
      <c r="G3" s="17" t="s">
        <v>101</v>
      </c>
      <c r="H3" s="23">
        <f>AVERAGE('Token Model'!$W$23:$W$112)</f>
        <v>497222.22222222266</v>
      </c>
      <c r="I3" s="23">
        <f>AVERAGE('Token Model'!$W$113:$W$203)</f>
        <v>338100.32560032496</v>
      </c>
      <c r="J3" s="23">
        <f>AVERAGE('Token Model'!$W$204:$W$295)</f>
        <v>725462.9629629628</v>
      </c>
      <c r="K3" s="23">
        <f>AVERAGE('Token Model'!$W$296:$W$387)</f>
        <v>722443.6392914654</v>
      </c>
      <c r="L3" s="18">
        <f>AVERAGE('Token Model'!$W$23:$W$387)</f>
        <v>571848.04667681328</v>
      </c>
      <c r="M3" s="18">
        <f>AVERAGE('Token Model'!$W$388:'Token Model'!$W$752)</f>
        <v>488197.61542364664</v>
      </c>
      <c r="N3" s="18">
        <f>AVERAGE('Token Model'!$W$753:'Token Model'!$W$1117)</f>
        <v>79166.666666667035</v>
      </c>
      <c r="O3" s="18">
        <f>AVERAGE('Token Model'!$W$1118:'Token Model'!$W$1483)</f>
        <v>79166.66666666705</v>
      </c>
      <c r="P3" s="18">
        <f>AVERAGE('Token Model'!$W$1484:$W$1492)</f>
        <v>79166.666666666672</v>
      </c>
    </row>
    <row r="4" spans="3:16" ht="21.6" customHeight="1" x14ac:dyDescent="0.35">
      <c r="C4" s="17" t="s">
        <v>128</v>
      </c>
      <c r="D4" s="19">
        <f>(SUM('Token Model'!$E$10:$E$19)-'Token Model'!$E$17)*'Token Model'!$B$5</f>
        <v>4740000</v>
      </c>
      <c r="G4" s="17" t="s">
        <v>102</v>
      </c>
      <c r="H4" s="23">
        <f>AVERAGE('Monthly Release Schedule'!$W$3:$W$5)</f>
        <v>14916666.666666664</v>
      </c>
      <c r="I4" s="23">
        <f>AVERAGE('Monthly Release Schedule'!$W$6:$W$8)</f>
        <v>10013888.888888886</v>
      </c>
      <c r="J4" s="23">
        <f>AVERAGE('Monthly Release Schedule'!$W$9:$W$11)</f>
        <v>21763888.888888892</v>
      </c>
      <c r="K4" s="23">
        <f>AVERAGE('Monthly Release Schedule'!$W$12:$W$14)</f>
        <v>21763888.888888892</v>
      </c>
      <c r="L4" s="18">
        <f>AVERAGE('Monthly Release Schedule'!$W$3:$W$14)</f>
        <v>17114583.333333336</v>
      </c>
      <c r="M4" s="18">
        <f>AVERAGE('Monthly Release Schedule'!$W$15:$W$26)</f>
        <v>15062499.999999994</v>
      </c>
      <c r="N4" s="18">
        <f>AVERAGE('Monthly Release Schedule'!$W$27:$W$38)</f>
        <v>2375000</v>
      </c>
      <c r="O4" s="18">
        <f>AVERAGE('Monthly Release Schedule'!$W$39:$W$50)</f>
        <v>2375000</v>
      </c>
      <c r="P4" s="18">
        <f>AVERAGE('Monthly Release Schedule'!$W$51:$W$51)</f>
        <v>2375000</v>
      </c>
    </row>
    <row r="5" spans="3:16" ht="16.2" customHeight="1" x14ac:dyDescent="0.35">
      <c r="C5" s="17" t="s">
        <v>129</v>
      </c>
      <c r="D5" s="19">
        <f>SUM('Token Model'!$E$10:$E$19)*'Token Model'!$B$5</f>
        <v>6540000</v>
      </c>
      <c r="G5" s="17" t="s">
        <v>104</v>
      </c>
      <c r="H5" s="23">
        <f>SUM('Monthly Release Schedule'!$W$3:$W$5)</f>
        <v>44749999.999999993</v>
      </c>
      <c r="I5" s="23">
        <f>SUM('Monthly Release Schedule'!$W$6:$W$8)</f>
        <v>30041666.666666657</v>
      </c>
      <c r="J5" s="23">
        <f>SUM('Monthly Release Schedule'!$W$9:$W$11)</f>
        <v>65291666.666666672</v>
      </c>
      <c r="K5" s="23">
        <f>SUM('Monthly Release Schedule'!$W$12:$W$14)</f>
        <v>65291666.666666672</v>
      </c>
      <c r="L5" s="18">
        <f>SUM('Monthly Release Schedule'!$W$3:$W$14)</f>
        <v>205375000.00000003</v>
      </c>
      <c r="M5" s="18">
        <f>SUM('Monthly Release Schedule'!$W$15:$W$26)</f>
        <v>180749999.99999994</v>
      </c>
      <c r="N5" s="18">
        <f>SUM('Monthly Release Schedule'!$W$27:$W$38)</f>
        <v>28500000</v>
      </c>
      <c r="O5" s="18">
        <f>SUM('Monthly Release Schedule'!$W$39:$W$50)</f>
        <v>28500000</v>
      </c>
      <c r="P5" s="18">
        <f>SUM('Monthly Release Schedule'!$W$51:$W$51)</f>
        <v>2375000</v>
      </c>
    </row>
    <row r="6" spans="3:16" ht="18" x14ac:dyDescent="0.35">
      <c r="C6" s="17" t="s">
        <v>89</v>
      </c>
      <c r="D6" s="19">
        <f>'Token Model'!$B$6*'Token Model'!$B$5</f>
        <v>60000000</v>
      </c>
      <c r="G6" s="17" t="s">
        <v>103</v>
      </c>
      <c r="H6" s="24">
        <f>$H$4/'Token Model'!$B$6</f>
        <v>2.983333333333333E-2</v>
      </c>
      <c r="I6" s="24">
        <f>$I$4/'Token Model'!$B$6</f>
        <v>2.0027777777777773E-2</v>
      </c>
      <c r="J6" s="24">
        <f>$J$4/'Token Model'!$B$6</f>
        <v>4.3527777777777783E-2</v>
      </c>
      <c r="K6" s="24">
        <f>$K$4/'Token Model'!$B$6</f>
        <v>4.3527777777777783E-2</v>
      </c>
      <c r="L6" s="22">
        <f>$L$4/'Token Model'!$B$6</f>
        <v>3.4229166666666672E-2</v>
      </c>
      <c r="M6" s="22">
        <f>$M$4/'Token Model'!$B$6</f>
        <v>3.0124999999999989E-2</v>
      </c>
      <c r="N6" s="22">
        <f>$N$4/'Token Model'!$B$6</f>
        <v>4.7499999999999999E-3</v>
      </c>
      <c r="O6" s="22">
        <f>$O$4/'Token Model'!$B$6</f>
        <v>4.7499999999999999E-3</v>
      </c>
      <c r="P6" s="22">
        <f>$P$4/'Token Model'!$B$6</f>
        <v>4.7499999999999999E-3</v>
      </c>
    </row>
    <row r="7" spans="3:16" ht="18" x14ac:dyDescent="0.35">
      <c r="C7" s="30" t="s">
        <v>130</v>
      </c>
      <c r="D7" s="26">
        <f>'Token Model'!$E$17/(SUM('Token Model'!$E$10:$E$19)-'Token Model'!$E$17)</f>
        <v>0.379746835443038</v>
      </c>
      <c r="G7" s="20" t="s">
        <v>105</v>
      </c>
      <c r="H7" s="24">
        <f>$H$5/'Token Model'!$B$6</f>
        <v>8.9499999999999982E-2</v>
      </c>
      <c r="I7" s="24">
        <f>$I$5/'Token Model'!$B$6</f>
        <v>6.0083333333333315E-2</v>
      </c>
      <c r="J7" s="24">
        <f>$J$5/'Token Model'!$B$6</f>
        <v>0.13058333333333336</v>
      </c>
      <c r="K7" s="24">
        <f>$K$5/'Token Model'!$B$6</f>
        <v>0.13058333333333336</v>
      </c>
      <c r="L7" s="22">
        <f>$L$5/'Token Model'!$B$6</f>
        <v>0.41075000000000006</v>
      </c>
      <c r="M7" s="22">
        <f>$M$5/'Token Model'!$B$6</f>
        <v>0.36149999999999988</v>
      </c>
      <c r="N7" s="22">
        <f>$N$5/'Token Model'!$B$6</f>
        <v>5.7000000000000002E-2</v>
      </c>
      <c r="O7" s="22">
        <f>$O$5/'Token Model'!$B$6</f>
        <v>5.7000000000000002E-2</v>
      </c>
      <c r="P7" s="22">
        <f>$P$5/'Token Model'!$B$6</f>
        <v>4.7499999999999999E-3</v>
      </c>
    </row>
    <row r="8" spans="3:16" ht="18" x14ac:dyDescent="0.35">
      <c r="C8" s="17" t="s">
        <v>131</v>
      </c>
      <c r="D8" s="26">
        <f>('Token Model'!$B$6-SUM('Token Model'!$E$10:$E$19))/'Token Model'!$B$6</f>
        <v>0.89100000000000001</v>
      </c>
      <c r="L8" s="21"/>
    </row>
    <row r="9" spans="3:16" ht="18" x14ac:dyDescent="0.35">
      <c r="C9" s="30" t="s">
        <v>125</v>
      </c>
      <c r="D9" s="57">
        <v>46022</v>
      </c>
      <c r="I9" s="21"/>
      <c r="K9" s="21"/>
    </row>
    <row r="10" spans="3:16" x14ac:dyDescent="0.25">
      <c r="N10" s="21"/>
    </row>
    <row r="11" spans="3:16" x14ac:dyDescent="0.25">
      <c r="C11" s="13"/>
      <c r="D11" s="13"/>
      <c r="N11" s="21"/>
    </row>
    <row r="12" spans="3:16" x14ac:dyDescent="0.25">
      <c r="O12" s="21"/>
    </row>
    <row r="16" spans="3:16" ht="17.399999999999999" x14ac:dyDescent="0.25">
      <c r="C16" s="69" t="s">
        <v>107</v>
      </c>
      <c r="D16" s="69"/>
      <c r="E16" s="69"/>
    </row>
    <row r="17" spans="3:17" ht="18" x14ac:dyDescent="0.35">
      <c r="C17" s="66" t="s">
        <v>115</v>
      </c>
      <c r="D17" s="27" t="s">
        <v>108</v>
      </c>
      <c r="E17" s="26">
        <f>'Token Model'!$B$5/'Token Model'!G3-1</f>
        <v>3</v>
      </c>
    </row>
    <row r="18" spans="3:17" ht="18" x14ac:dyDescent="0.35">
      <c r="C18" s="67"/>
      <c r="D18" s="27" t="s">
        <v>109</v>
      </c>
      <c r="E18" s="26">
        <f>'Token Model'!$B$5/'Token Model'!G4-1</f>
        <v>1</v>
      </c>
    </row>
    <row r="19" spans="3:17" ht="18" x14ac:dyDescent="0.35">
      <c r="C19" s="68"/>
      <c r="D19" s="27" t="s">
        <v>110</v>
      </c>
      <c r="E19" s="26">
        <f>'Token Model'!$B$5/'Token Model'!G5-1</f>
        <v>0.33333333333333326</v>
      </c>
    </row>
    <row r="20" spans="3:17" ht="18" x14ac:dyDescent="0.35">
      <c r="C20" s="66" t="s">
        <v>113</v>
      </c>
      <c r="D20" s="27" t="s">
        <v>108</v>
      </c>
      <c r="E20" s="19">
        <f>'Token Model'!E10*('Token Model'!$B$5-'Token Model'!$G$3)</f>
        <v>90000</v>
      </c>
      <c r="F20" s="3">
        <f>E20/('Token Model'!G3*'Token Model'!E3)</f>
        <v>0.15</v>
      </c>
    </row>
    <row r="21" spans="3:17" ht="18" x14ac:dyDescent="0.35">
      <c r="C21" s="67"/>
      <c r="D21" s="27" t="s">
        <v>109</v>
      </c>
      <c r="E21" s="19">
        <f>'Token Model'!$E$11*('Token Model'!$B$5-'Token Model'!$G$4)</f>
        <v>150000</v>
      </c>
    </row>
    <row r="22" spans="3:17" ht="18" x14ac:dyDescent="0.35">
      <c r="C22" s="68"/>
      <c r="D22" s="27" t="s">
        <v>110</v>
      </c>
      <c r="E22" s="19">
        <f>'Token Model'!$E$12*('Token Model'!$B$5-'Token Model'!$G$5)</f>
        <v>75000</v>
      </c>
    </row>
    <row r="23" spans="3:17" ht="18" x14ac:dyDescent="0.35">
      <c r="C23" s="66" t="s">
        <v>111</v>
      </c>
      <c r="D23" s="27" t="s">
        <v>108</v>
      </c>
      <c r="E23" s="28">
        <f>$E$20/$D$4</f>
        <v>1.8987341772151899E-2</v>
      </c>
    </row>
    <row r="24" spans="3:17" ht="18" x14ac:dyDescent="0.35">
      <c r="C24" s="67"/>
      <c r="D24" s="27" t="s">
        <v>109</v>
      </c>
      <c r="E24" s="28">
        <f>$E$21/$D$4</f>
        <v>3.1645569620253167E-2</v>
      </c>
    </row>
    <row r="25" spans="3:17" ht="18" x14ac:dyDescent="0.35">
      <c r="C25" s="68"/>
      <c r="D25" s="27" t="s">
        <v>110</v>
      </c>
      <c r="E25" s="28">
        <f>$E$22/$D$4</f>
        <v>1.5822784810126583E-2</v>
      </c>
    </row>
    <row r="26" spans="3:17" ht="18" x14ac:dyDescent="0.35">
      <c r="C26" s="66" t="s">
        <v>112</v>
      </c>
      <c r="D26" s="27" t="s">
        <v>108</v>
      </c>
      <c r="E26" s="19">
        <f>'Token Model'!$E$3*('Token Model'!$B$5-'Token Model'!$G$3)</f>
        <v>1800000</v>
      </c>
    </row>
    <row r="27" spans="3:17" ht="18" x14ac:dyDescent="0.35">
      <c r="C27" s="67"/>
      <c r="D27" s="27" t="s">
        <v>109</v>
      </c>
      <c r="E27" s="19">
        <f>'Token Model'!$E$4*('Token Model'!$B$5-'Token Model'!$G$4)</f>
        <v>3000000</v>
      </c>
    </row>
    <row r="28" spans="3:17" ht="18" x14ac:dyDescent="0.35">
      <c r="C28" s="68"/>
      <c r="D28" s="27" t="s">
        <v>110</v>
      </c>
      <c r="E28" s="19">
        <f>'Token Model'!$E$5*('Token Model'!$B$5-'Token Model'!$G$5)</f>
        <v>1500000</v>
      </c>
      <c r="I28" s="62" t="s">
        <v>124</v>
      </c>
      <c r="J28" s="58"/>
      <c r="K28" s="58"/>
      <c r="L28" s="58"/>
      <c r="M28" s="58"/>
      <c r="N28" s="58"/>
      <c r="O28" s="58"/>
      <c r="P28" s="58"/>
      <c r="Q28" s="46"/>
    </row>
    <row r="29" spans="3:17" ht="18" x14ac:dyDescent="0.35">
      <c r="C29" s="66" t="s">
        <v>114</v>
      </c>
      <c r="D29" s="27" t="s">
        <v>108</v>
      </c>
      <c r="E29" s="28">
        <f>E26/D6</f>
        <v>0.03</v>
      </c>
      <c r="I29" s="17" t="s">
        <v>92</v>
      </c>
      <c r="J29" s="17" t="s">
        <v>93</v>
      </c>
      <c r="K29" s="17" t="s">
        <v>94</v>
      </c>
      <c r="L29" s="17" t="s">
        <v>95</v>
      </c>
      <c r="M29" s="20" t="s">
        <v>96</v>
      </c>
      <c r="N29" s="20" t="s">
        <v>97</v>
      </c>
      <c r="O29" s="20" t="s">
        <v>98</v>
      </c>
      <c r="P29" s="20" t="s">
        <v>99</v>
      </c>
      <c r="Q29" s="20" t="s">
        <v>100</v>
      </c>
    </row>
    <row r="30" spans="3:17" ht="18" x14ac:dyDescent="0.35">
      <c r="C30" s="67"/>
      <c r="D30" s="27" t="s">
        <v>109</v>
      </c>
      <c r="E30" s="28">
        <f>E27/D6</f>
        <v>0.05</v>
      </c>
      <c r="G30" s="63" t="s">
        <v>116</v>
      </c>
      <c r="H30" s="17" t="s">
        <v>126</v>
      </c>
      <c r="I30" s="32">
        <f>AVERAGE('Token Model'!$Z$23:$Z$112)</f>
        <v>6.6664500573037E-3</v>
      </c>
      <c r="J30" s="32">
        <f>AVERAGE('Token Model'!$Z$113:$Z$203)</f>
        <v>2.9718308729614427E-3</v>
      </c>
      <c r="K30" s="24">
        <f>AVERAGE('Token Model'!$Z$204:$Z$295)</f>
        <v>4.5137489466077121E-3</v>
      </c>
      <c r="L30" s="24">
        <f>AVERAGE('Token Model'!$Z$296:$Z$387)</f>
        <v>3.1683560051017695E-3</v>
      </c>
      <c r="M30" s="33">
        <f>AVERAGE('Token Model'!$Z$23:$Z$387)</f>
        <v>4.3145723079582223E-3</v>
      </c>
      <c r="N30" s="33">
        <f>AVERAGE('Token Model'!$Z$388:'Token Model'!$Z$752)</f>
        <v>1.4175816615449712E-3</v>
      </c>
      <c r="O30" s="33">
        <f>AVERAGE('Token Model'!$Z$753:'Token Model'!$Z$1117)</f>
        <v>1.7373596011490834E-4</v>
      </c>
      <c r="P30" s="33">
        <f>AVERAGE('Token Model'!$Z$1118:'Token Model'!$Z$1483)</f>
        <v>1.6335956090404659E-4</v>
      </c>
      <c r="Q30" s="33">
        <f>AVERAGE('Token Model'!$Z$1484:$Z$1492)</f>
        <v>1.5845880639254082E-4</v>
      </c>
    </row>
    <row r="31" spans="3:17" ht="18" x14ac:dyDescent="0.35">
      <c r="C31" s="68"/>
      <c r="D31" s="27" t="s">
        <v>110</v>
      </c>
      <c r="E31" s="28">
        <f>E28/D6</f>
        <v>2.5000000000000001E-2</v>
      </c>
      <c r="G31" s="63"/>
      <c r="H31" s="17" t="s">
        <v>117</v>
      </c>
      <c r="I31" s="24">
        <f>AVERAGE('Token Model'!$AB$23:$AB$112)</f>
        <v>1.1769151273163243E-3</v>
      </c>
      <c r="J31" s="32">
        <f>AVERAGE('Token Model'!$AB$113:$AB$203)</f>
        <v>8.7822114513568688E-4</v>
      </c>
      <c r="K31" s="24">
        <f>AVERAGE('Token Model'!$AB$204:$AB$295)</f>
        <v>2.164643064080405E-3</v>
      </c>
      <c r="L31" s="24">
        <f>AVERAGE('Token Model'!$AB$296:$AB$387)</f>
        <v>2.6929092767758317E-3</v>
      </c>
      <c r="M31" s="33">
        <f>AVERAGE('Token Model'!$AB$23:$AB$387)</f>
        <v>1.733521372670109E-3</v>
      </c>
      <c r="N31" s="33">
        <f>AVERAGE('Token Model'!$AB$388:'Token Model'!$AB$752)</f>
        <v>3.8342058833547047E-3</v>
      </c>
      <c r="O31" s="33">
        <f>AVERAGE('Token Model'!$AB$753:'Token Model'!$AB$1117)</f>
        <v>1.8640609816395993E-3</v>
      </c>
      <c r="P31" s="33">
        <f>AVERAGE('Token Model'!$AB$1118:'Token Model'!$AB$1483)</f>
        <v>1.0341395142329653E-2</v>
      </c>
      <c r="Q31" s="33">
        <f>AVERAGE('Token Model'!$AB$1484:$AB$1491)</f>
        <v>0.3397321428630723</v>
      </c>
    </row>
    <row r="32" spans="3:17" ht="18" x14ac:dyDescent="0.35">
      <c r="G32" s="63"/>
      <c r="H32" s="17" t="s">
        <v>74</v>
      </c>
      <c r="I32" s="32">
        <f>AVERAGE('Token Model'!$AC$23:$AC$112)</f>
        <v>0.41807640970819571</v>
      </c>
      <c r="J32" s="32">
        <f>AVERAGE('Token Model'!$AC$113:$AC$203)</f>
        <v>0.49636304078688659</v>
      </c>
      <c r="K32" s="24">
        <f>AVERAGE('Token Model'!$AC$204:$AC$295)</f>
        <v>0.48075848631791762</v>
      </c>
      <c r="L32" s="24">
        <f>AVERAGE('Token Model'!$AC$296:$AC$387)</f>
        <v>0.42151889046717861</v>
      </c>
      <c r="M32" s="33">
        <f>AVERAGE('Token Model'!$AC$23:$AC$387)</f>
        <v>0.45426145821800873</v>
      </c>
      <c r="N32" s="33">
        <f>AVERAGE('Token Model'!$AC$388:'Token Model'!$AC$752)</f>
        <v>0.26638270530494856</v>
      </c>
      <c r="O32" s="33">
        <f>AVERAGE('Token Model'!$AC$753:'Token Model'!$AC$1117)</f>
        <v>0.19699442957770136</v>
      </c>
      <c r="P32" s="33">
        <f>AVERAGE('Token Model'!$AC$1118:'Token Model'!$AC$1483)</f>
        <v>0.18307470874478654</v>
      </c>
      <c r="Q32" s="33">
        <f>AVERAGE('Token Model'!$AC$1484:$AC$1492)</f>
        <v>0.17660221508179202</v>
      </c>
    </row>
    <row r="33" spans="7:17" ht="18" x14ac:dyDescent="0.35">
      <c r="G33" s="64" t="s">
        <v>119</v>
      </c>
      <c r="H33" s="34" t="s">
        <v>127</v>
      </c>
      <c r="I33" s="32">
        <f>AVERAGE('Monthly Release Schedule'!$Z$3:$Z$5)</f>
        <v>0.20980120337975697</v>
      </c>
      <c r="J33" s="32">
        <f>AVERAGE('Monthly Release Schedule'!$Z$6:$Z$8)</f>
        <v>9.222598296513361E-2</v>
      </c>
      <c r="K33" s="31">
        <f>AVERAGE('Monthly Release Schedule'!$Z$9:$Z$11)</f>
        <v>0.14611489587416845</v>
      </c>
      <c r="L33" s="31">
        <f>AVERAGE('Monthly Release Schedule'!$Z$12:$Z$14)</f>
        <v>0.10128265115134322</v>
      </c>
      <c r="M33" s="26">
        <f>AVERAGE('Monthly Release Schedule'!$Z$3:$Z$14)</f>
        <v>0.13077027243013181</v>
      </c>
      <c r="N33" s="26">
        <f>AVERAGE('Monthly Release Schedule'!$Z$15:$Z$26)</f>
        <v>4.514976777629353E-2</v>
      </c>
      <c r="O33" s="26">
        <f>AVERAGE('Monthly Release Schedule'!$Z$27:$Z$38)</f>
        <v>5.2365913577399103E-3</v>
      </c>
      <c r="P33" s="28">
        <f>AVERAGE('Monthly Release Schedule'!$Z$39:$Z$50)</f>
        <v>4.9268945584434974E-3</v>
      </c>
      <c r="Q33" s="28">
        <f>AVERAGE('Monthly Release Schedule'!$Z$51:$Z$51)</f>
        <v>4.7726701833710125E-3</v>
      </c>
    </row>
    <row r="34" spans="7:17" ht="18" x14ac:dyDescent="0.35">
      <c r="G34" s="65"/>
      <c r="H34" s="34" t="s">
        <v>118</v>
      </c>
      <c r="I34" s="32">
        <f>AVERAGE('Monthly Release Schedule'!$AB$3:$AB$5)</f>
        <v>3.5922830797701505E-2</v>
      </c>
      <c r="J34" s="32">
        <f>AVERAGE('Monthly Release Schedule'!$AB$6:$AB$8)</f>
        <v>2.6328431024868548E-2</v>
      </c>
      <c r="K34" s="31">
        <f>AVERAGE('Monthly Release Schedule'!$AB$9:$AB$11)</f>
        <v>6.6716603660111617E-2</v>
      </c>
      <c r="L34" s="31">
        <f>AVERAGE('Monthly Release Schedule'!$AB$12:$AB$14)</f>
        <v>8.348880167743937E-2</v>
      </c>
      <c r="M34" s="26">
        <f>AVERAGE('Monthly Release Schedule'!$AB$3:$AB$14)</f>
        <v>5.3114166790030261E-2</v>
      </c>
      <c r="N34" s="26">
        <f>AVERAGE('Monthly Release Schedule'!$AB$15:$AB$26)</f>
        <v>0.12381435906301021</v>
      </c>
      <c r="O34" s="26">
        <f>AVERAGE('Monthly Release Schedule'!$AB$27:$AB$38)</f>
        <v>5.6062291628569051E-2</v>
      </c>
      <c r="P34" s="28">
        <f>AVERAGE('Monthly Release Schedule'!$AB$39:$AB$50)</f>
        <v>0.25860088985088986</v>
      </c>
      <c r="Q34" s="28">
        <f>AVERAGE('Monthly Release Schedule'!$AB$50:$AB$51)</f>
        <v>1</v>
      </c>
    </row>
    <row r="35" spans="7:17" ht="18" x14ac:dyDescent="0.35">
      <c r="G35" s="65"/>
      <c r="H35" s="34" t="s">
        <v>74</v>
      </c>
      <c r="I35" s="32">
        <f>AVERAGE('Monthly Release Schedule'!$AB$3:$AC$5)</f>
        <v>0.23102436983785779</v>
      </c>
      <c r="J35" s="32">
        <f>AVERAGE('Monthly Release Schedule'!$AC$6:$AC$8)</f>
        <v>0.51187046678148118</v>
      </c>
      <c r="K35" s="31">
        <f>AVERAGE('Monthly Release Schedule'!$AC$9:$AC$11)</f>
        <v>0.46913792284664796</v>
      </c>
      <c r="L35" s="31">
        <f>AVERAGE('Monthly Release Schedule'!$AC$12:$AC$14)</f>
        <v>0.41718226378848894</v>
      </c>
      <c r="M35" s="26">
        <f>AVERAGE('Monthly Release Schedule'!$AC$3:$AC$14)</f>
        <v>0.456079140573658</v>
      </c>
      <c r="N35" s="26">
        <f>AVERAGE('Monthly Release Schedule'!$AC$15:$AC$26)</f>
        <v>0.26209149259190884</v>
      </c>
      <c r="O35" s="26">
        <f>AVERAGE('Monthly Release Schedule'!$AC$27:$AC$38)</f>
        <v>0.19690929015267966</v>
      </c>
      <c r="P35" s="28">
        <f>AVERAGE('Monthly Release Schedule'!$AC$39:$AC$50)</f>
        <v>0.18319566741946433</v>
      </c>
      <c r="Q35" s="28">
        <f>AVERAGE('Monthly Release Schedule'!$AC$50:$AC$51)</f>
        <v>0.17696643874941281</v>
      </c>
    </row>
    <row r="36" spans="7:17" ht="18" x14ac:dyDescent="0.35">
      <c r="H36" s="35" t="s">
        <v>120</v>
      </c>
      <c r="I36" s="36">
        <v>0.1</v>
      </c>
      <c r="J36" s="36">
        <v>0.1</v>
      </c>
      <c r="K36" s="36">
        <v>0.1</v>
      </c>
      <c r="L36" s="36">
        <v>0.1</v>
      </c>
      <c r="M36" s="36">
        <v>0.1</v>
      </c>
      <c r="N36" s="36">
        <v>0.1</v>
      </c>
      <c r="O36" s="36">
        <v>0.1</v>
      </c>
      <c r="P36" s="36">
        <v>0.1</v>
      </c>
      <c r="Q36" s="36">
        <v>0.1</v>
      </c>
    </row>
  </sheetData>
  <mergeCells count="10">
    <mergeCell ref="I1:P1"/>
    <mergeCell ref="I28:P28"/>
    <mergeCell ref="G30:G32"/>
    <mergeCell ref="G33:G35"/>
    <mergeCell ref="C26:C28"/>
    <mergeCell ref="C29:C31"/>
    <mergeCell ref="C17:C19"/>
    <mergeCell ref="C20:C22"/>
    <mergeCell ref="C16:E16"/>
    <mergeCell ref="C23:C25"/>
  </mergeCells>
  <phoneticPr fontId="1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Token Model</vt:lpstr>
      <vt:lpstr>Monthly Release Schedule</vt:lpstr>
      <vt:lpstr>indicators </vt:lpstr>
      <vt:lpstr>Moji</vt:lpstr>
      <vt:lpstr>release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MOJTABA SAFARI</cp:lastModifiedBy>
  <dcterms:created xsi:type="dcterms:W3CDTF">2024-12-05T10:50:11Z</dcterms:created>
  <dcterms:modified xsi:type="dcterms:W3CDTF">2024-12-17T08:11:48Z</dcterms:modified>
</cp:coreProperties>
</file>